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vml" ContentType="application/vnd.openxmlformats-officedocument.vmlDrawing"/>
  <Default Extension="xml" ContentType="application/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gos Gerais" sheetId="1" r:id="rId5"/>
    <sheet state="visible" name="Artigos Tecon Salvador" sheetId="2" r:id="rId6"/>
    <sheet state="visible" name="CategoriasSeções" sheetId="3" r:id="rId7"/>
    <sheet state="visible" name="Artigos Tecon Rio Grande" sheetId="4" r:id="rId8"/>
    <sheet state="visible" name="Artigos Rebocadores" sheetId="5" r:id="rId9"/>
    <sheet state="visible" name="Artigos Centro Logístico" sheetId="6" r:id="rId10"/>
  </sheets>
  <definedNames>
    <definedName hidden="1" localSheetId="0" name="_xlnm._FilterDatabase">'Artigos Gerais'!$A$1:$AE$463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tc={c27000d3-6628-456f-a294-301d2e1bdd2f}</author>
  </authors>
  <commentList>
    <comment authorId="0" xr:uid="{c27000d3-6628-456f-a294-301d2e1bdd2f}" ref="H2">
      <text>
        <t xml:space="preserve">[Threaded comment]
 Your version of Excel allows you to read this threaded comment; however, any edits to it will get removed if the file is opened in a newer version of Excel. Learn more: https://go.microsoft.com/fwlink/?linkid=870924
Comment:
	turning vessel all ports considered
Reply:
	@rafaela.migowski@wilsonsons.com.br , não entendi seu comentário ! Pode me explicar se muda algo ?
</t>
      </text>
    </comment>
  </commentList>
</comments>
</file>

<file path=xl/sharedStrings.xml><?xml version="1.0" encoding="utf-8"?>
<sst xmlns="http://schemas.openxmlformats.org/spreadsheetml/2006/main" count="15002" uniqueCount="2389">
  <si>
    <t xml:space="preserve"> Id</t>
  </si>
  <si>
    <t>url</t>
  </si>
  <si>
    <t>html_url</t>
  </si>
  <si>
    <t>author_id</t>
  </si>
  <si>
    <t>author_name</t>
  </si>
  <si>
    <t>draft</t>
  </si>
  <si>
    <t>estado</t>
  </si>
  <si>
    <t>promoted</t>
  </si>
  <si>
    <t>position</t>
  </si>
  <si>
    <t>vote_sum</t>
  </si>
  <si>
    <t>vote_count</t>
  </si>
  <si>
    <t>section_id</t>
  </si>
  <si>
    <t>marca</t>
  </si>
  <si>
    <t>categoria_name</t>
  </si>
  <si>
    <t>section_name</t>
  </si>
  <si>
    <t>created_at</t>
  </si>
  <si>
    <t>updated_at</t>
  </si>
  <si>
    <t>name</t>
  </si>
  <si>
    <t>title</t>
  </si>
  <si>
    <t>source_locale</t>
  </si>
  <si>
    <t>locale</t>
  </si>
  <si>
    <t>permission_group_name</t>
  </si>
  <si>
    <t>user_segment_name</t>
  </si>
  <si>
    <t>user_segment_names</t>
  </si>
  <si>
    <t>edited_at</t>
  </si>
  <si>
    <t>user_segment_id</t>
  </si>
  <si>
    <t>permission_group_id</t>
  </si>
  <si>
    <t>content_tag_ids</t>
  </si>
  <si>
    <t>label_names</t>
  </si>
  <si>
    <t>body</t>
  </si>
  <si>
    <t>user_segment_ids</t>
  </si>
  <si>
    <t>https://wilsonsons.zendesk.com/api/v2/help_center/pt-br/articles/44508084248973.json</t>
  </si>
  <si>
    <t>https://atendimento.teconsvonline.com.br/hc/pt-br/articles/44508084248973-DUIMP-ENTREPOSTO</t>
  </si>
  <si>
    <t>Fernanda Almeida</t>
  </si>
  <si>
    <t>Publicado</t>
  </si>
  <si>
    <t>Wilsons Sons - Tecon SV</t>
  </si>
  <si>
    <t>Instruções</t>
  </si>
  <si>
    <t>DUIMP ENTREPOSTO</t>
  </si>
  <si>
    <t>pt-br</t>
  </si>
  <si>
    <t>Agentes e administradores</t>
  </si>
  <si>
    <t>196508.0</t>
  </si>
  <si>
    <t>['01KMDBFKKHB0X076QP0C73MSJY']</t>
  </si>
  <si>
    <t>['ENTREPOSTO -DUIMP']</t>
  </si>
  <si>
    <t>&lt;p&gt;&lt;strong&gt;Fluxo Operacional – Entreposto vinculado à DUIMP&lt;/strong&gt;&lt;/p&gt;&lt;ol&gt;
&lt;li&gt;O despachante deve inserir os documentos convencionais (BL, Extrato LPCO e chave da NF) no Portal para geração do booking.&lt;/li&gt;
&lt;li&gt;Selecionar o tipo de processo:&lt;br/&gt;&lt;strong&gt;DA (Declaração Aduaneira) – Entreposto&lt;/strong&gt;
&lt;/li&gt;
&lt;li&gt;Anexar o &lt;strong&gt;extrato da DUIMP (DA)&lt;/strong&gt; contendo:&lt;ul&gt;
&lt;li&gt;Todos os itens&lt;/li&gt;
&lt;li&gt;Detalhamento completo da carga&lt;/li&gt;
&lt;li&gt;Todas as unidades vinculadas ao processo&lt;/li&gt;
&lt;/ul&gt;
&lt;/li&gt;
&lt;li&gt;Caso &lt;strong&gt;não sejam removidas todas as unidades&lt;/strong&gt;, será necessário:&lt;ul&gt;
&lt;li&gt;Sinalizar por &lt;strong&gt;e-mail&lt;/strong&gt; quando houver remoção parcial&lt;/li&gt;
&lt;li&gt;Informar posteriormente por &lt;strong&gt;e-mail&lt;/strong&gt; quando ocorrer a nacionalização das demais unidades&lt;/li&gt;
&lt;/ul&gt;
&lt;/li&gt;
&lt;/ol&gt;</t>
  </si>
  <si>
    <t>[196508]</t>
  </si>
  <si>
    <t>https://wilsonsons.zendesk.com/api/v2/help_center/pt-br/articles/44507889059469.json</t>
  </si>
  <si>
    <t>https://atendimento.teconsvonline.com.br/hc/pt-br/articles/44507889059469-DUIMP-ENTREPOSTO</t>
  </si>
  <si>
    <t>Rascunho</t>
  </si>
  <si>
    <t>['01JNNPPJRRH0MYQGDR630QEPJ8']</t>
  </si>
  <si>
    <t>&lt;p&gt;&lt;strong&gt;Fluxo para conduzimos junto ao Aduaneiro- Processo Entreposto vinculado à DUIMP&lt;/strong&gt;&lt;/p&gt;&lt;ol&gt;
&lt;li&gt;Inserir documentos convencionais no Portal para geração do booking.&lt;/li&gt;
&lt;li&gt;Selecionar o tipo de processo:&lt;br/&gt;&lt;strong&gt;DA (Declaração Aduaneira) – Entreposto&lt;/strong&gt;
&lt;/li&gt;
&lt;li&gt;Anexar o &lt;strong&gt;extrato da DUIMP (DA)&lt;/strong&gt; contendo:&lt;ul&gt;
&lt;li&gt;Todos os itens&lt;/li&gt;
&lt;li&gt;Detalhamento completo da carga&lt;/li&gt;
&lt;li&gt;Todas as unidades vinculadas ao processo&lt;/li&gt;
&lt;/ul&gt;
&lt;/li&gt;
&lt;li&gt;Caso &lt;strong&gt;não sejam removidas todas as unidades&lt;/strong&gt;, será necessário:&lt;ul&gt;
&lt;li&gt;Sinalizar por &lt;strong&gt;e-mail&lt;/strong&gt; quando houver remoção parcial&lt;/li&gt;
&lt;li&gt;Informar posteriormente por &lt;strong&gt;e-mail&lt;/strong&gt; quando ocorrer a nacionalização das demais unidades&lt;/li&gt;
&lt;/ul&gt;
&lt;/li&gt;
&lt;/ol&gt;</t>
  </si>
  <si>
    <t>https://wilsonsons.zendesk.com/api/v2/help_center/pt-br/articles/41600964186509.json</t>
  </si>
  <si>
    <t>https://atendimento.teconsvonline.com.br/hc/pt-br/articles/41600964186509-Onboarding</t>
  </si>
  <si>
    <t>Guilherme Reis</t>
  </si>
  <si>
    <t>Contatos importantes</t>
  </si>
  <si>
    <t>Onboarding</t>
  </si>
  <si>
    <t>[]</t>
  </si>
  <si>
    <t>&lt;div&gt;
    &lt;h1&gt;Seja Bem-vindo ao Dashboard de Importação&lt;/h1&gt;
    &lt;p&gt;&lt;strong&gt;Wilson Sons — Tecon Salvador&lt;/strong&gt;&lt;/p&gt;
    &lt;hr&gt;
    &lt;div&gt;
        &lt;p&gt;&lt;strong&gt;Bem-vindo a bordo! 🫡🚢&lt;/strong&gt;&lt;/p&gt;
        &lt;p&gt;Eu sou o &lt;strong&gt;Capitão Will&lt;/strong&gt; e vou te apresentar o dashboard de importação no Tecon Salvador. Aqui você encontrará informações sobre nosso time, contatos e o fluxo operacional.&lt;/p&gt;
    &lt;/div&gt;
    &lt;div&gt;
        &lt;p&gt;&lt;strong&gt;Início da Jornada:&lt;/strong&gt; Para iniciar a jornada conosco, é importante realizar o cadastro em nosso portal do cliente e conhecer a nossa equipe de atendimento que te dará suporte em todo o seu processo.&lt;/p&gt;
        &lt;p&gt;&lt;a href="https://portal.teconsvonline.com.br/" target="_blank"&gt;&lt;strong&gt;Acessar o Portal do Cliente&lt;/strong&gt;&lt;/a&gt;&lt;/p&gt;
    &lt;/div&gt;
    &lt;hr&gt;
    &lt;div&gt;
        &lt;h2&gt;Organograma do Time de Atendimento&lt;/h2&gt;
        &lt;p&gt;&lt;strong&gt;Coordenação de Relacionamento:&lt;/strong&gt; Giselle Cunha&lt;/p&gt;
        &lt;p&gt;&lt;strong&gt;Equipe de Atendimento ao Cliente:&lt;/strong&gt;&lt;/p&gt;
        &lt;ul&gt;
            &lt;li&gt;Daniela Noblat — Analista de Atendimento JR (Focal IMP)&lt;/li&gt;
            &lt;li&gt;Fernanda Almeida — Analista de Atendimento JR (Focal IMP)&lt;/li&gt;
            &lt;li&gt;Luise Britto — Assistente de Atendimento SR (Focal Projetos)&lt;/li&gt;
            &lt;li&gt;Ana Beatriz Lima — Assistente de Atendimento JR (Focal AG)&lt;/li&gt;
            &lt;li&gt;Caíque D'Anunciação — Assistente de Atendimento PL (Focal AG)&lt;/li&gt;
            &lt;li&gt;Ícaro Gomes — Assistente de Atendimento PL (Focal Dados)&lt;/li&gt;
            &lt;li&gt;Letícia Bomfim — Assistente de Atendimento JR (Focal Agilista)&lt;/li&gt;
            &lt;li&gt;Ainá Elisabeth — Assistente de Atendimento JR&lt;/li&gt;
            &lt;li&gt;Matheus Almeida — Assistente de Atendimento PL&lt;/li&gt;
            &lt;li&gt;Matheus Lopes — Assistente de Atendimento PL&lt;/li&gt;
            &lt;li&gt;Thais Rosado — Assistente de Atendimento Jr&lt;/li&gt;
            &lt;li&gt;João Santos — Analista de Atendimento PL&lt;/li&gt;
            &lt;li&gt;Guilherme Reis — Estagiário&lt;/li&gt;
            &lt;li&gt;Jennifer Dantas — Estagiário&lt;/li&gt;
            &lt;li&gt;Sâmela Carvalho — Estagiário&lt;/li&gt;
            &lt;li&gt;Vitor Santos — Estagiário&lt;/li&gt;
        &lt;/ul&gt;
    &lt;/div&gt;
    &lt;hr&gt;
    &lt;div&gt;
        &lt;h2&gt;Horários e Canais de Atendimento&lt;/h2&gt;
        &lt;h3&gt;Contatos Oficiais:&lt;/h3&gt;
        &lt;ul&gt;
            &lt;li&gt;&lt;strong&gt;E-mail:&lt;/strong&gt; &lt;a href="mailto:atendimento.tcsv@wilsonsons.com.br"&gt;atendimento.tcsv@wilsonsons.com.br&lt;/a&gt;&lt;/li&gt;
            &lt;li&gt;&lt;strong&gt;Chat Online:&lt;/strong&gt; &lt;a href="https://atendimento.teconsvonline.com.br/hc/pt-br" target="_blank"&gt;portal.teconsvonline.com.br&lt;/a&gt;&lt;/li&gt;
            &lt;li&gt;&lt;strong&gt;WhatsApp / Telefone:&lt;/strong&gt; &lt;a href="https://api.whatsapp.com/send?phone=557121061500" target="_blank"&gt;(71) 2106-1500&lt;/a&gt; / (71) 98104-7898&lt;/li&gt;
            &lt;li&gt;&lt;strong&gt;Plantão Coordenação:&lt;/strong&gt; (71) 98119-9528&lt;/li&gt;
        &lt;/ul&gt;
        &lt;h3&gt;Horários de Funcionamento:&lt;/h3&gt;
        &lt;ul&gt;
            &lt;li&gt;&lt;strong&gt;Segunda à Sexta-feira:&lt;/strong&gt; 07h às 22h&lt;/li&gt;
            &lt;li&gt;&lt;strong&gt;Sábados, Domingos e Feriados:&lt;/strong&gt; 08h às 18h (Plantão via Chat e Telefone)&lt;/li&gt;
        &lt;/ul&gt;
    &lt;/div&gt;
    &lt;hr&gt;
    &lt;div&gt;
        &lt;h2&gt;Facilidades do Portal do Cliente&lt;/h2&gt;
        &lt;p&gt;Em nosso portal, centralizamos tudo o que você precisa em uma única plataforma intuitiva e segura. Aqui você consegue ter um acesso completo sobre o status do seu processo, desde a entrada à saída da sua carga.&lt;/p&gt;
        &lt;h3&gt;Acompanhamento em tempo real:&lt;/h3&gt;
        &lt;p&gt;Possuímos um sistema que atualiza a cada movimentação no pátio. Aqui você pode verificar desde a finalização de qualquer serviço realizado em sua carga até os processos de faturamento.&lt;/p&gt;
    &lt;/div&gt;
    &lt;hr&gt;
    &lt;div&gt;
        &lt;h2&gt;Fluxo: Processo de Container Cheio&lt;/h2&gt;
        &lt;p&gt;Abaixo estão os detalhes e definições de cada etapa do fluxo operacional:&lt;/p&gt;
        &lt;ol&gt;
            &lt;li&gt;
                &lt;strong&gt;01. Direcionamento:&lt;/strong&gt; 
                &lt;p&gt;O "Direcionamento" ou Destinação de Carga é um procedimento fundamental nas operações de comércio exterior e logística portuária que se refere à indicação formal de qual recinto alfandegado a carga será armazenada para posterior desembaraço e liberação.&lt;/p&gt;
            &lt;/li&gt;
            &lt;li&gt;
                &lt;strong&gt;02. Descarga:&lt;/strong&gt; 
                &lt;p&gt;Descarga é o termo que define a operação física de retirada de mercadorias de uma embarcação para o terminal portuário.&lt;/p&gt;
            &lt;/li&gt;
            &lt;li&gt;
                &lt;strong&gt;03. Presença de Carga:&lt;/strong&gt; 
                &lt;p&gt;A Presença de Carga é um passo crucial no fluxo logístico e aduaneiro, sendo a comprovação formal, pelo depositário, da disponibilidade da carga recolhida sob sua custódia.&lt;/p&gt;
            &lt;/li&gt;
            &lt;li&gt;
                &lt;strong&gt;04. DAT LIBERADO:&lt;/strong&gt; 
                &lt;p&gt;Refere-se ao status de um documento chamado DAT (Documento de Acompanhamento de Trânsito) ou LPCO no contexto de liberação de carga e agendamento de serviços, especialmente aqueles que envolvem a movimentação ou desova de mercadorias.&lt;/p&gt;
            &lt;/li&gt;
            &lt;li&gt;
                &lt;strong&gt;05. SOLICITAÇÃO DE SERVIÇOS:&lt;/strong&gt; 
                &lt;p&gt;A Solicitação de Serviços (ou Requisição) é um procedimento formal realizado pelo cliente, despachante, armador ou transportador por meio de um sistema de interface digital, como o Portal do Cliente (B2B), para iniciar, agendar ou acompanhar uma atividade logística ou administrativa específica no terminal ou nas instalações portuárias.&lt;/p&gt;
            &lt;/li&gt;
            &lt;li&gt;
                &lt;strong&gt;06. Faturamento:&lt;/strong&gt; 
                &lt;p&gt;Emissão de notas fiscais e boletos dos serviços prestados.&lt;/p&gt;
            &lt;/li&gt;
            &lt;li&gt;
                &lt;strong&gt;07. Estimativa de Cálculo:&lt;/strong&gt; 
                &lt;p&gt;Simulação e visualização dos valores de armazenagem e serviços.&lt;/p&gt;
            &lt;/li&gt;
            &lt;li&gt;
                &lt;strong&gt;08. Liberação Documental:&lt;/strong&gt; 
                &lt;p&gt;Confirmação da liberação aduaneira e documental para a retirada.&lt;/p&gt;
            &lt;/li&gt;
            &lt;li&gt;
                &lt;strong&gt;09. Saída da Carga:&lt;/strong&gt; 
                &lt;p&gt;Autorização de saída e carregamento do container para transporte.&lt;/p&gt;
            &lt;/li&gt;
        &lt;/ol&gt;
    &lt;/div&gt;
    &lt;hr&gt;
    &lt;div&gt;
        &lt;h2&gt;Fim do Onboarding! ⚓&lt;/h2&gt;
        &lt;p&gt;Agora você está pronto para operar com a Wilson Sons.&lt;/p&gt;
        &lt;p&gt;&lt;em&gt;O Capitão Will entra em modo de espera. Até a próxima!&lt;/em&gt;&lt;/p&gt;
    &lt;/div&gt;
&lt;/div&gt;</t>
  </si>
  <si>
    <t>https://wilsonsons.zendesk.com/api/v2/help_center/pt-br/articles/41483147497613.json</t>
  </si>
  <si>
    <t>https://atendimento.teconsvonline.com.br/hc/pt-br/articles/41483147497613-Sem-t%C3%ADtulo</t>
  </si>
  <si>
    <t>Sem título</t>
  </si>
  <si>
    <t>&lt;!-- Tailwind CSS --&gt;
&lt;!-- React &amp; ReactDOM --&gt;
&lt;!-- Babel para JSX --&gt;
&lt;!-- MathJax para fórmulas --&gt;
&lt;div&gt;&lt;/div&gt;</t>
  </si>
  <si>
    <t>https://wilsonsons.zendesk.com/api/v2/help_center/pt-br/articles/41454970746765.json</t>
  </si>
  <si>
    <t>https://atendimento.teconsvonline.com.br/hc/pt-br/articles/41454970746765-Acompanhamento-de-processos</t>
  </si>
  <si>
    <t>Jennifer Dantas</t>
  </si>
  <si>
    <t>Acompanhamento de processos</t>
  </si>
  <si>
    <t>&lt;div&gt;&lt;/div&gt;</t>
  </si>
  <si>
    <t>https://wilsonsons.zendesk.com/api/v2/help_center/pt-br/articles/41421370993293.json</t>
  </si>
  <si>
    <t>https://atendimento.teconsvonline.com.br/hc/pt-br/articles/41421370993293-Como-Realizar-uma-Libera%C3%A7%C3%A3o-de-Cabotagem</t>
  </si>
  <si>
    <t>Como Realizar uma Liberação de Cabotagem.</t>
  </si>
  <si>
    <t>Todos (Público)</t>
  </si>
  <si>
    <t>&lt;!-- Tailwind CSS --&gt;
&lt;!-- React &amp; ReactDOM --&gt;
&lt;!-- Babel para JSX --&gt;
&lt;div&gt;&lt;/div&gt;</t>
  </si>
  <si>
    <t>https://wilsonsons.zendesk.com/api/v2/help_center/pt-br/articles/41414964107277.json</t>
  </si>
  <si>
    <t>https://atendimento.teconsvonline.com.br/hc/pt-br/articles/41414964107277-Capit%C3%A3o-Oracle</t>
  </si>
  <si>
    <t>Icaro Silva</t>
  </si>
  <si>
    <t>Capitão Oracle</t>
  </si>
  <si>
    <t>Administradores</t>
  </si>
  <si>
    <t>&lt;div&gt;
    &lt;h1&gt;Central de Ajuda Tecon — Guia Rápido de Liberação de Cabotagem&lt;/h1&gt;
    &lt;div&gt;
        &lt;p&gt;&lt;strong&gt;À ordem, marujo! 🫡🚢&lt;/strong&gt;&lt;/p&gt;
        &lt;p&gt;Eu sou o &lt;strong&gt;Capitão Oracolo&lt;/strong&gt;! Assumi o comando para te guiar com segurança pelas águas da liberação de cabotagem. Vamos zarpar!&lt;/p&gt;
    &lt;/div&gt;
    &lt;hr&gt;
    &lt;h2&gt;Etapa 1: A Entrada do Portal&lt;/h2&gt;
    &lt;p&gt;Vamos navegar até o portal oficial do terminal:&lt;/p&gt;
    &lt;p&gt;&lt;a href="https://portal.teconsvonline.com.br/" target="_blank"&gt;&lt;strong&gt;Acessar o Portal Tecon&lt;/strong&gt;&lt;/a&gt;&lt;/p&gt;
    &lt;p&gt;No menu lateral do sistema, siga exatamente este caminho de tela:&lt;/p&gt;
    &lt;p&gt;Acesse a aba &lt;strong&gt;"Liberação Documental"&lt;/strong&gt; e depois clique em &lt;strong&gt;"Cabotagem"&lt;/strong&gt;.&lt;/p&gt;
    &lt;p&gt;No canto superior direito, o sistema disponibiliza dois caminhos para processamento:&lt;/p&gt;
    &lt;ul&gt;
        &lt;li&gt;&lt;strong&gt;Nova Liberação:&lt;/strong&gt; Indicado para processamento unitário (lançar um CT-e de cada vez).&lt;/li&gt;
        &lt;li&gt;&lt;strong&gt;Importar Planilha:&lt;/strong&gt; Indicado para processamento em lote (múltiplos documentos simultâneos).&lt;/li&gt;
    &lt;/ul&gt;
    &lt;hr&gt;
    &lt;h2&gt;Etapa 2: Escolha seu Caminho Operacional&lt;/h2&gt;
    &lt;h3&gt;A. Caminho Unitário&lt;/h3&gt;
    &lt;ol&gt;
        &lt;li&gt;Clique no botão &lt;strong&gt;"Nova Liberação"&lt;/strong&gt;.&lt;/li&gt;
        &lt;li&gt;Preencha manualmente os campos solicitados no formulário.&lt;/li&gt;
        &lt;li&gt;Clique em &lt;strong&gt;SALVAR&lt;/strong&gt; para concluir o registro.&lt;/li&gt;
    &lt;/ol&gt;
    &lt;p&gt;&lt;em&gt;⚡ Esse modelo é ideal para regularizar um documento de forma isolada e ágil.&lt;/em&gt;&lt;/p&gt;
    &lt;h3&gt;B. Caminho da Planilha (Processamento em Lote)&lt;/h3&gt;
    &lt;ol&gt;
        &lt;li&gt;Clique no botão &lt;strong&gt;"Importar Planilha"&lt;/strong&gt;.&lt;/li&gt;
        &lt;li&gt;Faça o download do &lt;strong&gt;modelo XML&lt;/strong&gt; oficial fornecido na tela.&lt;/li&gt;
        &lt;li&gt;Preencha todas as colunas obrigatórias seguindo as instruções de layout.&lt;/li&gt;
        &lt;li&gt;Selecione o navio correspondente, faça o upload do arquivo preenchido e conclua a operação.&lt;/li&gt;
    &lt;/ol&gt;
    &lt;hr&gt;
    &lt;h2&gt;Etapa 3: Estrutura do Formulário de Liberação&lt;/h2&gt;
    &lt;p&gt;Ao optar pelo lançamento unitário, alimente os dados no formulário com total precisão:&lt;/p&gt;
    &lt;ul&gt;
        &lt;li&gt;&lt;strong&gt;Navio / Viagem:&lt;/strong&gt; Certifique-se de selecionar exatamente a mesma embarcação registrada na entrada da carga.&lt;/li&gt;
        &lt;li&gt;&lt;strong&gt;CTe:&lt;/strong&gt; Este campo deve ser preenchido obrigatoriamente com o número do seu &lt;strong&gt;BL MASTER&lt;/strong&gt;.&lt;/li&gt;
        &lt;li&gt;&lt;strong&gt;Chave CTe:&lt;/strong&gt; Insira a chave de acesso composta por 44 dígitos numéricos (nunca utilize espaços, traços ou caracteres especiais).&lt;/li&gt;
        &lt;li&gt;&lt;strong&gt;Container:&lt;/strong&gt; Digite a sigla de identificação oficial da unidade de carga.&lt;/li&gt;
        &lt;li&gt;&lt;strong&gt;Regime:&lt;/strong&gt; Selecione a modalidade de regime aduaneiro aplicável.&lt;/li&gt;
        &lt;li&gt;&lt;strong&gt;Email:&lt;/strong&gt; Insira os endereços eletrônicos para recebimento de alertas do sistema. Caso precise informar múltiplos e-mails, utilize a vírgula como separador.&lt;/li&gt;
    &lt;/ul&gt;
    &lt;hr&gt;
    &lt;h2&gt;🚨 Protocolo de Segurança e Verificação de Dados&lt;/h2&gt;
    &lt;p&gt;&lt;strong&gt;Alerta de Sistema dos Sensores do Oracolo:&lt;/strong&gt; Há um alto risco de rejeição automática caso as validações estruturais listadas abaixo não sejam conferidas antes do envio final.&lt;/p&gt;
    &lt;h3&gt;1. Verificação Prévia na Aba de Consultas&lt;/h3&gt;
    &lt;p&gt;Antes de efetuar o lançamento da chave, navegue até a aba &lt;strong&gt;"Consultas"&lt;/strong&gt; &amp;gt; &lt;strong&gt;"Containers"&lt;/strong&gt; e clique na opção &lt;strong&gt;"Ver Detalhes"&lt;/strong&gt; para confrontar as seguintes informações na base de dados:&lt;/p&gt;
    &lt;ul&gt;
        &lt;li&gt;O conteúdo do campo &lt;strong&gt;"BL MASTER"&lt;/strong&gt; corresponde ao número do seu CT-e.&lt;/li&gt;
        &lt;li&gt;O conteúdo do campo &lt;strong&gt;"Entrada"&lt;/strong&gt; aponta o navio correto que deve ser selecionado no formulário.&lt;/li&gt;
        &lt;li&gt;O campo &lt;strong&gt;"Dias no pátio"&lt;/strong&gt; serve para auditar o cálculo do seu freetime (mínimo de 10 dias garantidos para operações de cabotagem).&lt;/li&gt;
    &lt;/ul&gt;
    &lt;h3&gt;2. Validação de Chave, Modal e Órgãos Anuentes&lt;/h3&gt;
    &lt;ul&gt;
        &lt;li&gt;&lt;strong&gt;Modalidade do Documento Fiscal:&lt;/strong&gt; A chave de acesso do CT-e precisa estar devidamente categorizada sob o modal estrito de transporte &lt;strong&gt;"Aquaviário"&lt;/strong&gt;. Você pode realizar essa auditoria informando a chave diretamente no &lt;a href="https://www.cte.fazenda.gov.br/portal/principal.aspx" target="_blank"&gt;Portal CT-e da Fazenda&lt;/a&gt;.&lt;/li&gt;
        &lt;li&gt;&lt;strong&gt;Interferência da Receita Federal (RFB):&lt;/strong&gt; O sucesso do processamento sistêmico depende da liberação da Receita Federal. Caso o sistema retorne a mensagem &lt;em&gt;"Crítica Encontrada"&lt;/em&gt;, isso significa que o armador possui pendências ativas que precisam ser regularizadas com a Receita. Acompanhe a situação no &lt;a href="http://www4.receita.fazenda.gov.br/" target="_blank"&gt;Consulta Siscarga&lt;/a&gt;.&lt;/li&gt;
    &lt;/ul&gt;
    &lt;h3&gt;3. Regra Crítica da UF e Correções Operacionais&lt;/h3&gt;
    &lt;ul&gt;
        &lt;li&gt;&lt;strong&gt;Validação da UF Fim:&lt;/strong&gt; No documento do CT-e deve constar obrigatoriamente a Unidade Federativa de destino final como &lt;strong&gt;BA (Bahia)&lt;/strong&gt;. Se a informação estiver divergente, o armador precisará providenciar a retificação formal via Siscarga e o CT-e emissor também deverá ser corrigido. Lembre-se de anexar os PDFs comprobatórios da retificação.&lt;/li&gt;
        &lt;li&gt;&lt;strong&gt;Dados Lançados Incorretamente:&lt;/strong&gt; Caso identifique algum erro de digitação após o envio, selecione o lançamento na lista e clique no botão &lt;strong&gt;"Inativar Liberação"&lt;/strong&gt; (localizado no canto inferior direito da tela). Após a inativação, reinicie o fluxo do zero.&lt;/li&gt;
        &lt;li&gt;&lt;strong&gt;Alerta de "CLIENTE TEMP":&lt;/strong&gt; Se o status</t>
  </si>
  <si>
    <t>https://wilsonsons.zendesk.com/api/v2/help_center/pt-br/articles/39796803468557.json</t>
  </si>
  <si>
    <t>https://atendimento.teconsvonline.com.br/hc/pt-br/articles/39796803468557-Damages-Espec%C3%ADficos-enviados-atrav%C3%A9s-do-time-de-Opera%C3%A7%C3%B5es</t>
  </si>
  <si>
    <t>Damages Específicos enviados através do time de Operações</t>
  </si>
  <si>
    <t>['01J2CHBSGSCN8SBYSSG2KZ0YFR']</t>
  </si>
  <si>
    <t>&lt;p&gt;&lt;strong&gt;Orientação sobre relatório de divergência de lacre e avaria&lt;/strong&gt;&lt;/p&gt;&lt;p&gt;Sempre que o time de Operações enviar o relatório de divergência de lacre e for identificado um &lt;em&gt;&lt;em&gt;damage&lt;/em&gt;&lt;/em&gt; específico, significa que se trata de uma avaria relevante.&lt;br/&gt;Nesses casos, é necessário encaminhar a informação conforme o cenário:&lt;/p&gt;&lt;ul&gt;
&lt;li&gt;&lt;p&gt;&lt;strong&gt;Armador&lt;/strong&gt; → em todos os casos.&lt;/p&gt;&lt;/li&gt;
&lt;li&gt;&lt;p&gt;&lt;strong&gt;Transbordo&lt;/strong&gt; → apenas para o Armador.&lt;/p&gt;&lt;/li&gt;
&lt;li&gt;&lt;p&gt;&lt;strong&gt;DTC&lt;/strong&gt; → para o Recinto e o Armador.&lt;/p&gt;&lt;/li&gt;
&lt;li&gt;&lt;p&gt;&lt;strong&gt;Cliente nosso&lt;/strong&gt; → para o cliente, despachante e Armador.&lt;/p&gt;&lt;/li&gt;
&lt;/ul&gt;</t>
  </si>
  <si>
    <t>https://wilsonsons.zendesk.com/api/v2/help_center/pt-br/articles/39605716395661.json</t>
  </si>
  <si>
    <t>https://atendimento.teconsvonline.com.br/hc/pt-br/articles/39605716395661-Libera%C3%A7%C3%A3o-autom%C3%A1tica-de-nota-fiscal</t>
  </si>
  <si>
    <t>Matheus Almeida</t>
  </si>
  <si>
    <t>Agendamentos</t>
  </si>
  <si>
    <t>Liberação automática de nota fiscal</t>
  </si>
  <si>
    <t>&lt;p&gt;&lt;span&gt;&lt;span&gt;&lt;img height="30"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 width="156"/&gt;&lt;/span&gt;&lt;/span&gt;&lt;/p&gt;&lt;p&gt;🚀 Nova Funcionalidade no Portal – Mais agilidade para você!&lt;/p&gt;&lt;p&gt;A partir de agora, os &lt;strong&gt;agendamentos com liberação de NF serão validados automaticamente&lt;/strong&gt;&lt;strong&gt;&lt;/strong&gt; pelo portal. 🎆&lt;/p&gt;&lt;p&gt;Como funciona?&lt;br/&gt;&lt;br/&gt;O transportador realiza o agendamento normalmente, marcando a opção “agendamento sem nota fiscal”. Em seguida, basta selecionar o tipo de liberação desejado ou escolher “outros” e informar o motivo. &lt;/p&gt;&lt;p&gt;Conforme o exemplo abaixo:&lt;/p&gt;&lt;div&gt;&lt;img height="440" src="https://atendimento.teconsvonline.com.br/hc/article_attachments/39605716392589" width="533"/&gt;&lt;/div&gt;&lt;p&gt;Quando necessário, é possível anexar um documento em PDF único (ex.: unidades com mais de 50 NF’s)&lt;br/&gt;&lt;img height="134" src="https://atendimento.teconsvonline.com.br/hc/article_attachments/39605713522573" width="1631"/&gt;&lt;br/&gt;Assim que o agendamento for salvo, as informações serão enviadas automaticamente para o time de Clearance para registro interno. Em poucos instantes, o agendamento aparecerá com o status “Agendado”&lt;br/&gt;&lt;br/&gt;⚠️ Importante lembrar:&lt;br/&gt;Essa funcionalidade garante o depósito da unidade no terminal, mas não substitui a liberação para embarque. A situação da carga deve ser acompanhada no Siscomex e o status atualizado pode ser consultado na aba “Consultas &amp;gt; Containers” do portal.&lt;/p&gt;&lt;p&gt;👉 Com essa melhoria, reduzimos etapas manuais, aumentamos a eficiência e oferecemos mais praticidade no seu dia a dia. É melhoria prática para facilitar sua operação! ✨&lt;/p&gt;</t>
  </si>
  <si>
    <t>https://wilsonsons.zendesk.com/api/v2/help_center/pt-br/articles/39493737922701.json</t>
  </si>
  <si>
    <t>https://atendimento.teconsvonline.com.br/hc/pt-br/articles/39493737922701-CONTATOS-INTERNOS-WS</t>
  </si>
  <si>
    <t>Letícia Bomfim</t>
  </si>
  <si>
    <t>CONTATOS INTERNOS - WS</t>
  </si>
  <si>
    <t>&lt;p&gt;Segue e-mails para facilitar o dia a dia do atendimento, usem e editaem conforme alteração: &lt;/p&gt;&lt;p&gt; &lt;/p&gt;&lt;p&gt;atendimento.tcsv@wilsonsons.com.br,&lt;/p&gt;&lt;p&gt;atendimento.ag@wilsonsons.com.br,&lt;/p&gt;&lt;p&gt;armazenagem.tcsv@wilsonsons.com.br,&lt;/p&gt;&lt;p&gt;**************************************************************&lt;/p&gt;&lt;p&gt;&lt;strong&gt;TECON RG&lt;/strong&gt;&lt;/p&gt;&lt;p&gt;atendimento.tcrg@wilsonsons.com.br,&lt;/p&gt;&lt;p&gt;contasreceber.tcrg@wilsonsons.com.br,&lt;/p&gt;&lt;p&gt;**************************************************************&lt;/p&gt;&lt;p&gt;&lt;strong&gt;COF&lt;/strong&gt;&lt;/p&gt;&lt;p&gt;yuri.oliveira@wilsonsons.com.br,&lt;/p&gt;&lt;p&gt;aduaneiro.tcsv@wilsonsons.com.br,&lt;/p&gt;&lt;p&gt;gabrielle.santos@wilsonsons.com.br&lt;/p&gt;&lt;p&gt;atendimento.tcsv@wilsonsons.com.br,&lt;/p&gt;&lt;p&gt;documentacao.tcsv@wilsonsons.com.br,&lt;/p&gt;&lt;p&gt;roseane.soares@wilsonsons.com.br,&lt;/p&gt;&lt;p&gt;mauricio.politano@wilsonsons.com.br,&lt;/p&gt;&lt;p&gt;zacarias.filho@wilsonsons.com.br,&lt;/p&gt;&lt;p&gt;thaislane.cerqueira@wilsonsons.com.br,&lt;/p&gt;&lt;p&gt;elisabete.santos@wilsonsons.com.br,&lt;/p&gt;&lt;p&gt;cadastro.tcsv@wilsonsons.com.br,&lt;/p&gt;&lt;p&gt;conciliacao.tcsv@wilsonsons.com.br,&lt;/p&gt;&lt;p&gt;faturamento.teconsv@wilsonsons.com.br,&lt;/p&gt;&lt;p&gt;contasreceber.tcsv@wilsonsons.com.br,&lt;/p&gt;&lt;p&gt;contabilidade.salvador@wilsonsons.com.br,&lt;/p&gt;&lt;p&gt;marilene.jesus@wilsonsons.com.br,&lt;/p&gt;&lt;p&gt;emanuele.neri@wilsonsons.com.br,&lt;/p&gt;&lt;p&gt;faturamento.depottsv@wilsonsons.com.br,&lt;/p&gt;&lt;p&gt;&lt;a href="mailto:cobranca.cl@wilsonsons.com.br"&gt;&lt;span&gt;cobranca.cl@wilsonsons.com.br&lt;/span&gt;&lt;/a&gt;,&lt;/p&gt;&lt;p&gt;**************************************************************&lt;/p&gt;&lt;p&gt; &lt;strong&gt;CAR&lt;/strong&gt;&lt;/p&gt;&lt;p&gt;contasreceber.tcsv@wilsonsons.com.br,&lt;/p&gt;&lt;p&gt;conciliacao@wilsonsons.com.br,&lt;/p&gt;&lt;p&gt;cobranca.cl@wilsonsons.com.br,&lt;/p&gt;&lt;p&gt;cristiane.alves@wilsonsons.com.br,&lt;/p&gt;&lt;p&gt;marcio.pinheiro@wilsonsons.com.br,&lt;/p&gt;&lt;p&gt;**************************************************************&lt;/p&gt;&lt;p&gt;&lt;strong&gt;ARMAZÉM&lt;/strong&gt;&lt;/p&gt;&lt;p&gt;armazem.tcsv@wilsonsons.com.br,&lt;/p&gt;&lt;p&gt;valdnei.santos@wilsonsons.com.br,&lt;/p&gt;&lt;p&gt;ricardo.monteiro@wilsonsons.com.br,&lt;/p&gt;&lt;p&gt;fabio.santos@wilsonsons.com.br,&lt;/p&gt;&lt;p&gt;rafael.ribeiro@wilsonsons.com.br,&lt;/p&gt;&lt;p&gt;marcelo.santos@wilsonsons.com.br,&lt;/p&gt;&lt;p&gt;joice.santana@wilsonsons.com.br,&lt;/p&gt;&lt;p&gt;&lt;a href="mailto:jolenilson.santana@wilsonsons.com.br"&gt;&lt;span&gt;jolenilson.santana@wilsonsons.com.br&lt;/span&gt;&lt;/a&gt;,&lt;/p&gt;&lt;p&gt;debora.&lt;/p&gt;&lt;p&gt;wesley.lisboa@wilsonsons.com.br,&lt;/p&gt;&lt;p&gt;renato.cerqueira@wilsonsons.com.br,&lt;/p&gt;&lt;p&gt;**************************************************************&lt;/p&gt;&lt;p&gt;&lt;strong&gt;OPERAÇÕES&lt;/strong&gt;&lt;/p&gt;&lt;p&gt;bookings.tcsv@wilsonsons.com.br,&lt;/p&gt;&lt;p&gt;planners.tcsv@wilsonsons.com.br,&lt;/p&gt;&lt;p&gt;clearance.tcsv@wilsonsons.com.br,&lt;/p&gt;&lt;p&gt;sop@wilsonsons.com.br,&lt;/p&gt;&lt;p&gt;ceq@wilsonsons.com.br,&lt;/p&gt;&lt;p&gt;reefer.tcsv@wilsonsons.com.br,&lt;/p&gt;&lt;p&gt;operation.tcsv@wilsonsons.com.br,&lt;/p&gt;&lt;p&gt;triagem.tcsv@wilsonsons.com.br,&lt;/p&gt;&lt;p&gt;julia.rabelo@wilsonsons.com.br,&lt;/p&gt;&lt;p&gt;inteligenciaop@wilsonsons.com.br,&lt;/p&gt;&lt;p&gt;vanessa.lima@wilsonsons.com.br,&lt;/p&gt;&lt;p&gt;marcelo.borges@wilsonsons.com.br,&lt;/p&gt;&lt;p&gt;fernanda.ferreira@wilsonsons.com.br,&lt;/p&gt;&lt;p&gt;leonardo.belitardo@wilsonsons.com.br,&lt;/p&gt;&lt;p&gt;**************************************************************&lt;/p&gt;&lt;p&gt;&lt;strong&gt;DEPOT&lt;/strong&gt;&lt;/p&gt;&lt;p&gt;peterson.torres@wilsonsons.com.br,&lt;/p&gt;&lt;p&gt;estimators.depot.tcsv@wilsonsons.com.br,&lt;/p&gt;&lt;p&gt;booking.depot.tcsv@wilsonsons.com.br,&lt;/p&gt;&lt;p&gt;aloisio.junior@wilsonsons.com.br,&lt;/p&gt;&lt;p&gt;jeronimo.ribas@wilsonsons.com.br,&lt;/p&gt;&lt;p&gt;recrutamento.salvador@wilsonsons.com.br,&lt;/p&gt;&lt;p&gt;dho.teconsalvador@wilsonsons.com.br,&lt;/p&gt;&lt;p&gt;**************************************************************&lt;/p&gt;&lt;p&gt;&lt;strong&gt;PATRIMONIAL&lt;/strong&gt;&lt;/p&gt;&lt;p&gt;segurancapatrimonial.tcsv@wilsonsons.com.br,&lt;/p&gt;&lt;p&gt;recepcao.tcsv@wilsonsons.com.br,&lt;/p&gt;&lt;p&gt;fernando.borba@wilsonsons.com.br,&lt;/p&gt;&lt;p&gt;**************************************************************&lt;/p&gt;&lt;p&gt;&lt;strong&gt;SUPRIMENTOS&lt;/strong&gt;&lt;/p&gt;&lt;p&gt;helder.santos@wilsonsons.com.br,&lt;/p&gt;&lt;p&gt;rafaela.fernandes@wilsonsons.com.br,&lt;/p&gt;&lt;p&gt;ernani.cabanas@wilsonsons.com.br,&lt;/p&gt;&lt;p&gt;**************************************************************&lt;/p&gt;&lt;p&gt;atendimento.tcrg@wilsonsons.com.br,&lt;/p&gt;&lt;p&gt;**************************************************************&lt;/p&gt;&lt;p&gt;&lt;strong&gt;SMS&lt;/strong&gt;&lt;/p&gt;&lt;p&gt;Jeferson.caldas@wilsonsons.com.br,&lt;/p&gt;&lt;p&gt;bruno.caldas@wilsonsons.com.br,&lt;/p&gt;&lt;p&gt;bruno.ambrosi@wilsonsons.com.br,&lt;/p&gt;&lt;p&gt;luis.guedes@wilsonsons.com.br,&lt;/p&gt;&lt;p&gt;tiago.reis@wilsonsons.com.br,&lt;/p&gt;&lt;p&gt;**************************************************************&lt;/p&gt;&lt;p&gt;&lt;strong&gt;REEFER&lt;/strong&gt;&lt;/p&gt;&lt;p&gt;reefer.tcsv@wilsonsons.com.br,&lt;/p&gt;&lt;p&gt;jonata.pereira@wilsonsons.com.br,&lt;/p&gt;&lt;p&gt;fabricio.mota@wilsonsons.com.br,&lt;/p&gt;&lt;p&gt;luis.pimentel@wilsonsons.com.br,&lt;/p&gt;&lt;p&gt;**************************************************************&lt;/p&gt;&lt;p&gt;&lt;strong&gt;JURÍDICO&lt;/strong&gt;&lt;/p&gt;&lt;p&gt;relacoestrabalhistas@wilsonsons.com.br,&lt;/p&gt;&lt;p&gt;julia.quaresma@wilsonsons.com.br,&lt;/p&gt;&lt;p&gt;juliana.nunes@wilsonsons.com.br,&lt;/p&gt;&lt;p&gt;&lt;a href="mailto:camila.brandao@wilsonsons.com.br"&gt;&lt;span&gt;camila.brandao@wilsonsons.com.br&lt;/span&gt;&lt;/a&gt; &lt;/p&gt;&lt;p&gt;bruna.spinardi@wilsonsons.com.br&lt;/p&gt;&lt;p&gt;**************************************************************&lt;/p&gt;&lt;p&gt;&lt;strong&gt;TI&lt;/strong&gt;&lt;/p&gt;&lt;p&gt;lucas.ventura@wilsonsons.com.br,&lt;/p&gt;&lt;p&gt;ivan.silva@wilsonsons.com.br,&lt;/p&gt;&lt;p&gt;ramon.almeida@wilsonsons.com.br,&lt;/p&gt;&lt;p&gt;mateus.queiroz@wilsonsons.com.br,&lt;/p&gt;&lt;p&gt;pedro.jesus@wilsonsons.com.br,&lt;/p&gt;&lt;p&gt;rafael.souza@wilsonsons.com.br,&lt;/p&gt;&lt;p&gt;delvechio.junior@wilsonsons.com.br,&lt;/p&gt;&lt;p&gt;mario.jesus@wilsonsons.com.br,&lt;/p&gt;&lt;p&gt;**************************************************************&lt;/p&gt;&lt;p&gt;&lt;strong&gt;COMERCIAL&lt;/strong&gt;&lt;/p&gt;&lt;p&gt;cleo.maryan@wilsonsons.com.br,&lt;/p&gt;&lt;p&gt;vanessa.queiroz@wilsonsons.com.br,&lt;/p&gt;&lt;p&gt;maicon.sousa@wilsonsons.com.br,&lt;/p&gt;&lt;p&gt;karoline.torres@wilsonsons.com.br,&lt;/p&gt;&lt;p&gt;patricia.muinos@wilsonsons.com.br,&lt;/p&gt;&lt;p&gt;bruno.souza@wilsonsons.com.br,&lt;/p&gt;&lt;p&gt;robert.castro@wilsonsons.com.br,&lt;/p&gt;&lt;p&gt;wesley.pereira@wilsonsons.com.br,&lt;/p&gt;&lt;p&gt;renata.silva@wilsonsons.com.br,&lt;/p&gt;&lt;p&gt;mayron.kaneko@wilsonsons.com.br,&lt;/p&gt;&lt;p&gt;ederson.oliveira@wilsonsons.com.br, (reclamações)&lt;/p&gt;&lt;p&gt;fabio.licata@wilsonsons.com.br,&lt;/p&gt;&lt;p&gt;&lt;a href="mailto:micael.santos@wilsonsons.com.br"&gt;micael.santos@wilsonsons.com.br&lt;/a&gt; (estagiario de cleo/mayron/vanessa/renata)&lt;/p&gt;&lt;p&gt;&lt;a href="mailto:lucas.biset@wilsonsons.com.br"&gt;lucas.biset@wilsonsons.com.br&lt;/a&gt; (estagiario de bruno)&lt;/p&gt;&lt;p&gt;&lt;a href="mailto:leticia.sousa@wilsonsons.com.br"&gt;leticia.sousa@wilsonsons.com.br&lt;/a&gt; (estagiaria de impo)&lt;/p&gt;&lt;p&gt;marilia.ataide@wilsonsons.com.br  (CX)&lt;/p&gt;&lt;p&gt;**************************************************************&lt;/p&gt;&lt;p&gt;saudeocupacional.tcsv@wilsonsons.com.br&lt;/p&gt;&lt;p&gt;**************************************************************&lt;/p&gt;&lt;p&gt;Marcos.Teixeira@rfb.gov.br,&lt;/p&gt;&lt;p&gt;flaudimiro.vitoria-filho@rfb.gov.br,&lt;/p&gt;&lt;p&gt;davirene.Silveira@rfb.gov.br,&lt;/p&gt;&lt;p&gt;anderson.amaral-souza@rfb.gov.br,&lt;/p&gt;&lt;p&gt;roberto.reis@rfb.gov.br,&lt;/p&gt;&lt;p&gt;Peter.Tofte@rfb.gov.br,&lt;/p&gt;&lt;p&gt;vigi.ssa@agricultura.gov.br,&lt;/p&gt;&lt;p&gt;svaportodesalvador@agricultura.gov.br,&lt;/p&gt;&lt;p&gt; &lt;/p&gt;&lt;p&gt;&lt;br/&gt; &lt;/p&gt;</t>
  </si>
  <si>
    <t>https://wilsonsons.zendesk.com/api/v2/help_center/pt-br/articles/39441645259661.json</t>
  </si>
  <si>
    <t>https://atendimento.teconsvonline.com.br/hc/pt-br/articles/39441645259661-Informa%C3%A7%C3%B5es-sobre-a-Tabela-de-Pre%C3%A7os</t>
  </si>
  <si>
    <t>Aina Alves</t>
  </si>
  <si>
    <t>Faturamento</t>
  </si>
  <si>
    <t>Informações sobre a Tabela de Preços</t>
  </si>
  <si>
    <t>['01HQDJ3TH752A734MG7NWZXQP6', '01K4QQ050QTKK4T96CSHPS7EBR']</t>
  </si>
  <si>
    <t>['Faturamento', 'custos', 'DÚVIDAS GERAIS']</t>
  </si>
  <si>
    <t>&lt;p&gt;&lt;span&gt;&lt;span&gt;&lt;img height="30"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 width="156"/&gt;&lt;/span&gt;&lt;/span&gt;&lt;/p&gt;&lt;p&gt;&lt;br/&gt;&lt;strong&gt;1. Quando um serviço de embarque ou descarga é considerado finalizado?&lt;/strong&gt;&lt;/p&gt;&lt;p&gt;O serviço só é considerado totalmente concluído com a movimentação final da carga. Para serviços de &lt;strong&gt;embarque&lt;/strong&gt;, a finalização ocorre quando a carga entra no navio. Para serviços de &lt;strong&gt;descarga&lt;/strong&gt;, a finalização acontece com a retirada completa da carga do terminal.&lt;/p&gt;&lt;p&gt; &lt;/p&gt;&lt;p&gt;&lt;strong&gt;2. Como a cobrança dos serviços é realizada?&lt;/strong&gt;&lt;/p&gt;&lt;p&gt;A cobrança é baseada na tabela de preços que estiver em vigor na data em que o serviço é finalizado. Ou seja, o que determina o preço final é a data da saída da carga (para descarga) ou a data do embarque no navio, e não a data em que a carga chegou ao terminal.&lt;/p&gt;&lt;p&gt; &lt;/p&gt;&lt;p&gt;&lt;strong&gt;3. O que acontece se a tabela de preços for atualizada enquanto minha carga ainda está no terminal?&lt;/strong&gt;&lt;/p&gt;&lt;p&gt;Se a sua proposta comercial for renovada e uma nova tabela de preços entrar em vigor enquanto sua carga estiver armazenada no terminal, os valores dos serviços serão ajustados. A nova tabela de preços será aplicada a todo o período de serviço, de forma retroativa desde a chegada da carga.&lt;/p&gt;&lt;p&gt;&lt;strong&gt;Exemplo Prático:&lt;/strong&gt;&lt;/p&gt;&lt;ul&gt;
&lt;li&gt;
&lt;strong&gt;Situação:&lt;/strong&gt; Sua carga chegou ao terminal na vigência da Tabela A. Antes da retirada da carga, uma nova Tabela B, com valores atualizados, foi negociada e entrou em vigor.&lt;/li&gt;
&lt;li&gt;
&lt;strong&gt;Cobrança:&lt;/strong&gt; O valor total do serviço será calculado com base nos preços da &lt;strong&gt;Tabela B&lt;/strong&gt;, cobrando o valor integral de acordo com a nova proposta, mesmo que parte do período de armazenagem tenha ocorrido durante a vigência da Tabela A.&lt;/li&gt;
&lt;/ul&gt;&lt;p&gt;Este princípio garante que o preço final corresponda sempre à tabela vigente no momento da conclusão efetiva do serviço.&lt;/p&gt;&lt;p&gt; &lt;/p&gt;&lt;p&gt;&lt;strong&gt;4. Onde posso encontrar a tabela de preços atualizada?&lt;/strong&gt;&lt;/p&gt;&lt;p&gt;A "Tabela de Preços e Condições Comerciais" mais recente está sempre disponível para consulta pública.  As alterações podem ocorrer a qualquer momento e entram em vigência a partir de sua publicação no site do terminal, de acordo com regras estabelecidas pela ANTAQ.&lt;/p&gt;&lt;p&gt; &lt;/p&gt;&lt;p&gt;&lt;strong&gt;5. Como são aplicados os impostos sobre os valores da tabela?&lt;/strong&gt;&lt;/p&gt;&lt;p&gt;Os preços listados na tabela são líquidos de tributos. No faturamento final, serão acrescidos os valores referentes aos impostos (como ISS) e contribuições (PIS e COFINS), ou os impostos devidos de acordo com a legislação vigente.&lt;/p&gt;</t>
  </si>
  <si>
    <t>https://wilsonsons.zendesk.com/api/v2/help_center/pt-br/articles/39441546144909.json</t>
  </si>
  <si>
    <t>https://atendimento.teconsvonline.com.br/hc/pt-br/articles/39441546144909-Informa%C3%A7%C3%B5es-de-Agendamento-e-Atendimento-para-processos-de-Exporta%C3%A7%C3%A3o</t>
  </si>
  <si>
    <t>Exportação</t>
  </si>
  <si>
    <t>Informações de Agendamento e Atendimento para processos de Exportação</t>
  </si>
  <si>
    <t>['01HKQZCVB7HYTHKD6J2H5JQZFW', '01K4QQ050QTKK4T96CSHPS7EBR']</t>
  </si>
  <si>
    <t>['Exportação', 'DÚVIDAS GERAIS']</t>
  </si>
  <si>
    <t>&lt;p&gt;&lt;span&gt;&lt;span&gt;&lt;img height="30"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 width="156"/&gt;&lt;/span&gt;&lt;/span&gt;&lt;/p&gt;&lt;p&gt; &lt;/p&gt;&lt;p&gt;&lt;strong&gt;1- Qual o prazo para a presença de carga de exportação?&lt;/strong&gt;&lt;/p&gt;&lt;p&gt;R.: Os sistemas do Tecon Salvador são totalmente integrados aos sistemas da Receita Federal do Brasil (RFB), o que permite que, em até 5 minutos após a entrada do contêiner no terminal, as informações estejam disponíveis para os trâmites aduaneiros.&lt;/p&gt;&lt;p&gt;Essa integração funciona de forma automática e contínua, acompanhando nosso atendimento operacional 24 horas por dia, 7 dias por semana, sem interrupções.&lt;/p&gt;&lt;p&gt; &lt;/p&gt;&lt;p&gt;&lt;strong&gt;2- Com quantos dias de antecedência o gate abre?&lt;/strong&gt;&lt;/p&gt;&lt;p&gt;R.: A abertura do gate para recebimento de contêineres ocorre cinco dias antes da data estimada de chegada do navio (ETA), garantindo maior previsibilidade e organização nas operações.&lt;br/&gt; &lt;/p&gt;&lt;p&gt;&lt;strong&gt;3- Quantas janelas estão disponíveis por dia para entrada de exportação?&lt;/strong&gt;&lt;/p&gt;&lt;p&gt;R.: Para garantir agilidade e organização na recepção de cargas, o terminal disponibiliza janelas específicas para entrada de contêineres:&lt;/p&gt;&lt;ul&gt;
&lt;li&gt;&lt;p&gt;Contêineres Dry (carga seca):&lt;br/&gt;São oferecidas 360 janelas por dia, o que equivale a 15 janelas por hora.&lt;br/&gt;&lt;br/&gt; &lt;/p&gt;&lt;/li&gt;
&lt;li&gt;&lt;p&gt;Contêineres Reefer (refrigerados):&lt;br/&gt;São disponibilizadas 120 janelas por dia, ou seja, 5 janelas por hora.&lt;br/&gt; &lt;/p&gt;&lt;/li&gt;
&lt;/ul&gt;&lt;p&gt;Bônus: Entrada Próxima ao Deadline&lt;br/&gt;Pensando em oferecer mais flexibilidade, também disponibilizamos uma operação especial chamada "Entrada de CNTR Deadline".&lt;br/&gt;Essa faina extra é liberada 24 horas antes do prazo final de atracação do navio (deadline) e oferece 120 janelas adicionais, ou seja, 5 janelas por hora a mais, exclusivamente para contêineres que precisam ser depositados próximo ao encerramento do prazo.&lt;/p&gt;&lt;p&gt; &lt;/p&gt;&lt;p&gt;&lt;strong&gt;4- Quais são os horários e dias de atendimento de entrada?&lt;/strong&gt;&lt;/p&gt;&lt;p&gt;R.: O Tecon Salvador opera 24 horas por dia, 7 dias por semana, garantindo atendimento contínuo para as operações de entrada e saída de contêineres cheios.&lt;/p&gt;&lt;p&gt; &lt;/p&gt;&lt;p&gt;&lt;strong&gt;5- Quais armadores atendem o porto de Salvador?&lt;/strong&gt;&lt;/p&gt;&lt;p&gt;R.: MSC, Hapag Lloyd, Grupo MSK (Maersk, Hamburg Sud, Aliança), ZIM, CMA CGM, Mercosul Line, Cosco, Login, &lt;/p&gt;&lt;p&gt;&lt;br/&gt; &lt;/p&gt;&lt;p&gt;&lt;strong&gt;6- Em que momento ocorre o faturamento de exportação?&lt;/strong&gt;&lt;/p&gt;&lt;p&gt;R.: O faturamento é gerado de forma automática a partir de gatilhos no sistema, conforme o andamento da carga no terminal. Por exemplo:&lt;/p&gt;&lt;ul&gt;
&lt;li&gt;&lt;p&gt;Recepção da carga: ao passar pelo nosso gate in, é acionado um gatilho que registra a recepção da carga e inicia o processo de faturamento. Após a confirmação do embarque, o faturamento é emitido automaticamente;&lt;/p&gt;&lt;/li&gt;
&lt;li&gt;&lt;p&gt;Escaneamento: no caso do scanner, assim que o contêiner passa pelo equipamento, o sistema identifica a finalização da etapa e emite a fatura automaticamente, enviando-a para os e-mails previamente cadastrados.&lt;/p&gt;&lt;/li&gt;
&lt;/ul&gt;&lt;p&gt; &lt;/p&gt;&lt;p&gt;&lt;strong&gt;7- Quantos plugs estão disponíveis para cargas refrigeradas?&lt;/strong&gt;&lt;/p&gt;&lt;p&gt;R.: 834 tomadas disponíveis.&lt;/p&gt;&lt;p&gt; &lt;/p&gt;&lt;p&gt;&lt;strong&gt;8- Quais dados são necessários para fazer o agendamento de entrada?&lt;/strong&gt;&lt;/p&gt;&lt;p&gt;R.: Para solicitar a entrada de um contêiner no terminal, é necessário apresentar as seguintes informações:&lt;/p&gt;&lt;ul&gt;
&lt;li&gt;&lt;p&gt;Número do contêiner;&lt;/p&gt;&lt;/li&gt;
&lt;li&gt;&lt;p&gt;Nota fiscal vinculada ao contêiner (podendo ser cadastrada de forma manual ou importando o xml);&lt;/p&gt;&lt;/li&gt;
&lt;li&gt;&lt;p&gt;Dados do motorista e do veículo;&lt;/p&gt;&lt;/li&gt;
&lt;li&gt;&lt;p&gt;Número do booking de exportação;&lt;/p&gt;&lt;/li&gt;
&lt;/ul&gt;</t>
  </si>
  <si>
    <t>https://wilsonsons.zendesk.com/api/v2/help_center/pt-br/articles/39441453704461.json</t>
  </si>
  <si>
    <t>https://atendimento.teconsvonline.com.br/hc/pt-br/articles/39441453704461-Informa%C3%A7%C3%B5es-sobre-servi%C3%A7os-realizados-no-Centro-Log%C3%ADstico-de-Salvador</t>
  </si>
  <si>
    <t>Informações sobre serviços realizados no Centro Logístico de Salvador</t>
  </si>
  <si>
    <t>['01H32JT9HQS6WJFWMED6MR765G', '01JM2BRXZTXR5TE494HMJTVA32', '01K4QQ5AZ2D8ZP2S3DRKZ0MJH9']</t>
  </si>
  <si>
    <t>['ARMAZÉM GERAL', 'CENTRO LOGÍSTICO']</t>
  </si>
  <si>
    <t>&lt;p&gt;&lt;span&gt;&lt;span&gt;&lt;img height="30"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 width="156"/&gt;&lt;/span&gt;&lt;/span&gt;&lt;/p&gt;&lt;p&gt; &lt;/p&gt;&lt;p&gt;&lt;strong&gt;1 - Quais os serviços são possíveis de serem realizados no CLS?&lt;/strong&gt;&lt;/p&gt;&lt;p&gt;R.: Desova, Carregamento, Devolução de vazio, Pré-stacking, Buffer, Estufagem, Crossdocking, Lashing, Emissão de certificado de lashing, Armazenagem geral, Paletização, Redex e Fumigação.&lt;/p&gt;&lt;p&gt;&lt;br/&gt; &lt;/p&gt;&lt;p&gt;&lt;strong&gt;2- Qual o horário limite para recebimento de container cheio no CLS?&lt;/strong&gt;&lt;/p&gt;&lt;p&gt;R.: Para armazenagem, pré-stacking ou buffer, os contêineres cheios podem ser recebidos até as 20h.&lt;/p&gt;&lt;p&gt;&lt;br/&gt; &lt;/p&gt;&lt;p&gt;&lt;strong&gt;3&lt;/strong&gt;&lt;strong&gt;- Através de qual contato consigo programar o recebimento de uma operação no CLS?&lt;/strong&gt;&lt;/p&gt;&lt;p&gt;R.: As programações podem e são realizadas através do e-mail do e-mail de Atendimento ao Cliente&lt;/p&gt;&lt;p&gt;E-mail: &lt;a href="mailto:atendimento.ag@wilsonsons.com.br" target="_blank"&gt;atendimento.ag@wilsonsons.com.br&lt;/a&gt;&lt;/p&gt;&lt;p&gt;Tel.: 71 98199-1271&lt;/p&gt;&lt;p&gt;&lt;br/&gt; &lt;/p&gt;&lt;p&gt;&lt;strong&gt;4- Quais dados mínimos para obter uma cotação?&lt;/strong&gt;&lt;/p&gt;&lt;p&gt;R.: Para que possamos elaborar uma cotação precisa, é necessário informar:&lt;/p&gt;&lt;ul&gt;
&lt;li&gt;&lt;p&gt;Tipo do serviço;&lt;/p&gt;&lt;/li&gt;
&lt;li&gt;&lt;p&gt;Tipo de carga;&lt;/p&gt;&lt;/li&gt;
&lt;li&gt;&lt;p&gt;Volume total;&lt;/p&gt;&lt;/li&gt;
&lt;li&gt;&lt;p&gt;Peso da mercadoria (especificar se a estufagem é em Big Bag ou Pallet);&lt;/p&gt;&lt;/li&gt;
&lt;li&gt;&lt;p&gt;Dimensões(altura, largura e comprimento);&lt;/p&gt;&lt;/li&gt;
&lt;li&gt;&lt;p&gt;Fotos da mercadoria (quando possível);&lt;/p&gt;&lt;/li&gt;
&lt;li&gt;&lt;p&gt;Se for um produto químico, enviar Fispq referente ao produto;&lt;/p&gt;&lt;/li&gt;
&lt;/ul&gt;&lt;p&gt;&lt;br/&gt;&lt;br/&gt; &lt;/p&gt;&lt;p&gt;&lt;strong&gt;5- Qual o horário de funcionamento do Centro Logístico?&lt;/strong&gt;&lt;/p&gt;&lt;p&gt;R.: Depot:&lt;/p&gt;&lt;p&gt;Seg a Sex: 07h às 00:30&lt;/p&gt;&lt;p&gt;Sáb: 07h às 16h&lt;/p&gt;&lt;p&gt;&lt;br/&gt; &lt;/p&gt;&lt;p&gt;Armazém Geral&lt;/p&gt;&lt;p&gt;Seg a Sex:- 08h às 17h&lt;/p&gt;&lt;p&gt;Sáb: 08h Às 12h&lt;/p&gt;&lt;p&gt;&lt;br/&gt; &lt;/p&gt;&lt;p&gt;&lt;strong&gt;6- O CLS oferece serviço de transporte?&lt;/strong&gt;&lt;/p&gt;&lt;p&gt;R.: O único trajeto de transporte disponibilizado pelo CLS é entre o Porto e o próprio CLS, e vice-versa.&lt;/p&gt;&lt;p&gt;&lt;br/&gt; &lt;/p&gt;&lt;p&gt;&lt;strong&gt;7- Como faço para obter uma cotação?&lt;/strong&gt;&lt;/p&gt;&lt;p&gt;R.: Basta entrar em contato com as nossas executivas comerciais:&lt;/p&gt;&lt;p&gt; &lt;/p&gt;&lt;p&gt;Renata Silva&lt;/p&gt;&lt;p&gt;LDR/SDR - Líder de Relacionamento&lt;/p&gt;&lt;p&gt;Tel.: 71 98152-3651&lt;/p&gt;&lt;p&gt;E-mail: &lt;a href="mailto:renata.silva@wilsonsons.com.br" target="_blank"&gt;renata.silva@wilsonsons.com.br&lt;/a&gt;&lt;/p&gt;&lt;p&gt; &lt;/p&gt;&lt;p&gt;Cléo Maryan&lt;/p&gt;&lt;p&gt;Coordenadora Comercial&lt;/p&gt;&lt;p&gt;Tecon Salvador &amp;amp; Centro Logístico Salvador&lt;/p&gt;&lt;p&gt;Cel: + 55 71 9 9178 1278&lt;/p&gt;&lt;p&gt;E-mail: &lt;a href="mailto:cleo.maryan@wilsonsons.com.br" target="_blank"&gt;cleo.maryan@wilsonsons.com.br&lt;/a&gt;&lt;/p&gt;&lt;p&gt;&lt;br/&gt; &lt;/p&gt;&lt;p&gt;&lt;strong&gt;8- É possível realizar estufagem a granel no CLS?&lt;/strong&gt;&lt;/p&gt;&lt;p&gt;R.: Atualmente, não realizamos estufagem de carga a granel devido a limitações de espaço físico que esta operação exige.&lt;/p&gt;&lt;p&gt;&lt;br/&gt; &lt;/p&gt;&lt;p&gt;&lt;strong&gt;9- Qual a diferença entre o serviço de armazém geral e Redex?&lt;/strong&gt;&lt;/p&gt;&lt;p&gt;R.: A diferença entre armazém geral e REDEX está principalmente na finalidade, papel na cadeia logística e no vínculo com a Receita Federal.&lt;/p&gt;&lt;p&gt;O Armazém geral é um espaço destinado ao armazenamento de mercadorias, nacionalizadas.&lt;/p&gt;&lt;p&gt;O Redex é um local autorizado pela Receita Federal para que as cargas destinadas à exportação sejam desembaraçadas fora da zona primária.&lt;/p&gt;&lt;p&gt;&lt;br/&gt; &lt;/p&gt;&lt;p&gt;&lt;strong&gt;10- Quais tipos de carga podem ser armazenados no CLS?&lt;/strong&gt;&lt;/p&gt;&lt;p&gt;R.: O Centro Logístico Salvador está preparado para receber todos os tipos de carga, com exceção de cargas classificadas como químico perigoso.&lt;/p&gt;&lt;p&gt;&lt;br/&gt; &lt;/p&gt;</t>
  </si>
  <si>
    <t>https://wilsonsons.zendesk.com/api/v2/help_center/pt-br/articles/39441330577549.json</t>
  </si>
  <si>
    <t>https://atendimento.teconsvonline.com.br/hc/pt-br/articles/39441330577549-Informa%C3%A7%C3%B5es-Gerais-sobre-o-processo-de-Cabotagem</t>
  </si>
  <si>
    <t>Cabotagem</t>
  </si>
  <si>
    <t>Informações Gerais sobre o processo de Cabotagem</t>
  </si>
  <si>
    <t>['01HK7ZMRH3J546RX51MRNV43MR', '01K4QQ050QTKK4T96CSHPS7EBR']</t>
  </si>
  <si>
    <t>['CABOTAGEM']</t>
  </si>
  <si>
    <t>&lt;p&gt;&lt;span&gt;&lt;span&gt;&lt;img height="30"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 width="156"/&gt;&lt;/span&gt;&lt;/span&gt;&lt;/p&gt;&lt;p&gt; &lt;/p&gt;&lt;ol&gt;&lt;li&gt;&lt;p&gt;&lt;strong&gt;O que é a Cabotagem?&lt;/strong&gt;&lt;/p&gt;&lt;/li&gt;&lt;/ol&gt;&lt;p&gt;R.: A Cabotagem é a navegação entre portos do mesmo país. ABAC (Associação Brasileira dos Armadores de Cabotagem).&lt;/p&gt;&lt;p&gt; &lt;/p&gt;&lt;ol&gt;&lt;li&gt;&lt;p&gt;&lt;strong&gt; Qual o prazo de freetime para Cabotagem?&lt;/strong&gt;&lt;/p&gt;&lt;/li&gt;&lt;/ol&gt;&lt;p&gt;R.: O prazo para remoção são de 10 dias corridos, contados a partir da descarga do primeiro container do lote.&lt;/p&gt;&lt;p&gt; &lt;/p&gt;&lt;ol&gt;&lt;li&gt;&lt;p&gt;&lt;strong&gt;- Qual o prazo para emissão do booking de retirada? &lt;/strong&gt;&lt;/p&gt;&lt;/li&gt;&lt;/ol&gt;&lt;p&gt;R.: O booking é gerado automaticamente a partir do lançamento da chave do CTe no Portal do Cliente e após a confirmação da descarga do contêiner no terminal.&lt;/p&gt;&lt;p&gt;&lt;br/&gt; &lt;/p&gt;&lt;p&gt;&lt;strong&gt;   4.  - Quando o booking é disponibilizado no Portal?&lt;/strong&gt;&lt;/p&gt;&lt;p&gt;R.: O booking é disponibilizado assim que a descarga do container é confirmada. Basta que a chave de acesso do CTe esteja inserida no Portal do Cliente.&lt;/p&gt;&lt;p&gt;&lt;br/&gt; &lt;/p&gt;&lt;p&gt;&lt;strong&gt;5 - Quando a transportadora pode agendar a retirada do container?&lt;/strong&gt;&lt;/p&gt;&lt;p&gt;R.: A transportadora já pode realizar o agendamento de retirada, assim que receber a informação do Booking.&lt;/p&gt;&lt;p&gt;&lt;br/&gt; &lt;/p&gt;&lt;p&gt;&lt;strong&gt;6 - Preciso aguardar a operação do navio finalizar para agendar a retirada?&lt;/strong&gt;&lt;/p&gt;&lt;p&gt;R.: Não. Para containers de Cabotagem o agendamento de retirada e remoção não necessitam aguardar a finalização da operação do navio. Uma vez que o booking esteja disponível, basta realizar o agendamento e remover o container.&lt;/p&gt;&lt;p&gt;&lt;br/&gt; &lt;/p&gt;&lt;p&gt;&lt;strong&gt;7 - Qual a diferença da Cabotagem entre os fretes Porta e Porto?&lt;/strong&gt;&lt;/p&gt;&lt;p&gt;R.:  Porto x Porto: Responsabilidade logística total do cliente. Essas etapas incluem: Coleta e entrega do container no porto de embarque - Coleta do container no Porto de destino - transferência para a planta do cliente. Caso haja faturamento, os custos serão direcionados ao cliente final.&lt;br/&gt;&lt;br/&gt;Porta x Porto: Responsabilidade logística parcial entre cliente e armador. Essas etapas incluem: Coleta e entrega do container no porto de embarque por responsabilidade do armador - Coleta do container no Porto de destino e transferência para a planta sob responsabilidade do cliente. Caso haja faturamento, os custos serão direcionados ao cliente final.&lt;br/&gt;&lt;br/&gt; &lt;/p&gt;&lt;p&gt;Porta x Porta: Responsabilidade logística total do armador. Essas etapas incluem: Coleta e entrega do container no porto de embarque por responsabilidade do armador - Coleta do container no Porto de destino e transferência para a planta sob responsabilidade do armador. Caso haja faturamento, os custos serão direcionados ao armador.&lt;/p&gt;&lt;p&gt;&lt;br/&gt; &lt;/p&gt;&lt;p&gt;Porto x Porta: Responsabilidade logística parcial entre cliente e armador. Essas etapas incluem: Coleta e entrega do container no porto de embarque por responsabilidade do cliente - Coleta do container no Porto de destino e transferência para a planta sob responsabilidade do armador. Caso haja faturamento, os custos serão direcionados ao armador.&lt;br/&gt;&lt;br/&gt; &lt;/p&gt;&lt;p&gt;&lt;strong&gt;8 - Quais as vantagens de utilizar a Cabotagem em comparação com o transporte rodoviário?&lt;/strong&gt;&lt;/p&gt;&lt;p&gt;R.:  Os caminhões utilizam a menor parte dos trechos (coleta e entrega nos portos), reduzindo a emissão de CO2. Além disso, a Cabotagem detém o melhor desempenho em segurança de transporte dentre os modais, com menos acidentes e quase inexistente índice de roubo de carga, o que acarreta um custo menor de seguro para o cliente. &lt;/p&gt;&lt;p&gt; &lt;/p&gt;&lt;p&gt;&lt;strong&gt;9 - Quantas linhas marítimas estão disponíveis hoje e quais são os Portos?&lt;/strong&gt;&lt;/p&gt;&lt;p&gt;R.:  Temos hoje disponíveis 4 linhas marítimas: &lt;/p&gt;&lt;p&gt;ALCT Sling 1 Norte - Serviço que oferece uma ampla cobertura portuária do Norte, Nordeste e Sudeste do Brasil. (Há passagem pelos Portos: Suape, Pecém, Manaus, Santos e Itaguaí).&lt;/p&gt;&lt;p&gt; SEA | EXPRESSO AMAZONAS (Sul e Norte) - Serviço que oferece uma ampla cobertura portuária do Norte, Nordeste, Sudeste e Sul do Brasil. (Há passagem pelos Portos: Suape, Pecém, Manaus, Santos, Navegantes e Paranaguá).&lt;/p&gt;&lt;p&gt;ALCT Sling 2 Sul - Serviço com rápida conexão entre o Nordeste, Sudeste e Sul do Brasil. (Há passagem pelos Portos: Santos, Itapoá, Rio Grande, Imbituba, Suape e Pecém).&lt;/p&gt;&lt;p&gt;Atlântico Sul - Serviço que conecta o Nordeste, Sudeste e o Sul do Brasil, à Argentina e o Uruguai. (Há passagem pelos Portos: Santos, Navegantes, Buenos Aires, Montevideo, La Plata, Rio Grande, Navegantes, Santos, Suape, Pecém)&lt;/p&gt;&lt;p&gt;&lt;br/&gt; &lt;/p&gt;&lt;ol&gt;&lt;li&gt;&lt;p&gt;&lt;strong&gt;–  Quais são os armadores parceiros da Cabotagem?&lt;/strong&gt;&lt;/p&gt;&lt;/li&gt;&lt;/ol&gt;&lt;p&gt;R.:  Aliança, Log-In e Mercosul.&lt;/p&gt;</t>
  </si>
  <si>
    <t>https://wilsonsons.zendesk.com/api/v2/help_center/pt-br/articles/39441101772813.json</t>
  </si>
  <si>
    <t>https://atendimento.teconsvonline.com.br/hc/pt-br/articles/39441101772813-Informa%C3%A7%C3%B5es-sobre-cargas-de-Projetos-Break-Bulk</t>
  </si>
  <si>
    <t>Informações sobre cargas de Projetos/ Break Bulk</t>
  </si>
  <si>
    <t>['01K4QPRX77YYM1QF2QMBADGAVK', '01K4QPS32T9D0PBQ9JY9B87T3A']</t>
  </si>
  <si>
    <t>['break bulk', 'projetos']</t>
  </si>
  <si>
    <t>&lt;p&gt;&lt;span&gt;&lt;span&gt;&lt;img height="30"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 width="156"/&gt;&lt;/span&gt;&lt;/span&gt;&lt;/p&gt;&lt;p&gt; &lt;/p&gt;&lt;div&gt;
&lt;strong&gt;O que são Cargas de Projeto e Break Bulk (BBK)?&lt;/strong&gt;&lt;br/&gt;Cargas de Projeto e BBK (Break Bulk) são mercadorias que,&lt;br/&gt;devido ao seu tamanho, peso ou formato irregular, não podem ser&lt;br/&gt;transportadas em contêineres comuns. Elas exigem planejamento e manuseio&lt;br/&gt;especiais, como peças industriais, turbinas, veículos grandes, etc.&lt;/div&gt;&lt;div&gt;
&lt;br/&gt;&lt;strong&gt;Quais informações são necessárias para solicitar uma cotação de carga BBK?&lt;/strong&gt;&lt;br/&gt;Para uma cotação precisa, precisamos de informações como:&lt;br/&gt;dimensões (comprimento, largura, altura) e peso exatos da carga, tipo de&lt;br/&gt;mercadoria, origem e destino final, fotos e desenhos técnicos.&lt;/div&gt;&lt;div&gt;
&lt;br/&gt;&lt;strong&gt;Como é feito o acompanhamento e a segurança das cargas durante a&lt;/strong&gt;&lt;br/&gt;&lt;strong&gt;operação?&lt;/strong&gt;
&lt;/div&gt;&lt;div&gt;Priorizamos a segurança e o monitoramento contínuo.&lt;br/&gt;Utilizamos técnicas de amarração e peação específicas para BBK, além de&lt;br/&gt;equipamentos de última geração e profissionais altamente treinados para&lt;br/&gt;garantir a integridade da sua carga em todas as fases da operação.&lt;/div&gt;&lt;div&gt;
&lt;br/&gt;Além da movimentação portuária, a Wilson Sons oferece outros serviços para cargas BBK?&lt;br/&gt;Sim, além da movimentação no porto, oferecemos armazenagem alfandegada, proporcionando uma solução logística integrada.&lt;/div&gt;&lt;div&gt;
&lt;br/&gt;&lt;strong&gt;Posso acompanhar o status da minha carga durante a operação?&lt;/strong&gt;&lt;br/&gt;Sim, a Wilson Sons disponibiliza canais de comunicação e, em alguns casos, portais do cliente para que você possa acompanhar o status e o andamento da sua carga. Nossa equipe de atendimento também estará à&lt;br/&gt;disposição para atualizações.&lt;/div&gt;</t>
  </si>
  <si>
    <t>https://wilsonsons.zendesk.com/api/v2/help_center/pt-br/articles/39440345586957.json</t>
  </si>
  <si>
    <t>https://atendimento.teconsvonline.com.br/hc/pt-br/articles/39440345586957-Quais-s%C3%A3o-os-custos-aplicados-para-os-processos-de-Importa%C3%A7%C3%A3o</t>
  </si>
  <si>
    <t>Importação</t>
  </si>
  <si>
    <t>Quais são os custos aplicados para os processos de Importação?</t>
  </si>
  <si>
    <t>['01GXBBVV4KCAK35JQ2KGFJHCQK', '01HZMQGRPBQ8ESBCHHKN5ZW333', '01JNNPPJRRH0MYQGDR630QEPJ8', '01K4QNN8AK6KAT9QQEEATXQQ82']</t>
  </si>
  <si>
    <t>['Simulador de custos', 'DÚVIDAS GERAIS']</t>
  </si>
  <si>
    <t>&lt;p&gt;&lt;span&gt;&lt;span&gt;&lt;img height="30"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 width="156"/&gt;&lt;/span&gt;&lt;/span&gt;&lt;/p&gt;&lt;p&gt;&lt;br/&gt;&lt;strong&gt;O que são os “dias de porta” mencionados na proposta?&lt;/strong&gt;&lt;br/&gt;Dias de porta são os dias livres de cobrança de armazenagem oferecidos pelo terminal. São aplicados apenas no último período de armazenagem da carga.&lt;br/&gt;Exemplo: 7+2 = 9; 7+7+2 = 16; 7+7+7+2 = 23.&lt;br/&gt;&lt;br/&gt;&lt;strong&gt;Quais são os custos padrão aplicados em todas as operações no Tecon Salvador?&lt;/strong&gt;&lt;br/&gt;Os custos padrão incluem: armazenagem, presença de carga, inspeção não invasiva e gerenciamento de risco.&lt;br/&gt;Esses custos são aplicados em todas as operações de importação, com exceção da inspeção não invasiva para contêineres Flat Rack, que dispensam o uso de scanner.&lt;br/&gt;Os valores informados serão acrescidos de ISS, PIS e COFINS, ou as variações em caso de reforma tributária.&lt;br/&gt;&lt;br/&gt;&lt;strong&gt;O terminal realiza cobrança de handling in/out ou remoção?&lt;/strong&gt;&lt;br/&gt;Não. Diferente dos recintos secundários, o Tecon Salvador não cobra por handling in/out, remoção ou seguro de remoção (ad valorem), o que representa uma economia relevante no custo final da operação. Consulte-nos para conhecer as diferenças.&lt;/p&gt;&lt;p&gt; &lt;/p&gt;&lt;div&gt;
&lt;strong&gt;Confira abaixo os serviços convencionais vinculados ao processo de importação e seus respectivos valores, conforme a tabela pública&lt;/strong&gt;&lt;br/&gt; &lt;/div&gt;&lt;div&gt;&lt;div&gt;&lt;table&gt;&lt;tbody&gt;
&lt;tr&gt;&lt;td colspan="2"&gt;&lt;span&gt;&lt;strong&gt;Custos Convencionais&lt;/strong&gt;&lt;/span&gt;&lt;/td&gt;&lt;/tr&gt;
&lt;tr&gt;
&lt;td&gt;Armazenagem &lt;/td&gt;
&lt;td&gt;Todos os desembarques de importação&lt;/td&gt;
&lt;/tr&gt;
&lt;tr&gt;
&lt;td&gt;Presença de carga &lt;/td&gt;
&lt;td&gt;Todos os desembarques de importação&lt;/td&gt;
&lt;/tr&gt;
&lt;tr&gt;
&lt;td&gt;Scanner (inspeção não invasiva)&lt;/td&gt;
&lt;td&gt;Todos os desembarques de importação&lt;/td&gt;
&lt;/tr&gt;
&lt;tr&gt;
&lt;td&gt;Fornecimento e monitoramento de energia &lt;/td&gt;
&lt;td&gt;Apenas unidades refrigeradas&lt;/td&gt;
&lt;/tr&gt;
&lt;tr&gt;
&lt;td&gt;&lt;div&gt;Manuseios / Posicionamento&lt;/div&gt;&lt;/td&gt;
&lt;td&gt;&lt;div&gt;Solicitação dos órgãos anuentes (RFB, MAPA) / Cliente &lt;/div&gt;&lt;/td&gt;
&lt;/tr&gt;
&lt;/tbody&gt;&lt;/table&gt;&lt;/div&gt;&lt;/div&gt;&lt;div&gt; &lt;/div&gt;&lt;div&gt;*Ressaltamos que cada processo será faturado conforme a sua tabela vigente. &lt;/div&gt;&lt;div&gt; &lt;/div&gt;&lt;div&gt;Caso você possua uma proposta ativa, consulte os valores no documento correspondente. Caso não possua, consulte os valores e normas de aplicação de cada serviço, através da nossa &lt;a href="https://www.wilsonsons.com.br/pt-br/teconsalvador/servicos/servicos-e-precos/"&gt;tabela pública.&lt;/a&gt;
&lt;/div&gt;</t>
  </si>
  <si>
    <t>https://wilsonsons.zendesk.com/api/v2/help_center/pt-br/articles/38750663731597.json</t>
  </si>
  <si>
    <t>https://atendimento.teconsvonline.com.br/hc/pt-br/articles/38750663731597-INFORMA%C3%87%C3%95ES-GERAIS-FATURAMENTO</t>
  </si>
  <si>
    <t>INFORMAÇÕES GERAIS - FATURAMENTO</t>
  </si>
  <si>
    <t>['01HQDJ3TH752A734MG7NWZXQP6']</t>
  </si>
  <si>
    <t>&lt;h4&gt;&lt;strong&gt;1. Quando um serviço de embarque ou descarga é considerado finalizado?&lt;/strong&gt;&lt;/h4&gt;&lt;p&gt;O serviço só é considerado totalmente concluído com a movimentação final da carga. Para serviços de &lt;strong&gt;embarque&lt;/strong&gt;, a finalização ocorre quando a carga entra no navio. Para serviços de &lt;strong&gt;descarga&lt;/strong&gt;, a finalização acontece com a retirada completa da carga do terminal.&lt;/p&gt;&lt;p&gt;&lt;strong&gt;2. Como a cobrança dos serviços é realizada?&lt;/strong&gt;&lt;/p&gt;&lt;p&gt;A cobrança é baseada na tabela de preços que estiver em vigor na data em que o serviço é finalizado. Ou seja, o que determina o preço final é a data da saída da carga (para descarga) ou a data do embarque no navio, e não a data em que a carga chegou ao terminal.&lt;/p&gt;&lt;p&gt; &lt;/p&gt;&lt;p&gt;&lt;strong&gt;3. O que acontece se a tabela de preços for atualizada enquanto minha carga ainda está no terminal?&lt;/strong&gt;&lt;/p&gt;&lt;p&gt;Se a sua proposta comercial for renovada e uma nova tabela de preços entrar em vigor enquanto sua carga estiver armazenada no terminal, os valores dos serviços serão ajustados. A nova tabela de preços será aplicada a todo o período de serviço, de forma retroativa desde a chegada da carga.&lt;/p&gt;&lt;p&gt;&lt;strong&gt;Exemplo Prático:&lt;/strong&gt;&lt;/p&gt;&lt;ul&gt;
&lt;li&gt;
&lt;strong&gt;Situação:&lt;/strong&gt; Sua carga chegou ao terminal na vigência da Tabela A. Antes da retirada da carga, uma nova Tabela B, com valores atualizados, foi negociada e entrou em vigor.&lt;/li&gt;
&lt;li&gt;
&lt;strong&gt;Cobrança:&lt;/strong&gt; O valor total do serviço será calculado com base nos preços da &lt;strong&gt;Tabela B&lt;/strong&gt;, cobrando o valor integral de acordo com a nova proposta, mesmo que parte do período de armazenagem tenha ocorrido durante a vigência da Tabela A.&lt;/li&gt;
&lt;/ul&gt;&lt;p&gt;Este princípio garante que o preço final corresponda sempre à tabela vigente no momento da conclusão efetiva do serviço.&lt;/p&gt;&lt;p&gt; &lt;/p&gt;&lt;p&gt;&lt;strong&gt;4. Onde posso encontrar a tabela de preços atualizada?&lt;/strong&gt;&lt;/p&gt;&lt;p&gt;A "Tabela de Preços e Condições Comerciais" mais recente está sempre disponível para consulta pública.  As alterações podem ocorrer a qualquer momento e entram em vigência a partir de sua publicação no site do terminal, de acordo com regras estabelecidas pela ANTAQ.&lt;/p&gt;&lt;p&gt; &lt;/p&gt;&lt;p&gt;&lt;strong&gt;5. Como são aplicados os impostos sobre os valores da tabela?&lt;/strong&gt;&lt;/p&gt;&lt;p&gt;Os preços listados na tabela são líquidos de tributos. No faturamento final, serão acrescidos os valores referentes aos impostos (como ISS) e contribuições (PIS e COFINS), ou os impostos devidos de acordo com a legislação vigente.&lt;/p&gt;</t>
  </si>
  <si>
    <t>https://wilsonsons.zendesk.com/api/v2/help_center/pt-br/articles/38750474751501.json</t>
  </si>
  <si>
    <t>https://atendimento.teconsvonline.com.br/hc/pt-br/articles/38750474751501-INFORMA%C3%87%C3%95ES-GERAIS-CLS</t>
  </si>
  <si>
    <t>INFORMAÇÕES GERAIS - CLS</t>
  </si>
  <si>
    <t>['01K2F3RER84T848MW0B8TD39Y1']</t>
  </si>
  <si>
    <t>&lt;p&gt;Centro Logístico Salvador:&lt;/p&gt;&lt;p&gt;&lt;strong&gt;1 - Quais os serviços são possíveis de serem realizados no CLS?&lt;/strong&gt;&lt;/p&gt;&lt;p&gt;R.: Desova, Carregamento, Devolução de vazio, Pré-stacking, Buffer, Estufagem, Crossdocking, Lashing, Emissão de certificado de lashing, Armazenagem geral, Paletização, Redex e Fumigação.&lt;/p&gt;&lt;p&gt; &lt;/p&gt;&lt;p&gt;&lt;strong&gt;2- Qual o horário limite para recebimento de container cheio no CLS?&lt;/strong&gt;&lt;/p&gt;&lt;p&gt;R.: Para armazenagem, pré-stacking ou buffer, os contêineres cheios podem ser recebidos até as 20h.&lt;/p&gt;&lt;p&gt; &lt;/p&gt;&lt;p&gt;&lt;strong&gt;3&lt;/strong&gt;&lt;strong&gt;- Através de qual contato consigo programar o recebimento de uma operação no CLS?&lt;/strong&gt;&lt;/p&gt;&lt;p&gt;R.: As programações podem e são realizadas através do e-mail do e-mail de Atendimento ao Cliente&lt;/p&gt;&lt;p&gt;E-mail: &lt;a href="mailto:atendimento.ag@wilsonsons.com.br" target="_blank"&gt;atendimento.ag@wilsonsons.com.br&lt;/a&gt;&lt;/p&gt;&lt;p&gt;Tel.: 71 98199-1271&lt;/p&gt;&lt;p&gt; &lt;/p&gt;&lt;p&gt;&lt;strong&gt;4- Quais dados mínimos para obter uma cotação?&lt;/strong&gt;&lt;/p&gt;&lt;p&gt;R.: Para que possamos elaborar uma cotação precisa, é necessário informar:&lt;/p&gt;&lt;ul&gt;
&lt;li&gt;&lt;p&gt;Tipo do serviço;&lt;/p&gt;&lt;/li&gt;
&lt;li&gt;&lt;p&gt;Tipo de carga;&lt;/p&gt;&lt;/li&gt;
&lt;li&gt;&lt;p&gt;Volume total;&lt;/p&gt;&lt;/li&gt;
&lt;li&gt;&lt;p&gt;Peso da mercadoria (especificar se a estufagem é em Big Bag ou Pallet);&lt;/p&gt;&lt;/li&gt;
&lt;li&gt;&lt;p&gt;Dimensões(altura, largura e comprimento);&lt;/p&gt;&lt;/li&gt;
&lt;li&gt;&lt;p&gt;Fotos da mercadoria (quando possível);&lt;/p&gt;&lt;/li&gt;
&lt;li&gt;&lt;p&gt;Se for um produto químico, enviar Fispq referente ao produto;&lt;br/&gt; &lt;/p&gt;&lt;/li&gt;
&lt;/ul&gt;&lt;p&gt;&lt;strong&gt;5- Qual o horário de funcionamento do Centro Logístico?&lt;/strong&gt;&lt;/p&gt;&lt;p&gt;R.: Depot:&lt;/p&gt;&lt;p&gt;Seg a Sex: 07h às 00:30&lt;/p&gt;&lt;p&gt;Sáb: 07h às 16h&lt;/p&gt;&lt;p&gt; &lt;/p&gt;&lt;p&gt;Armazém Geral&lt;/p&gt;&lt;p&gt;Seg a Sex:- 08h às 17h&lt;/p&gt;&lt;p&gt;Sáb: 08h Às 12h&lt;/p&gt;&lt;p&gt;&lt;br/&gt; &lt;/p&gt;&lt;p&gt;&lt;strong&gt;6- O CLS oferece serviço de transporte?&lt;/strong&gt;&lt;/p&gt;&lt;p&gt;R.: O único trajeto de transporte disponibilizado pelo CLS é entre o Porto e o próprio CLS, e vice-versa.&lt;/p&gt;&lt;p&gt;&lt;br/&gt; &lt;/p&gt;&lt;p&gt;&lt;strong&gt;7- Como faço para obter uma cotação?&lt;/strong&gt;&lt;/p&gt;&lt;p&gt;R.: Basta entrar em contato com as nossas executivas comerciais:&lt;/p&gt;&lt;p&gt;&lt;br/&gt; &lt;/p&gt;&lt;p&gt;&lt;span&gt;Renata Silva&lt;/span&gt;&lt;/p&gt;&lt;p&gt;LDR/SDR - Líder de Relacionamento&lt;/p&gt;&lt;p&gt;Tel.: 71 98152-3651&lt;/p&gt;&lt;p&gt;E-mail: &lt;a href="mailto:renata.silva@wilsonsons.com.br" target="_blank"&gt;renata.silva@wilsonsons.com.br&lt;/a&gt;&lt;/p&gt;&lt;p&gt;&lt;br/&gt; &lt;/p&gt;&lt;p&gt;&lt;span&gt;Cléo Maryan&lt;/span&gt;&lt;/p&gt;&lt;p&gt;Coordenadora Comercial&lt;/p&gt;&lt;p&gt;Tecon Salvador &amp;amp; Centro Logístico Salvador&lt;/p&gt;&lt;p&gt;Cel: + 55 71 9 9178 1278&lt;/p&gt;&lt;p&gt;E-mail: &lt;a href="mailto:cleo.maryan@wilsonsons.com.br" target="_blank"&gt;cleo.maryan@wilsonsons.com.br&lt;/a&gt;&lt;/p&gt;&lt;p&gt;&lt;br/&gt; &lt;/p&gt;&lt;p&gt;&lt;strong&gt;8- É possível realizar estufagem a granel no CLS?&lt;/strong&gt;&lt;/p&gt;&lt;p&gt;R.: Atualmente, não realizamos estufagem de carga a granel devido a limitações de espaço físico que esta operação exige.&lt;/p&gt;&lt;p&gt;&lt;br/&gt; &lt;/p&gt;&lt;p&gt;&lt;strong&gt;9- Qual a diferença entre o serviço de armazém geral e Redex?&lt;/strong&gt;&lt;/p&gt;&lt;p&gt;R.: A diferença entre armazém geral e REDEX está principalmente na finalidade, papel na cadeia logística e no vínculo com a Receita Federal.&lt;/p&gt;&lt;p&gt;O Armazém geral é um espaço destinado ao armazenamento de mercadorias, nacionalizadas.&lt;/p&gt;&lt;p&gt;O Redex é um local autorizado pela Receita Federal para que as cargas destinadas à exportação sejam desembaraçadas fora da zona primária.&lt;/p&gt;&lt;p&gt;&lt;br/&gt; &lt;/p&gt;&lt;p&gt;&lt;strong&gt;10- Quais tipos de carga podem ser armazenados no CLS?&lt;/strong&gt;&lt;/p&gt;&lt;p&gt;R.: O Centro Logístico Salvador está preparado para receber todos os tipos de carga, com exceção de cargas classificadas como químico perigoso.&lt;/p&gt;&lt;p&gt;&lt;br/&gt; &lt;/p&gt;</t>
  </si>
  <si>
    <t>https://wilsonsons.zendesk.com/api/v2/help_center/pt-br/articles/38750034735245.json</t>
  </si>
  <si>
    <t>https://atendimento.teconsvonline.com.br/hc/pt-br/articles/38750034735245-INFORMA%C3%87%C3%95ES-GERAIS-PROJETOS-BREAK-BULK</t>
  </si>
  <si>
    <t>INFORMAÇÕES GERAIS - PROJETOS/BREAK BULK</t>
  </si>
  <si>
    <t>['01H0NPK2X1DJVSBCSB7F18XY6E', '01HHZ08FCYB5P1Y23MKJ1JA0TD']</t>
  </si>
  <si>
    <t>&lt;div&gt;&lt;strong&gt;PROJETOS / BREAK BULK&lt;/strong&gt;&lt;/div&gt;&lt;div&gt;
&lt;br/&gt; &lt;/div&gt;&lt;div&gt;
&lt;strong&gt;O que são Cargas de Projeto e Break Bulk (BBK)?&lt;/strong&gt;&lt;br/&gt;Cargas de Projeto e BBK (Break Bulk) são mercadorias que,&lt;br/&gt;devido ao seu tamanho, peso ou formato irregular, não podem ser&lt;br/&gt;transportadas em contêineres comuns. Elas exigem planejamento e manuseio&lt;br/&gt;especiais, como peças industriais, turbinas, veículos grandes, etc.&lt;/div&gt;&lt;div&gt;
&lt;br/&gt;&lt;strong&gt;Quais informações são necessárias para solicitar uma cotação de carga BBK?&lt;/strong&gt;&lt;br/&gt;Para uma cotação precisa, precisamos de informações como:&lt;br/&gt;dimensões (comprimento, largura, altura) e peso exatos da carga, tipo de&lt;br/&gt;mercadoria, origem e destino final, fotos e desenhos técnicos.&lt;/div&gt;&lt;div&gt;
&lt;br/&gt;&lt;strong&gt;Como é feito o acompanhamento e a segurança das cargas durante a&lt;/strong&gt;&lt;br/&gt;&lt;strong&gt;operação?&lt;/strong&gt;
&lt;/div&gt;&lt;div&gt;Priorizamos a segurança e o monitoramento contínuo.&lt;br/&gt;Utilizamos técnicas de amarração e peação específicas para BBK, além de&lt;br/&gt;equipamentos de última geração e profissionais altamente treinados para&lt;br/&gt;garantir a integridade da sua carga em todas as fases da operação.&lt;/div&gt;&lt;div&gt;
&lt;br/&gt;Além da movimentação portuária, a Wilson Sons oferece outros serviços para cargas BBK?&lt;br/&gt;Sim, além da movimentação no porto, oferecemos armazenagem alfandegada, proporcionando uma solução logística integrada.&lt;/div&gt;&lt;div&gt;
&lt;br/&gt;&lt;strong&gt;Posso acompanhar o status da minha carga durante a operação?&lt;/strong&gt;&lt;br/&gt;Sim, a Wilson Sons disponibiliza canais de comunicação e, em alguns casos, portais do cliente para que você possa acompanhar o status e o andamento da sua carga. Nossa equipe de atendimento também estará à&lt;br/&gt;disposição para atualizações.&lt;/div&gt;&lt;div&gt; &lt;/div&gt;</t>
  </si>
  <si>
    <t>https://wilsonsons.zendesk.com/api/v2/help_center/pt-br/articles/38589735513741.json</t>
  </si>
  <si>
    <t>https://atendimento.teconsvonline.com.br/hc/pt-br/articles/38589735513741-CONTATOS-DA-SUPERVIS%C3%83O-OPERACIONAL</t>
  </si>
  <si>
    <t>Manuais de utilização</t>
  </si>
  <si>
    <t>CONTATOS DA SUPERVISÃO OPERACIONAL</t>
  </si>
  <si>
    <t>['01K4WDE1H98KKEDDRHQTEF7C7Q', '01K4WDEE5YNMHZ02F3EEP9QJHB', '01K4WDES3SNXWHVWCVND1XJPJZ', '01K4WDF1QZ6RP0BTKWPMACFCV5', '01K4WDFCJWXGREZFFKFTQZYB9R']</t>
  </si>
  <si>
    <t>&lt;p&gt;&lt;strong&gt;Coordenação:&lt;/strong&gt;&lt;strong&gt;&lt;/strong&gt;&lt;br/&gt;Renato Bião ( 71 98821-5402 )  renato.cerqueira@wilsonsons.com .br  &lt;br/&gt;Marcelo Borges (71 98159-0958) marcelo.borges@wilsonsons.com.br;&lt;br/&gt;Fernanda Ferreira (71 98158-5990) &lt;a href="mailto:fernanda.ferreira@wilsonsons.com.br"&gt;fernanda.ferreira@wilsonsons.com.br&lt;/a&gt;&lt;/p&gt;&lt;p&gt;&lt;br/&gt;&lt;strong&gt;      Supervisão&lt;/strong&gt;&lt;strong&gt;&lt;/strong&gt;: sop@wilsonsons.com.br&lt;br/&gt;Yuri Oliveira (71 98178-6852) &lt;strong&gt;Focal point&lt;/strong&gt;&lt;strong&gt;&lt;/strong&gt;&lt;br/&gt;Jea (71 99127-5782)&lt;br/&gt;&lt;br/&gt;Gutemberg     (71 98182-1658)&lt;br/&gt;Marcos Fredson ( 71 99732-5902 )&lt;br/&gt;&lt;br/&gt;Railton Araujo (71 99374-7991)&lt;br/&gt;Neyrisvaldo ( 71 98778-3047 )&lt;/p&gt;&lt;p&gt;Hydeake Ogasawara (71 99726-1319)&lt;/p&gt;</t>
  </si>
  <si>
    <t>https://wilsonsons.zendesk.com/api/v2/help_center/pt-br/articles/38589596521357.json</t>
  </si>
  <si>
    <t>https://atendimento.teconsvonline.com.br/hc/pt-br/articles/38589596521357-CONTATOS-DA-SUPERVIS%C3%83O-OPERACIONAL</t>
  </si>
  <si>
    <t>https://wilsonsons.zendesk.com/api/v2/help_center/pt-br/articles/38589581068685.json</t>
  </si>
  <si>
    <t>https://atendimento.teconsvonline.com.br/hc/pt-br/articles/38589581068685-CONTATOS-DA-SUPERVIS%C3%83O-OPERACIONAL</t>
  </si>
  <si>
    <t>['01H4ECZ89JHG3TB0YZYAVW72XV', '01H6VPJQKF8P1CC70TER48MSXQ']</t>
  </si>
  <si>
    <t>https://wilsonsons.zendesk.com/api/v2/help_center/pt-br/articles/38351856848781.json</t>
  </si>
  <si>
    <t>https://atendimento.teconsvonline.com.br/hc/pt-br/articles/38351856848781-Fluxograma-Allink</t>
  </si>
  <si>
    <t>Fluxograma Allink</t>
  </si>
  <si>
    <t>Agentes e administradores, Usuários conectados</t>
  </si>
  <si>
    <t>&lt;p&gt;&lt;img height="30" src="https://atendimento.teconsvonline.com.br/hc/article_attachments/38351856846221" width="156"/&gt;&lt;/p&gt;&lt;p&gt;No link abaixo estão as informações do fluxograma para acompanhamento de processos Allink. &lt;/p&gt;&lt;p&gt; &lt;/p&gt;&lt;p&gt;&lt;a href="https://www.canva.com/design/DAGqLfCdjwg/2U-3rDkpKFN_sXzFM0Zygg/edit?utm_content=DAGqLfCdjwg&amp;amp;utm_campaign=designshare&amp;amp;utm_medium=link2&amp;amp;utm_source=sharebutton"&gt;https://www.canva.com/design/DAGq6sqbM9I/CK88BrHTABvxM0-J6_9aqA/edit?utm_content=DAGq6sqbM9I&amp;amp;utm_campaign=designshare&amp;amp;utm_medium=link2&amp;amp;utm_source=sharebutton&lt;/a&gt;&lt;/p&gt;</t>
  </si>
  <si>
    <t>[196508, 196528]</t>
  </si>
  <si>
    <t>https://wilsonsons.zendesk.com/api/v2/help_center/pt-br/articles/37399282484493.json</t>
  </si>
  <si>
    <t>https://atendimento.teconsvonline.com.br/hc/pt-br/articles/37399282484493-BLOQUEIOS-HOLDS-E-A%C3%87%C3%95ES-PT-1</t>
  </si>
  <si>
    <t>BLOQUEIOS/ HOLDS E AÇÕES PT.1</t>
  </si>
  <si>
    <t>['01GR1ASDM25FG45XBA68FNYJXP']</t>
  </si>
  <si>
    <t>&lt;div&gt;&lt;img height="313px;" src="https://atendimento.teconsvonline.com.br/hc/article_attachments/37399312049805" width="402px;"/&gt;&lt;/div&gt;</t>
  </si>
  <si>
    <t>https://wilsonsons.zendesk.com/api/v2/help_center/pt-br/articles/37399135154189.json</t>
  </si>
  <si>
    <t>https://atendimento.teconsvonline.com.br/hc/pt-br/articles/37399135154189-LIBERA%C3%87%C3%83O-DOCUMENTAL-PAC-PROCESSO-ADMINISTRATIVO</t>
  </si>
  <si>
    <t>LIBERAÇÃO DOCUMENTAL - PAC (PROCESSO ADMINISTRATIVO)</t>
  </si>
  <si>
    <t>['01GR1ARSKTWW44ETNP7CP7BMDK', '01HFS53CQSEDGAMKAGFNZ8QBWP']</t>
  </si>
  <si>
    <t>&lt;div&gt;
&lt;span&gt;As etapas são idênticas às da Liberação de DI&lt;/span&gt;&lt;span&gt;.&lt;/span&gt;
&lt;/div&gt;&lt;div&gt;
&lt;br/&gt;1. &lt;span&gt;Final da Operação (SISCARGA)&lt;/span&gt;&lt;span&gt;: É o gatilho para o início da rotina interna de desdobramentos e presença de Houses&lt;/span&gt;&lt;span&gt;.&lt;/span&gt;
&lt;/div&gt;&lt;div&gt; &lt;/div&gt;&lt;div&gt;
&lt;span&gt;2. Presença de Carga&lt;/span&gt;&lt;span&gt;: O ciclo se inicia com a Presença e o Desdobramento de MBLs (se houver) e, posteriormente, dos HBLs. Neste momento, um protocolo está disponível para inclusão documental&lt;/span&gt;&lt;span&gt;.&lt;/span&gt;
&lt;/div&gt;&lt;div&gt; &lt;/div&gt;&lt;div&gt;
&lt;span&gt;3. Registro de DI / Inclusão Documental&lt;/span&gt;&lt;span&gt;: A Presença de Carga migra para o SISCARGA e registra a DI. A partir da Presença, a documentação já pode ser inserida no Portal do Cliente&lt;/span&gt;&lt;span&gt;.&lt;/span&gt;
&lt;/div&gt;&lt;div&gt; &lt;/div&gt;&lt;div&gt;
&lt;span&gt;4. Liberação de Booking / CS&lt;/span&gt;&lt;span&gt;: A liberação de cargas de importação é condicionada à Permissão de Entrega (SISCARGA/RFB) e à disponibilização documental&lt;/span&gt;
&lt;/div&gt;&lt;div&gt; &lt;/div&gt;&lt;div&gt;
&lt;span&gt;&lt;strong&gt;Requerimentos de Liberação&lt;/strong&gt;&lt;/span&gt;&lt;span&gt;&lt;strong&gt;:&lt;/strong&gt; Os documentos obrigatórios incluem BL Original, LPCO (Deferido) e Processo Administrativo. Os documentos eventuais (BL, LPCO) e validações obrigatórias (Entrega Permitida) são os mesmos dos outros tipos de liberação&lt;/span&gt;&lt;span&gt;.&lt;/span&gt;
&lt;/div&gt;&lt;div&gt; &lt;/div&gt;&lt;div&gt; &lt;/div&gt;&lt;div&gt; &lt;/div&gt;&lt;div&gt; &lt;/div&gt;</t>
  </si>
  <si>
    <t>https://wilsonsons.zendesk.com/api/v2/help_center/pt-br/articles/37398719932685.json</t>
  </si>
  <si>
    <t>https://atendimento.teconsvonline.com.br/hc/pt-br/articles/37398719932685-LIBERA%C3%87%C3%83O-DOCUMENTAL-DUIMP-DECLARA%C3%87%C3%83O-%C3%9ANICA-DE-IMPORTA%C3%87%C3%83O</t>
  </si>
  <si>
    <t>LIBERAÇÃO DOCUMENTAL - DUIMP (DECLARAÇÃO ÚNICA DE IMPORTAÇÃO)</t>
  </si>
  <si>
    <t>&lt;div&gt;
&lt;br/&gt;&lt;span&gt;Este processo envolve as seguintes etapas&lt;/span&gt;&lt;span&gt;:&lt;/span&gt;
&lt;/div&gt;&lt;div&gt; &lt;/div&gt;&lt;div&gt; &lt;/div&gt;&lt;ol&gt;&lt;li&gt;&lt;div&gt;
&lt;span&gt;Registro de DUIMP&lt;/span&gt;&lt;span&gt;: O registro e desembaraço da carga ocorrem antes ou após a atracação ("DUIMP Sobre Águas")&lt;/span&gt;&lt;span&gt;.&lt;/span&gt;
&lt;/div&gt;&lt;/li&gt;&lt;/ol&gt;&lt;div&gt; &lt;/div&gt;&lt;div&gt;
&lt;span&gt;   2. Recepção de Carga&lt;/span&gt;&lt;span&gt;: A DUIMP pode ser recepcionada após a formação de lote na sua descarga. Após a recepção, a carga pode ser averbada e seguir com os trâmites de inclusão documental&lt;/span&gt;&lt;span&gt;.&lt;/span&gt;
&lt;/div&gt;&lt;div&gt; &lt;/div&gt;&lt;div&gt;
&lt;span&gt;   3. Final da Operação&lt;/span&gt;&lt;span&gt;: Com o final da operação, abre-se a possibilidade de remoção das cargas&lt;/span&gt;&lt;span&gt;.&lt;/span&gt;
&lt;/div&gt;&lt;div&gt; &lt;/div&gt;&lt;div&gt;
&lt;span&gt;   4. Liberação de Booking / CD&lt;/span&gt;&lt;span&gt;: A liberação de cargas de importação é condicionada à Permissão de Entrega (SISCARGA/RFB) e à disponibilização documental&lt;/span&gt;&lt;span&gt;.&lt;/span&gt;
&lt;/div&gt;&lt;div&gt; &lt;/div&gt;&lt;div&gt;
&lt;span&gt;&lt;strong&gt;Requerimentos de Liberação&lt;/strong&gt;&lt;/span&gt;&lt;span&gt;&lt;strong&gt;:&lt;/strong&gt; Os documentos e validações obrigatórias e eventuais são semelhantes aos outros tipos de liberação, com a "Entrega Permitida" sendo via "Portal Único" (https://portalunico.siscomex.gov.br/portal/)&lt;/span&gt;
&lt;/div&gt;&lt;div&gt; &lt;/div&gt;&lt;div&gt;&lt;span&gt;Também se aplica a exceção para o "DTC com Bloqueio Total"&lt;/span&gt;&lt;/div&gt;&lt;div&gt; &lt;/div&gt;</t>
  </si>
  <si>
    <t>https://wilsonsons.zendesk.com/api/v2/help_center/pt-br/articles/37398529659277.json</t>
  </si>
  <si>
    <t>https://atendimento.teconsvonline.com.br/hc/pt-br/articles/37398529659277-LIBERA%C3%87%C3%83O-DOCUMENTAL-DSA-DESPACHO-SOBRE-%C3%81GUAS</t>
  </si>
  <si>
    <t>LIBERAÇÃO DOCUMENTAL - DSA (DESPACHO SOBRE ÁGUAS)</t>
  </si>
  <si>
    <t>&lt;ol&gt;&lt;li&gt;&lt;div&gt;
&lt;span&gt;Registro de DI / Inclusão Documental&lt;/span&gt;&lt;span&gt;: Clientes com Certificado OEA realizam a importação por meio de "DI OEA" e fazem o registro e desembaraço de carga "sobre águas", ou seja, antes da atracação. A inclusão documental também pode ser feita se a DI estiver disponível e averbada no sistema&lt;/span&gt;&lt;span&gt;.&lt;/span&gt;
&lt;/div&gt;&lt;/li&gt;&lt;/ol&gt;&lt;div&gt; &lt;/div&gt;&lt;div&gt;
&lt;span&gt;   2. Final da Operação&lt;/span&gt;&lt;span&gt;: É o gatilho para o início da rotina interna de liberação de bookings e início do prazo de remoção&lt;/span&gt;&lt;span&gt;.&lt;/span&gt;
&lt;/div&gt;&lt;div&gt; &lt;/div&gt;&lt;div&gt;
&lt;span&gt;   3. Presença de Carga&lt;/span&gt;&lt;span&gt;: Cargas DSA possuem um prazo de 48h FREE para cobrança de armazenagem e presença de carga. Após o vencimento do prazo, procede-se com a armazenagem e cobranças&lt;/span&gt;&lt;span&gt;.&lt;/span&gt;
&lt;/div&gt;&lt;div&gt; &lt;/div&gt;&lt;div&gt;
&lt;span&gt;   4. Liberação de Booking / CD&lt;/span&gt;&lt;span&gt;: A liberação de cargas de importação é condicionada à Permissão de Entrega (SISCARGA/RFB) e à disponibilização documental&lt;/span&gt;&lt;span&gt;.&lt;/span&gt;
&lt;/div&gt;&lt;div&gt; &lt;/div&gt;&lt;div&gt;
&lt;span&gt;&lt;strong&gt;Requerimentos de Liberação&lt;/strong&gt;&lt;/span&gt;&lt;span&gt;&lt;strong&gt;:&lt;/strong&gt; BL Original, Nota Fiscal de Entrada e LPCO (Deferido)&lt;/span&gt;
&lt;/div&gt;&lt;div&gt;
&lt;span&gt;&lt;strong&gt;Validações Obrigatórias&lt;/strong&gt;&lt;/span&gt;&lt;span&gt;&lt;strong&gt;:&lt;/strong&gt; Entrega Permitida (SISCARGA) e Conferência de volumes (NF x Físico x DI) para Carga Solta&lt;/span&gt;
&lt;/div&gt;</t>
  </si>
  <si>
    <t>https://wilsonsons.zendesk.com/api/v2/help_center/pt-br/articles/37398134287757.json</t>
  </si>
  <si>
    <t>https://atendimento.teconsvonline.com.br/hc/pt-br/articles/37398134287757-LIBERA%C3%87%C3%83O-DOCUMENTAL-DI-Declara%C3%A7%C3%A3o-de-Importa%C3%A7%C3%A3o</t>
  </si>
  <si>
    <t>LIBERAÇÃO DOCUMENTAL - DI (Declaração de Importação)</t>
  </si>
  <si>
    <t>['01GR1ARSKTWW44ETNP7CP7BMDK', '01GR1ASVB0SX77WFPRT2SR0GRE']</t>
  </si>
  <si>
    <t>&lt;div&gt;
&lt;span&gt;&lt;strong&gt;Liberação de DI (Declaração de Importação)&lt;/strong&gt;&lt;/span&gt;&lt;span&gt;&lt;strong&gt;:&lt;/strong&gt;&lt;/span&gt;
&lt;/div&gt;&lt;div&gt; &lt;/div&gt;&lt;div&gt;
&lt;span&gt;Este processo envolve quatro etapas principais&lt;/span&gt;&lt;span&gt;:&lt;/span&gt;
&lt;/div&gt;&lt;div&gt; &lt;/div&gt;&lt;ol&gt;&lt;li&gt;&lt;div&gt;
&lt;span&gt;Final da Operação (SISCARGA)&lt;/span&gt;&lt;span&gt;: É o gatilho para o início da rotina interna de desdobramentos e presença de Houses&lt;/span&gt;&lt;span&gt;.&lt;/span&gt;
&lt;/div&gt;&lt;/li&gt;&lt;/ol&gt;&lt;div&gt; &lt;/div&gt;&lt;div&gt;
&lt;span&gt;  2. Presença de Carga&lt;/span&gt;&lt;span&gt;: O ciclo se inicia com a Presença e o Desdobramento de MBLs (se houver) e, posteriormente, dos HBLs. Neste momento, um protocolo está disponível para inclusão documental&lt;/span&gt;&lt;span&gt;.&lt;/span&gt;
&lt;/div&gt;&lt;div&gt; &lt;/div&gt;&lt;div&gt;
&lt;span&gt;  3. Registro de DI / Inclusão Documental&lt;/span&gt;&lt;span&gt;: A Presença de Carga migra para o SISCARGA e registra a DI. A partir da Presença, a documentação já pode ser inserida no Portal do Cliente&lt;/span&gt;&lt;span&gt;.&lt;/span&gt;
&lt;/div&gt;&lt;div&gt; &lt;/div&gt;&lt;div&gt;
&lt;span&gt;  4. Liberação de Booking / CS&lt;/span&gt;&lt;span&gt;: A liberação de cargas de importação é condicionada à Permissão de Entrega (SISCARGA/RFB) e à disponibilização documental&lt;/span&gt;
&lt;/div&gt;&lt;div&gt; &lt;/div&gt;&lt;div&gt;
&lt;br/&gt;&lt;span&gt;&lt;strong&gt;Documentos Obrigatórios para Liberação&lt;/strong&gt;&lt;/span&gt;&lt;span&gt;&lt;strong&gt;:&lt;/strong&gt; BL Original, Nota Fiscal de Entrada e LPCO (Deferido)&lt;/span&gt;&lt;span&gt;.&lt;/span&gt;
&lt;/div&gt;&lt;div&gt; &lt;/div&gt;&lt;div&gt;
&lt;span&gt;&lt;strong&gt;Documentos Eventuais&lt;/strong&gt;&lt;/span&gt;&lt;span&gt;: AFRMM e Guia de Recolhimento/Exoneração de ICMS&lt;/span&gt;&lt;span&gt;.&lt;/span&gt;
&lt;/div&gt;&lt;div&gt; &lt;/div&gt;&lt;div&gt;
&lt;span&gt;&lt;strong&gt;Validações Obrigatórias&lt;/strong&gt;&lt;/span&gt;&lt;span&gt;: Entrega Permitida (SISCARGA) e Conferência de volumes (NF x Físico x DI) para Carga Solta&lt;/span&gt;
&lt;/div&gt;&lt;div&gt; &lt;/div&gt;&lt;div&gt;&lt;span&gt;P.S.&lt;/span&gt;&lt;/div&gt;&lt;div&gt; &lt;/div&gt;&lt;div&gt;&lt;span&gt;Há uma exceção para o "DTC com Bloqueio Total", onde a liberação não ocorre e um REQUERIMENTO DE TRÂNSITO deve ser enviado por e-mail para que a RFB autorize a remoção&lt;/span&gt;&lt;/div&gt;&lt;div&gt; &lt;/div&gt;&lt;div&gt; &lt;/div&gt;</t>
  </si>
  <si>
    <t>https://wilsonsons.zendesk.com/api/v2/help_center/pt-br/articles/37396586698509.json</t>
  </si>
  <si>
    <t>https://atendimento.teconsvonline.com.br/hc/pt-br/articles/37396586698509-Como-solicitar-um-carregamento-de-carga-solta</t>
  </si>
  <si>
    <t>Como solicitar um carregamento de carga solta?</t>
  </si>
  <si>
    <t>['01GPY217SSC5MP9PMEN97RPEVN', '01HKQZBKYP72EPT8J5NE0AV4R9']</t>
  </si>
  <si>
    <t>&lt;p&gt;&lt;span&gt;Para solicitar um carregamento de carga solta, você deve seguir os seguintes passos:&lt;/span&gt;&lt;/p&gt;&lt;ol&gt;&lt;li&gt;&lt;span&gt;Acesse o nosso portal e realize o login utilizando seu usuário e senhas disponibilizadas após o seu cadastro.&lt;/span&gt;&lt;/li&gt;&lt;/ol&gt;&lt;ol&gt;&lt;li&gt;&lt;span&gt;Em seguida, selecione a opção "agendamento de serviços".&lt;/span&gt;&lt;/li&gt;&lt;/ol&gt;&lt;ol&gt;&lt;li&gt;&lt;span&gt;Novamente, selecione "agendamento de serviços" no menu lateral esquerdo.&lt;/span&gt;&lt;/li&gt;&lt;/ol&gt;&lt;ol&gt;&lt;li&gt;&lt;span&gt;Na próxima página, selecione a opção "novo agendamento".&lt;/span&gt;&lt;/li&gt;&lt;/ol&gt;&lt;ol&gt;&lt;li&gt;&lt;span&gt;No menu seguinte, selecione "carregamento carga solta" na aba grupo.&lt;/span&gt;&lt;/li&gt;&lt;/ol&gt;&lt;ol&gt;&lt;li&gt;&lt;span&gt;&lt;strong&gt;Na aba "tipo", selecione o serviço desejado, seja ele "Levante mecanizado" ou "Levante manual".&lt;/strong&gt;&lt;/span&gt;&lt;/li&gt;&lt;/ol&gt;&lt;ol&gt;&lt;li&gt;&lt;span&gt;A seguir, preencha todos os campos com os dados necessários para o tipo de serviço escolhido.&lt;/span&gt;&lt;/li&gt;&lt;/ol&gt;&lt;ol&gt;&lt;li&gt;&lt;span&gt;Após isso, clique em "finalizar agendamento" no canto inferior da tela.&lt;/span&gt;&lt;/li&gt;&lt;/ol&gt;&lt;p&gt;&lt;span&gt;Seguindo esses passos, você estará solicitando um carregamento de carga solta&lt;/span&gt;&lt;/p&gt;&lt;p&gt; &lt;/p&gt;&lt;p&gt;&lt;span&gt;P.S.&lt;/span&gt;&lt;/p&gt;&lt;p&gt;&lt;span&gt;Para saber se trata-se de levante mecanizado ou manual:&lt;/span&gt;&lt;br/&gt;&lt;br/&gt;&lt;span&gt;Caso a carga esteja "palletizada", se trata de levante mecanizado.&lt;/span&gt;&lt;/p&gt;&lt;p&gt;&lt;span&gt;Caso contrário, se trata de levante manual.&lt;/span&gt;&lt;/p&gt;&lt;p&gt;&lt;br/&gt; &lt;/p&gt;</t>
  </si>
  <si>
    <t>https://wilsonsons.zendesk.com/api/v2/help_center/pt-br/articles/37396408254861.json</t>
  </si>
  <si>
    <t>https://atendimento.teconsvonline.com.br/hc/pt-br/articles/37396408254861-Como-solicitar-uma-desova-crossdocking</t>
  </si>
  <si>
    <t>Como solicitar uma desova crossdocking?</t>
  </si>
  <si>
    <t>['01HAYPPN6RK6YCF7EJ8E6YF31N']</t>
  </si>
  <si>
    <t>&lt;p&gt;&lt;span&gt;Para solicitar uma desova cross docking, você precisa seguir os seguintes passos:&lt;/span&gt;&lt;/p&gt;&lt;ol&gt;&lt;li&gt;&lt;span&gt;Acesse o portal e realize o login utilizando seu usuário e senha. Estes dados são disponibilizados após o seu cadastro.&lt;/span&gt;&lt;/li&gt;&lt;/ol&gt;&lt;ol&gt;&lt;li&gt;&lt;span&gt;Em seguida, selecione a opção "agendamento de serviços".&lt;/span&gt;&lt;/li&gt;&lt;/ol&gt;&lt;ol&gt;&lt;li&gt;&lt;span&gt;Novamente, selecione "agendamento de serviços" no menu lateral esquerdo.&lt;/span&gt;&lt;/li&gt;&lt;/ol&gt;&lt;ol&gt;&lt;li&gt;&lt;span&gt;Na próxima página, selecione a opção "novo agendamento".&lt;/span&gt;&lt;/li&gt;&lt;/ol&gt;&lt;ol&gt;&lt;li&gt;&lt;span&gt;No menu seguinte, selecione "desova” na aba "grupo".&lt;/span&gt;&lt;/li&gt;&lt;/ol&gt;&lt;ol&gt;&lt;li&gt;&lt;span&gt;Na aba "Tipo", selecione o tipo de serviço desejado.&lt;/span&gt;&lt;/li&gt;&lt;/ol&gt;&lt;ol&gt;&lt;li&gt;&lt;span&gt;A seguir, preencha todos os campos e dados necessários para o tipo de desova escolhido. A fonte ressalta que é importante que isso seja feito de maneira apropriada para que você tenha sucesso ao realizar sua solicitação.&lt;/span&gt;&lt;/li&gt;&lt;/ol&gt;&lt;ol&gt;&lt;li&gt;&lt;span&gt;Após preencher os dados, clique em "finalizar agendamento" no canto inferior da tela.&lt;/span&gt;&lt;/li&gt;&lt;/ol&gt;&lt;p&gt;&lt;span&gt;Seguindo esses passos, você estará solicitando a desova cross docking.&lt;/span&gt;&lt;/p&gt;&lt;p&gt;&lt;br/&gt; &lt;/p&gt;</t>
  </si>
  <si>
    <t>https://wilsonsons.zendesk.com/api/v2/help_center/pt-br/articles/37396243677069.json</t>
  </si>
  <si>
    <t>https://atendimento.teconsvonline.com.br/hc/pt-br/articles/37396243677069-O-que-os-status-dos-agendamentos-significam</t>
  </si>
  <si>
    <t>O que os status dos agendamentos significam</t>
  </si>
  <si>
    <t>['01GPY217SSC5MP9PMEN97RPEVN', '01HNAKQ0CE9AQWTKQKN531VWG4']</t>
  </si>
  <si>
    <t>&lt;p&gt;&lt;span&gt;&lt;strong&gt;Agendado&lt;/strong&gt;: Este status significa que você forneceu todas as informações necessárias para o agendamento. Nesta fase, basta aguardar a data e hora para vir ao porto. O condutor pode verificar a confirmação do agendamento no aplicativo Meu Tecon para se organizar.&lt;/span&gt;&lt;/p&gt;&lt;p&gt;&lt;span&gt;&lt;strong&gt;Cancelado&lt;/strong&gt;: Este status indica que uma pessoa da sua organização cancelou o agendamento. Também pode indicar que dados importantes para a validação do agendamento não foram apresentados. Nesses casos, é necessário sanar as pendências para não perder a janela de horário desejada. É possível clicar no ícone de exclamação para verificar os detalhes do cancelamento.&lt;/span&gt;&lt;/p&gt;&lt;p&gt;&lt;span&gt;&lt;strong&gt;Cancelado incompleto&lt;/strong&gt;: Este status indica que, em até 1 hora antes do horário previsto, as informações fornecidas eram insuficientes para concluir a solicitação. A fonte menciona exemplos como ausência de nota fiscal de transporte ou direcionamento do armador.&lt;/span&gt;&lt;/p&gt;&lt;p&gt;&lt;span&gt;&lt;strong&gt;Vencido&lt;/strong&gt;: Este status ocorre quando o motorista não se apresentou no horário previsto. Quando o agendamento está vencido, é necessário realizar um novo agendamento.&lt;/span&gt;&lt;/p&gt;&lt;p&gt;&lt;span&gt;&lt;strong&gt;Detalhes importantes sobre o processo relacionados a prazos:&lt;/strong&gt;&lt;/span&gt;&lt;/p&gt;&lt;p&gt;&lt;span&gt;Cancelamentos só podem ser feitos até 2 horas antes do horário agendado para evitar impacto na produtividade e permitir que outras janelas sejam usadas por outros transportadores.&lt;/span&gt;&lt;/p&gt;&lt;p&gt;&lt;span&gt;Alterações de dados só podem ser feitas até 1 hora antes do horário do agendamento&lt;/span&gt;&lt;span&gt;.&lt;/span&gt;&lt;/p&gt;&lt;p&gt;&lt;br/&gt; &lt;/p&gt;</t>
  </si>
  <si>
    <t>https://wilsonsons.zendesk.com/api/v2/help_center/pt-br/articles/37172030444813.json</t>
  </si>
  <si>
    <t>https://atendimento.teconsvonline.com.br/hc/pt-br/articles/37172030444813-Reten%C3%A7%C3%A3o-SISCARGA-e-SISCOMEX</t>
  </si>
  <si>
    <t>Leticia Sousa</t>
  </si>
  <si>
    <t>Retenção SISCARGA e SISCOMEX</t>
  </si>
  <si>
    <t>&lt;ul&gt;
&lt;li&gt;
&lt;span&gt;Nosso sistema realiza atualizações automáticas para verificar a &lt;/span&gt;&lt;strong&gt;&lt;span&gt;Retenção Siscomex (RFB)&lt;/span&gt;&lt;/strong&gt;&lt;span&gt; com até 20 horas de antecedência à expiração do deadline.&lt;/span&gt;
&lt;/li&gt;
&lt;/ul&gt;
&lt;ul&gt;
&lt;li&gt;
&lt;span&gt;Quanto à &lt;/span&gt;&lt;strong&gt;&lt;span&gt;Retenção Siscarga&lt;/span&gt;&lt;/strong&gt;&lt;span&gt;, a atualização ocorre assim que o armador manifesta as cargas no Siscomex Carga e o plano de embarque é importado para o nosso sistema.&lt;/span&gt;
&lt;/li&gt;
&lt;/ul&gt;
&lt;p&gt;&lt;span&gt;&lt;br/&gt;&lt;br/&gt;&lt;/span&gt;&lt;/p&gt;</t>
  </si>
  <si>
    <t>https://wilsonsons.zendesk.com/api/v2/help_center/pt-br/articles/37068658033805.json</t>
  </si>
  <si>
    <t>https://atendimento.teconsvonline.com.br/hc/pt-br/articles/37068658033805-CONTATOS-REISTAR-ATUALIZADOS-DIVERG%C3%8ANCIA-DE-VOLUME</t>
  </si>
  <si>
    <t>CONTATOS REISTAR ATUALIZADOS - DIVERGÊNCIA DE VOLUME</t>
  </si>
  <si>
    <t>&lt;p&gt;importacao@amvox.com.br,&lt;br/&gt;importacao2@amvox.com.br,&lt;br/&gt;importacao3@amvox.com.br,&lt;br/&gt;importacao4@amvox.com.br,&lt;br/&gt;importacao5@amvox.com.br,&lt;br/&gt;importacao7@amvox.com.br.&lt;br/&gt;daniela.fernandes@loxshipping.com.br,&lt;br/&gt;ssa.desembaraco@loxshipping.com.br,&lt;br/&gt;lorena.rocha@loxshipping.com.br Lorena,&lt;br/&gt;kallyane.santos@loxshipping.com.br,&lt;br/&gt;izabella.loureiro@loxshipping.com.br,&lt;/p&gt;</t>
  </si>
  <si>
    <t>https://wilsonsons.zendesk.com/api/v2/help_center/pt-br/articles/36675349937549.json</t>
  </si>
  <si>
    <t>https://atendimento.teconsvonline.com.br/hc/pt-br/articles/36675349937549-OCR-OCR-Optical-Character-Recognition-Reconhecimento-%C3%93tico-de-Carac</t>
  </si>
  <si>
    <t>OCR - OCR (Optical Character Recognition) - Reconhecimento Ótico de Carac</t>
  </si>
  <si>
    <t>&lt;p&gt;&lt;span&gt;É uma tecnologia que permite a conversão de imagens de texto, como documentos digitalizados ou fotos, em texto editável e pesquisável por um computador.&lt;/span&gt;&lt;/p&gt;
&lt;p&gt; &lt;/p&gt;
&lt;p&gt;&lt;span&gt;No momento do gate in e gate out, existe a estrutura OCR com luzes e câmeras que capturam os caracteres presentes no container.&lt;/span&gt;&lt;/p&gt;
&lt;p&gt; &lt;/p&gt;
&lt;p&gt;&lt;span&gt;É ele que determina se a unidade agendada é igual a unidade que se apresentou no gate.&lt;/span&gt;&lt;/p&gt;
&lt;p&gt;&lt;span&gt;Existem uma série de gatilhos e disparos feitos no momento que uma unidade passa pelo OCR. Uma delas é a abertura e fechamento da OS de Armazenagem quando o container passa pelo OCR no gate in e gate out, respectivamente&lt;/span&gt;&lt;span&gt;.&lt;/span&gt;&lt;/p&gt;
&lt;p&gt; &lt;/p&gt;
&lt;p&gt;&lt;span&gt;O OCR também captura imagens das unidades e pode ser utilizada para evidências para o recebimento de container com avarias de origem&lt;/span&gt;&lt;/p&gt;</t>
  </si>
  <si>
    <t>https://wilsonsons.zendesk.com/api/v2/help_center/pt-br/articles/36546556060813.json</t>
  </si>
  <si>
    <t>https://atendimento.teconsvonline.com.br/hc/pt-br/articles/36546556060813-Diverg%C3%AAncia-De-Volume-Reistar-Contatos-Atualizados</t>
  </si>
  <si>
    <t>Divergência De Volume Reistar- Contatos Atualizados</t>
  </si>
  <si>
    <t>&lt;p&gt;&lt;a href="mailto:importacao@amvox.com.br"&gt;importacao@amvox.com.br&lt;/a&gt;,&lt;/p&gt;
&lt;p&gt;&lt;a href="mailto:importacao2@amvox.com.br"&gt;importacao2@amvox.com.br&lt;/a&gt;,&lt;/p&gt;
&lt;p&gt;&lt;a href="mailto:importacao3@amvox.com.br"&gt;importacao3@amvox.com.br&lt;/a&gt;,&lt;/p&gt;
&lt;p&gt;&lt;a href="mailto:importacao4@amvox.com.br"&gt;importacao4@amvox.com.br&lt;/a&gt;,&lt;/p&gt;
&lt;p&gt;&lt;a href="mailto:importacao5@amvox.com.br"&gt;importacao5@amvox.com.br&lt;/a&gt;,&lt;/p&gt;
&lt;p&gt;&lt;a href="mailto:importacao7@amvox.com.br"&gt;importacao7@amvox.com.br&lt;/a&gt;, &lt;/p&gt;
&lt;p&gt;&lt;a href="mailto:daniela.fernandes@loxshipping.com.br"&gt;daniela.fernandes@loxshipping.com.br&lt;/a&gt;,&lt;/p&gt;
&lt;p&gt;&lt;a href="mailto:ssa.desembaraco@loxshipping.com.br"&gt;ssa.desembaraco@loxshipping.com.br&lt;/a&gt;,&lt;/p&gt;
&lt;p&gt;&lt;a href="mailto:lorena.rocha@loxshipping.com.br"&gt;lorena.rocha@loxshipping.com.br&lt;/a&gt;, &lt;/p&gt;
&lt;p&gt;&lt;a href="mailto:kallyane.santos@loxshipping.com.br"&gt;kallyane.santos@loxshipping.com.br&lt;/a&gt;,&lt;/p&gt;
&lt;p&gt;​&lt;a href="mailto:izabella.loureiro@loxshipping.com.br"&gt;izabella.loureiro@loxshipping.com.br&lt;/a&gt;&lt;/p&gt;</t>
  </si>
  <si>
    <t>https://wilsonsons.zendesk.com/api/v2/help_center/pt-br/articles/35520846588173.json</t>
  </si>
  <si>
    <t>https://atendimento.teconsvonline.com.br/hc/pt-br/articles/35520846588173-CONTATOS-ATUALIZADOS-DIVERG%C3%8ANCIA-DE-VOLUME-REISTAR</t>
  </si>
  <si>
    <t>CONTATOS ATUALIZADOS DIVERGÊNCIA DE VOLUME REISTAR</t>
  </si>
  <si>
    <t>['01JPSYYC03G0KA3ZR8R72G6KN6']</t>
  </si>
  <si>
    <t>&lt;div&gt;
&lt;p&gt;importacao@amvox.com.br Leonaldo&lt;br/&gt;importacao2@amvox.com.br Thais&lt;br/&gt;importacao3@amvox.com.br Tatiana&lt;br/&gt;importacao4@amvox.com.br Jislaine&lt;br/&gt;importacao5@amvox.com.br Jaqueline&lt;br/&gt;importacao7@amvox.com.br Thamyres&lt;/p&gt;
&lt;p&gt;daniela.fernandes@loxshipping.com.br &lt;br/&gt;ssa.desembaraco@loxshipping.com.br&lt;br/&gt;lorena.rocha@loxshipping.com.br &lt;br/&gt;kallyane.santos@loxshipping.com.br &lt;br/&gt;​izabella.loureiro@loxshipping.com.br &lt;/p&gt;
&lt;/div&gt;
&lt;div&gt;
&lt;p&gt; &lt;/p&gt;
&lt;/div&gt;</t>
  </si>
  <si>
    <t>https://wilsonsons.zendesk.com/api/v2/help_center/pt-br/articles/35218213469069.json</t>
  </si>
  <si>
    <t>https://atendimento.teconsvonline.com.br/hc/pt-br/articles/35218213469069-Comunicado-Indisponibilidade-Tempor%C3%A1ria-de-Boletos</t>
  </si>
  <si>
    <t>Valéria Cardoso</t>
  </si>
  <si>
    <t>Informativos</t>
  </si>
  <si>
    <t>Comunicado: Indisponibilidade Temporária de Boletos</t>
  </si>
  <si>
    <t>['01HGDZ1DDYTN0KFK8T9VHK2ZEC', '01J1X1H586ZRQD0WFXA3CTP35N', '01JPX3H9E7ZHW1R6AX4WQ5X1BV']</t>
  </si>
  <si>
    <t>['Portal', 'Comunicado', 'Boleto']</t>
  </si>
  <si>
    <t>&lt;p&gt;&lt;img alt="Comunicados do Portal do Cliente (7).png" src="https://atendimento.teconsvonline.com.br/hc/article_attachments/35218229198605"/&gt;&lt;/p&gt;</t>
  </si>
  <si>
    <t>https://wilsonsons.zendesk.com/api/v2/help_center/pt-br/articles/35175755935373.json</t>
  </si>
  <si>
    <t>https://atendimento.teconsvonline.com.br/hc/pt-br/articles/35175755935373-Contatos-diverg%C3%AAncia-de-volume-Reistar</t>
  </si>
  <si>
    <t>Contatos divergência de volume Reistar</t>
  </si>
  <si>
    <t>['01JPSYYC03G0KA3ZR8R72G6KN6', '01JPSZ9S81G27D9YJF2KZD1CBF']</t>
  </si>
  <si>
    <t>['Contatos Reistar', 'Reistar']</t>
  </si>
  <si>
    <t>&lt;p&gt;importacao@amvox.com.br,&lt;br/&gt;importacao2@amvox.com.br,&lt;br/&gt;importacao3@amvox.com.br,&lt;br/&gt;importacao4@amvox.com.br,&lt;br/&gt;importacao5@amvox.com.br,&lt;br/&gt;importacao7@amvox.com.br,&lt;br/&gt;daniela.fernandes@loxshipping.com.br,&lt;br/&gt;ssa.desembaraco@loxshipping.com.br,&lt;br/&gt;lorena.rocha@loxshipping.com.br,&lt;br/&gt;kallyane.santos@loxshipping.com.br,&lt;br/&gt;izabella.loureiro@loxshipping.com.br,&lt;/p&gt;</t>
  </si>
  <si>
    <t>https://wilsonsons.zendesk.com/api/v2/help_center/pt-br/articles/34794054641165.json</t>
  </si>
  <si>
    <t>https://atendimento.teconsvonline.com.br/hc/pt-br/articles/34794054641165-DIFEREN%C3%87A-ENTRE-ENTRADA-ANTECIPADA-E-LIBERA%C3%87%C3%83O-ESPECIAL</t>
  </si>
  <si>
    <t>DIFERENÇA ENTRE ENTRADA ANTECIPADA E LIBERAÇÃO ESPECIAL</t>
  </si>
  <si>
    <t>&lt;p&gt;Notar que trata-se de dois serviços distintos:&lt;br/&gt;&lt;br/&gt;&lt;span&gt;Entrada Antecipada:&lt;/span&gt;&lt;br/&gt;&lt;br/&gt;Trata-se da entrada de um ou mais contêineres antes da abertura do gate do navio.&lt;/p&gt;
&lt;p&gt;Exemplo:&lt;/p&gt;
&lt;p&gt;A abertura do gate do navio MSC NOAH está para o dia 06/03, mas por algum motivo, o cliente solicita a entrada de uma unidade no dia 05/03.&lt;/p&gt;
&lt;p&gt;Há a aba "Agendamento de Container" -  "Entrada Antecipada"&lt;/p&gt;
&lt;p&gt;O cliente preenche as informações necessárias e envia a solicitação para o time.&lt;/p&gt;
&lt;p&gt; &lt;/p&gt;
&lt;p&gt;Importante: em momentos em que a ocupação do pátio está alta, as entradas antecipadas ficam suspensas no Portal. A solicitação deve ser feita via e-mail com o time de Planners em cópia.&lt;/p&gt;
&lt;p&gt; &lt;/p&gt;
&lt;p&gt;O cliente envia a solicitação com as seguintes informações:&lt;br/&gt;Container:&lt;br/&gt;Booking:&lt;br/&gt;&lt;strong&gt;CNPJ que assumirá custos:&lt;/strong&gt;&lt;/p&gt;
&lt;p&gt; &lt;/p&gt;
&lt;p&gt;Notar que esse serviço tem custos que serão repassados para o CNPJ informado na solicitação de entrada antecipada via e-mail.&lt;/p&gt;
&lt;p&gt;Exemplo: &lt;span&gt;Ticket #1206488&lt;/span&gt;&lt;/p&gt;
&lt;p&gt; &lt;/p&gt;
&lt;p&gt; &lt;/p&gt;
&lt;p&gt; &lt;/p&gt;
&lt;p&gt;&lt;span&gt;Liberação Especial:&lt;/span&gt;&lt;br/&gt;&lt;br/&gt;&lt;/p&gt;
&lt;p&gt;A liberação especial é solicitada quando o cliente relata que chegará antes ou depois do horário agendado.&lt;/p&gt;
&lt;p&gt; &lt;/p&gt;
&lt;p&gt;Exemplo:&lt;/p&gt;
&lt;p&gt;A transportadora tem um agendamento para a janela das 16:00, no entanto, eles nos acionam sinalizando que o veículo já está na porta do Terminal. &lt;/p&gt;
&lt;p&gt;Ou a transportadora tem um agendamento para a janela das 16:00, no entanto, por conta de algum erro mecânico, eles não conseguiram chegar a tempo.&lt;/p&gt;
&lt;p&gt; &lt;/p&gt;
&lt;p&gt;Notar que:&lt;/p&gt;
&lt;p&gt;As solicitações de liberação especial não devem ser feitas sem análise prévia do processo. Pontos a serem analisados:&lt;br/&gt;&lt;br/&gt;1. Ainda existem janelas disponíveis no mesmo dia para o tipo de agendamento desejado?&lt;br/&gt;2. Caso a transportadora perca o prazo do agendamento, a unidade ainda consegue embarcar no navio? (Verificar deadline do navio)&lt;/p&gt;
&lt;p&gt;3. Quem é o cliente? Temos clientes que representam maior rentabilidade para nosso Terminal e portanto, manter as programações é desejado.&lt;/p&gt;
&lt;p&gt;4. Verificar o nível de ocupação do pátio. Em períodos de alta ocupação, é difícil conseguir a liberação em caráter especial.&lt;/p&gt;</t>
  </si>
  <si>
    <t>https://wilsonsons.zendesk.com/api/v2/help_center/pt-br/articles/34785884296717.json</t>
  </si>
  <si>
    <t>https://atendimento.teconsvonline.com.br/hc/pt-br/articles/34785884296717-FLUXO-VISTORIA-RFB</t>
  </si>
  <si>
    <t>FLUXO VISTORIA RFB</t>
  </si>
  <si>
    <t>['01JNNPQ4TBBF51Q1JVPE92GVAJ', '01JNP6JKVZW5ZVWMX2X5CMTJNZ', '01JNP6JVQEPGQNJ6CK8XH9FRY3']</t>
  </si>
  <si>
    <t>&lt;p&gt;1. Recebemos o acionamento do Armazém junto à comunicação com os fiscais da RFB acerca da solicitação de posicionamento par conferência física dos bens.&lt;/p&gt;
&lt;p&gt; &lt;/p&gt;
&lt;p&gt;&lt;img src="https://atendimento.teconsvonline.com.br/hc/article_attachments/34785884285965"/&gt;&lt;/p&gt;
&lt;p&gt;2. A partir das referências do processo, vamos pesquisar qual é o cliente e quais os despachantes do processo.&lt;/p&gt;
&lt;p&gt;3. É possível verificar o histórico no Zendesk para checar se há histórico recente de notificação de vistoria para os clientes desejados.&lt;/p&gt;
&lt;p&gt;         * Caso exista, é possível criar acompanhamento que todas as informações serão copiadas para novo ticket. &lt;/p&gt;
&lt;p&gt;&lt;img src="https://atendimento.teconsvonline.com.br/hc/article_attachments/34785909214349"/&gt;&lt;/p&gt;
&lt;p&gt;         * Prestar atenção para trocar todas as informações para repassar para o cliente as informações corretas.&lt;/p&gt;
&lt;p&gt; &lt;/p&gt;
&lt;p&gt;4. Notificar o cliente acerca da vistoria. Exemplos:&lt;br/&gt;&lt;br/&gt;Para Container Cheio:&lt;/p&gt;
&lt;p&gt;&lt;em&gt;&lt;span&gt;Prezados, bom dia!&lt;/span&gt;&lt;/em&gt;&lt;br/&gt;&lt;em&gt;&lt;span&gt;Tudo bem?&lt;/span&gt;&lt;/em&gt;&lt;br/&gt;&lt;em&gt;&lt;span&gt; &lt;/span&gt;&lt;/em&gt;&lt;br/&gt;&lt;em&gt;&lt;span&gt;&lt;span&gt;Informamos que a RFB, fiscal Sra. Davirene realizou hoje no fim da manhã a vistoria da unidade &lt;/span&gt;&lt;strong&gt;MSNU1369781 &lt;/strong&gt;&lt;span&gt;de exportação.&lt;/span&gt;&lt;/span&gt;&lt;/em&gt;&lt;br/&gt;&lt;em&gt;&lt;span&gt; &lt;/span&gt;&lt;/em&gt;&lt;br/&gt;&lt;em&gt;&lt;span&gt;Por gentileza informar se será enviado novo Lacre do Armador.&lt;/span&gt;&lt;/em&gt;&lt;/p&gt;
&lt;p&gt; &lt;/p&gt;
&lt;p&gt;Para carga solta:&lt;br/&gt;&lt;em&gt;&lt;span&gt;Boa tarde, pessoal!&lt;/span&gt;&lt;/em&gt;&lt;br/&gt;&lt;em&gt;&lt;span&gt;Tudo bem?&lt;/span&gt;&lt;/em&gt;&lt;br/&gt;&lt;em&gt;&lt;span&gt; &lt;/span&gt;&lt;/em&gt;&lt;br/&gt;&lt;em&gt;&lt;span&gt;Informamos que a carga solta referente ao BL 16334481 foi selecionada para vistoria através do fiscal Sr. Faludimiro, para conferência a ser realizada hoje.&lt;/span&gt;&lt;/em&gt;&lt;br/&gt;&lt;em&gt;&lt;span&gt; &lt;/span&gt;&lt;/em&gt;&lt;br/&gt;&lt;em&gt;&lt;span&gt;Seguimos à disposição para quaisquer assuntos!&lt;/span&gt;&lt;/em&gt;&lt;/p&gt;
&lt;p&gt; &lt;/p&gt;
&lt;p&gt;Algumas coisas a serem atentadas:&lt;br/&gt;&lt;br/&gt;&lt;/p&gt;
&lt;p&gt;- A vistoria pode ser para um container cheio e para isso, é - em alguns casos - necessário romper o lacre. Para esses casos, é necessário questionar ao cliente/despachante se a unidade embarcará com lacre RFB ou se eles enviarão novo lacre do armador.&lt;/p&gt;
&lt;p&gt;Caso o despachante indique que irá fazer o envio de novo lacre, questionar se o preposto já tem acesso à CODEBA para evitar contratempos.&lt;/p&gt;
&lt;p&gt; &lt;/p&gt;
&lt;p&gt;- Caso a vistoria ocorra em carga solta, não é necessário questionarmos acerca do lacre.&lt;/p&gt;
&lt;p&gt;- O Armazém pode nos notificar que existe alguma pendência documental para o processo. É importante solicitar o envio do documento e anexação no nosso Portal.&lt;/p&gt;
&lt;p&gt; &lt;/p&gt;
&lt;p&gt; &lt;/p&gt;</t>
  </si>
  <si>
    <t>https://wilsonsons.zendesk.com/api/v2/help_center/pt-br/articles/34785442835469.json</t>
  </si>
  <si>
    <t>https://atendimento.teconsvonline.com.br/hc/pt-br/articles/34785442835469-COMO-SOLICITAR-CADASTRO-DE-PR%C3%89VIA-AO-DEPOT</t>
  </si>
  <si>
    <t>Gabrielle Melo</t>
  </si>
  <si>
    <t>COMO SOLICITAR CADASTRO DE PRÉVIA AO DEPOT?</t>
  </si>
  <si>
    <t>['01JM2BRXZTXR5TE494HMJTVA32', '01JNP62A4XBP9KXMJQR8845FHP']</t>
  </si>
  <si>
    <t>['DEPOT', 'prévia']</t>
  </si>
  <si>
    <t>&lt;p&gt;O cadastro de prévia é necessário para agendar a devolução do container para o Depot.&lt;/p&gt;
&lt;p&gt; &lt;/p&gt;
&lt;p&gt;Exemplos de solicitações:&lt;/p&gt;
&lt;p&gt;&lt;span&gt;Ticket #1210033&lt;/span&gt;&lt;/p&gt;
&lt;p&gt;&lt;span&gt;Ticket #1209951&lt;/span&gt;&lt;/p&gt;
&lt;p&gt;&lt;span&gt;Ticket #1209891&lt;/span&gt;&lt;/p&gt;
&lt;p&gt; &lt;/p&gt;
&lt;p&gt;Ao se deparar com esse tipo de solicitação, basta pegar o nº do container e solicitar no grupo Devolução de vazio (Talk).&lt;/p&gt;
&lt;p&gt; &lt;/p&gt;
&lt;p&gt;IMPORTANTE: &lt;/p&gt;
&lt;p&gt;Sempre confirmar qual o armador daquele container.&lt;/p&gt;</t>
  </si>
  <si>
    <t>https://wilsonsons.zendesk.com/api/v2/help_center/pt-br/articles/34775675603213.json</t>
  </si>
  <si>
    <t>https://atendimento.teconsvonline.com.br/hc/pt-br/articles/34775675603213-Informa%C3%A7%C3%B5es-sobre-Despacho-Aduaneiro</t>
  </si>
  <si>
    <t>Victoria Santana</t>
  </si>
  <si>
    <t>Informações sobre Despacho Aduaneiro</t>
  </si>
  <si>
    <t>['01JNNPP8H4A3A5KXP4PZK5HXXH', '01JNNPPJRRH0MYQGDR630QEPJ8', '01JNNPPVRTX8PNXC7Z9ZRZEG0J', '01JNNPQ4TBBF51Q1JVPE92GVAJ']</t>
  </si>
  <si>
    <t>&lt;p&gt;Local de Despacho&lt;br/&gt;Unidade da RFB&lt;br/&gt;0517800-ALF-SALVADOR&lt;br/&gt;Recinto aduaneiro&lt;br/&gt;5921302-INST.PORT.MAR.ALF.USO PUBL TECOM SALVADOR - PORTO&lt;br/&gt;SALVADOR/BA&lt;br/&gt;&lt;br/&gt;Ticket exemplo:&lt;br/&gt;&lt;span&gt;&lt;strong&gt;&lt;span&gt;#&lt;/span&gt;&lt;span&gt;1197262&lt;/span&gt;&lt;span&gt;&lt;br/&gt;#1193761&lt;/span&gt;&lt;/strong&gt;&lt;/span&gt;&lt;/p&gt;</t>
  </si>
  <si>
    <t>https://wilsonsons.zendesk.com/api/v2/help_center/pt-br/articles/34753844548493.json</t>
  </si>
  <si>
    <t>https://atendimento.teconsvonline.com.br/hc/pt-br/articles/34753844548493-COMO-CONSULTAR-DU-E-ATRAVEZ-DO-CONTAINER</t>
  </si>
  <si>
    <t>COMO CONSULTAR DU-E ATRAVEZ DO CONTAINER</t>
  </si>
  <si>
    <t>['01JNKN5R8E20PFA9PP8P181GGG', '01JNKN5ZR9EDB65RF5A1XHTVHG', '01JNKN7H3Y6Q0CNFNH9H57VQ3Z']</t>
  </si>
  <si>
    <t>&lt;div&gt;&lt;/div&gt;
&lt;div&gt;Para consultar o número da DU-e através do &lt;a href="https://portalunico.siscomex.gov.br/" target="_blank"&gt;https://portalunico.siscomex.gov.br/&lt;/a&gt;, podemos fazê-la através do container, RUC ou NFe.&lt;/div&gt;
&lt;div&gt;
&lt;div&gt;
&lt;br/&gt;Pela NFe se torna mais fácil:&lt;/div&gt;
&lt;/div&gt;
&lt;div&gt;
&lt;div&gt;
&lt;div&gt;
&lt;div&gt;
&lt;div&gt;
&lt;div&gt;
&lt;br/&gt;&lt;img height="212" src="https://atendimento.teconsvonline.com.br/hc/article_attachments/34753854403085" width="620"/&gt;
&lt;/div&gt;
&lt;/div&gt;
&lt;/div&gt;
&lt;/div&gt;
&lt;/div&gt;
&lt;/div&gt;</t>
  </si>
  <si>
    <t>https://wilsonsons.zendesk.com/api/v2/help_center/pt-br/articles/34753608699533.json</t>
  </si>
  <si>
    <t>https://atendimento.teconsvonline.com.br/hc/pt-br/articles/34753608699533-FAINA-ENTRADA-DE-CNTR-DEADLINE</t>
  </si>
  <si>
    <t>FAINA ENTRADA DE CNTR DEADLINE</t>
  </si>
  <si>
    <t>['01GPY217SSC5MP9PMEN97RPEVN', '01HYK7D58EJY5R86W3W3SYQ1P2', '01HZMQH2QHYPZ9731JWJ1ANK9C']</t>
  </si>
  <si>
    <t>&lt;p&gt;&lt;span&gt;A opção &lt;strong&gt;ENTRADA DE CNTR DEADLINE&lt;/strong&gt; foi criada especialmente para atender cargas de navios com deadline próximo. Ela fica disponível a partir de 24 horas antes do prazo final do navio, permitindo que clientes e transportadores agendem seus veículos com mais facilidade. Dessa forma, garantimos uma operação mais fluida e evitamos contratempos para todos os envolvidos.&lt;/span&gt;&lt;/p&gt;</t>
  </si>
  <si>
    <t>https://wilsonsons.zendesk.com/api/v2/help_center/pt-br/articles/34752710223245.json</t>
  </si>
  <si>
    <t>https://atendimento.teconsvonline.com.br/hc/pt-br/articles/34752710223245-COMO-SOLICITAR-AO-ARMAZ%C3%89M-PARA-MANTER-JANELA-DE-ATENDIMENTO</t>
  </si>
  <si>
    <t>COMO SOLICITAR AO ARMAZÉM PARA MANTER JANELA DE ATENDIMENTO?</t>
  </si>
  <si>
    <t>['01H32JT9HQS6WJFWMED6MR765G', '01H6VPJQKF8P1CC70TER48MSXQ', '01HE3FXMQ3DS1HGTC2579RS7P4', '01JNKKQSARB0HPQT1N0MGBF3KR']</t>
  </si>
  <si>
    <t>&lt;p&gt; &lt;/p&gt;
&lt;p&gt;&lt;em&gt;Exemplo de e-mail.&lt;/em&gt;&lt;br/&gt;&lt;br/&gt;Armazém,&lt;br/&gt;&lt;br/&gt;&lt;/p&gt;
&lt;p&gt;Para conhecimento, gentileza notar que o cliente precisou realizar a alteração da placa no agendamento BL xxx que já estava com programação para data xxx.&lt;br/&gt;&lt;br/&gt;&lt;/p&gt;
&lt;p&gt;Considerando que o novo agendamento sofreu alteração na data, gentileza manter a janela inicial para carregamento.&lt;br/&gt;&lt;br/&gt;&lt;br/&gt;&lt;strong&gt;&lt;span&gt;Ticket interno de exmplo #1175681.&lt;/span&gt;&lt;/strong&gt;&lt;/p&gt;</t>
  </si>
  <si>
    <t>https://wilsonsons.zendesk.com/api/v2/help_center/pt-br/articles/34540951766413.json</t>
  </si>
  <si>
    <t>https://atendimento.teconsvonline.com.br/hc/pt-br/articles/34540951766413-EMAIL-PARA-INATIVIDADE-DE-CHAT</t>
  </si>
  <si>
    <t>EMAIL PARA INATIVIDADE DE CHAT</t>
  </si>
  <si>
    <t>['01J8SMNBHW3FWZVT9HRCJG92B8', '01JMYTZA3F17NSYE0YXGKBRV87', '01JMYTZFN4XNDFZXNYS5DCZ232']</t>
  </si>
  <si>
    <t>&lt;p&gt;Bom dia, x!&lt;br/&gt;Tudo bem?&lt;br/&gt;&lt;br/&gt;Peço desculpas pela demora no retorno, estamos com um volume elevado de atendimentos no momento. &lt;br/&gt;&lt;br/&gt;Caso ainda tenha alguma dúvida ou precise de mais ajuda, não hesite em nos chamar! Estamos aqui para te ajudar. 💛&lt;br/&gt;&lt;br/&gt;Ticket exemplo &lt;span&gt;&lt;span&gt; &lt;/span&gt;&lt;strong&gt;#1203582&lt;/strong&gt;&lt;/span&gt;&lt;/p&gt;
&lt;p&gt; &lt;/p&gt;</t>
  </si>
  <si>
    <t>https://wilsonsons.zendesk.com/api/v2/help_center/pt-br/articles/34283158492045.json</t>
  </si>
  <si>
    <t>https://atendimento.teconsvonline.com.br/hc/pt-br/articles/34283158492045-AVISO-Regras-de-Circula%C3%A7%C3%A3o-no-Porto-de-Salvador</t>
  </si>
  <si>
    <t>AVISO: Regras de Circulação no Porto de Salvador</t>
  </si>
  <si>
    <t>['01JJVQSB7YC4DNFF7VD26FRD0J', '01JM2BWNQPQEMAH1KK9A5AN29C']</t>
  </si>
  <si>
    <t>&lt;p&gt;&lt;img alt="4.png" src="https://atendimento.teconsvonline.com.br/hc/article_attachments/34283158487821"/&gt;&lt;/p&gt;</t>
  </si>
  <si>
    <t>https://wilsonsons.zendesk.com/api/v2/help_center/pt-br/articles/34283089416717.json</t>
  </si>
  <si>
    <t>https://atendimento.teconsvonline.com.br/hc/pt-br/articles/34283089416717-Comunicado-Altera%C3%A7%C3%A3o-dos-agendamentos-Depot</t>
  </si>
  <si>
    <t>Comunicado: Alteração dos agendamentos Depot</t>
  </si>
  <si>
    <t>['01GPY217SSC5MP9PMEN97RPEVN', '01JM2BRXZTXR5TE494HMJTVA32']</t>
  </si>
  <si>
    <t>&lt;p&gt;&lt;img alt="3.png" src="https://atendimento.teconsvonline.com.br/hc/article_attachments/34283074585869"/&gt;&lt;/p&gt;</t>
  </si>
  <si>
    <t>https://wilsonsons.zendesk.com/api/v2/help_center/pt-br/articles/34283041708045.json</t>
  </si>
  <si>
    <t>https://atendimento.teconsvonline.com.br/hc/pt-br/articles/34283041708045-Comunicado-Novo-sistema-OCR</t>
  </si>
  <si>
    <t>Comunicado: Novo sistema OCR</t>
  </si>
  <si>
    <t>['01JM2BFTZF3W6ZR5SHKVE1SBQS', '01JM2BFYRA8RKRPHHCY2RVC20P']</t>
  </si>
  <si>
    <t>&lt;p&gt;&lt;img alt="2.png" src="https://atendimento.teconsvonline.com.br/hc/article_attachments/34283041707021"/&gt;&lt;/p&gt;</t>
  </si>
  <si>
    <t>https://wilsonsons.zendesk.com/api/v2/help_center/pt-br/articles/34282873411469.json</t>
  </si>
  <si>
    <t>https://atendimento.teconsvonline.com.br/hc/pt-br/articles/34282873411469-Programa%C3%A7%C3%A3o-de-funcionamento-Carnaval-2025</t>
  </si>
  <si>
    <t>Programação de funcionamento</t>
  </si>
  <si>
    <t>Programação de funcionamento Carnaval 2025</t>
  </si>
  <si>
    <t>['01JKX7XA8DF6CHV167GF6XYXFD', '01JM2BBM0FFQ88Z7TKTRA91WM4']</t>
  </si>
  <si>
    <t>&lt;p&gt;&lt;img alt="1.png" src="https://atendimento.teconsvonline.com.br/hc/article_attachments/34282873409421"/&gt;&lt;/p&gt;</t>
  </si>
  <si>
    <t>https://wilsonsons.zendesk.com/api/v2/help_center/pt-br/articles/33908704901645.json</t>
  </si>
  <si>
    <t>https://atendimento.teconsvonline.com.br/hc/pt-br/articles/33908704901645-Cobran%C3%A7as-de-transporte-Modal-mar%C3%ADtimo</t>
  </si>
  <si>
    <t>Cobranças de transporte | Modal marítimo</t>
  </si>
  <si>
    <t>['01HK7ZMRH3J546RX51MRNV43MR', '01JJVQS54PWGA8B75Y6AN3W40S', '01JJVQSB7YC4DNFF7VD26FRD0J', '01JJVQSFM296AKA9EF4211Z4KM']</t>
  </si>
  <si>
    <t>['MODAL', 'PORTO', 'PORTA']</t>
  </si>
  <si>
    <t>&lt;p&gt;Salvo exceções, as modalidades de transporte internacional de mercadorias por meio do modal marítimo seguem o seguinte padrão:&lt;/p&gt;
&lt;p&gt; &lt;/p&gt;
&lt;p&gt;I) House to House (H/H): a mercadoria é retirada no estabelecimento do exportador e entregue no estabelecimento do importador - Porta a Porta (CUSTO ARMADOR)&lt;/p&gt;
&lt;p&gt;II) Pier to Pier (P/P): a mercadoria é retirada no porto de partida e entregue no porto de chegada - Porto a Porto (CUSTO CLIENTE)&lt;/p&gt;
&lt;p&gt;III) House to Pier (H/P): a mercadoria é retirada no estabelecimento do exportador e entregue no porto de chegada - Porta a Porto (CUSTO CLIENTE)&lt;/p&gt;
&lt;p&gt;IV) Pier to House (P/H): a mercadoria é retirada no porto de partida e entregue no estabelecimento do importador - Porto a Porta (CUSTO ARMADOR)&lt;/p&gt;
&lt;p&gt; &lt;/p&gt;
&lt;p&gt;DICA: tudo o que finalizar como pier (p) sempre será como custo cliente e toda modalidade que finalizar como house (h) será custo armador.&lt;/p&gt;
&lt;p&gt;&lt;br/&gt;OBS.: No caso de desembarque, cobraremos conforme a modalidade indicada no portal de atendimento, informada pelo cliente na liberação documental.&lt;/p&gt;</t>
  </si>
  <si>
    <t>https://wilsonsons.zendesk.com/api/v2/help_center/pt-br/articles/32752013473421.json</t>
  </si>
  <si>
    <t>https://atendimento.teconsvonline.com.br/hc/pt-br/articles/32752013473421-Minha-unidade-deu-scanner-suspeito-E-agora</t>
  </si>
  <si>
    <t>Minha unidade deu scanner suspeito! E agora?</t>
  </si>
  <si>
    <t>['01H5A90ZR2BMP0R031YAXZ1D6A', '01JF7Z5NP42VCDFTH2DEJ89GAX', '01JF7Z5YHW5GVC4A7N507F9T0T']</t>
  </si>
  <si>
    <t>['scanner', 'suspeito', 'scanner suspeito']</t>
  </si>
  <si>
    <t>&lt;p&gt;Para consultar se uma unidade foi impedida de sair do terminal por informação de de scanner suspeito, siga o manual abaixo:&lt;/p&gt;
&lt;p&gt; &lt;/p&gt;
&lt;p&gt;&lt;span&gt;&lt;strong&gt;1. COMO CONSULTAR UNIDADE COM IMPEDIMENTO DE SAÍDA&lt;/strong&gt;&lt;/span&gt;&lt;/p&gt;
&lt;ul&gt;
&lt;li&gt;&lt;span&gt;Acesse o sistema N4.&lt;/span&gt;&lt;/li&gt;
&lt;li&gt;&lt;span&gt;No menu, selecione a opção "Units".&lt;/span&gt;&lt;/li&gt;
&lt;li&gt;&lt;span&gt;Localize a unidade que deseja consultar e clique duas vezes sobre ela.&lt;/span&gt;&lt;/li&gt;
&lt;li&gt;&lt;span&gt;Navegue até a opção "History, Events".&lt;/span&gt;&lt;/li&gt;
&lt;li&gt;
&lt;span&gt;Verifique se existe um Event ID com o nome &lt;/span&gt;&lt;span&gt;&lt;strong&gt;WS_SCANNER_SUSPEITO&lt;/strong&gt;&lt;/span&gt;&lt;span&gt;.&lt;/span&gt;
&lt;/li&gt;
&lt;/ul&gt;
&lt;p&gt;&lt;img alt="FFAU3933954 - BLOQUEIO.png" src="https://atendimento.teconsvonline.com.br/hc/article_attachments/32756502056461"/&gt;&lt;/p&gt;
&lt;p&gt; &lt;/p&gt;
&lt;p&gt;&lt;span&gt;&lt;strong&gt;2. PRAZO PARA LIBERAÇÃO APÓS SCANNEAMENTO&lt;/strong&gt;&lt;/span&gt;&lt;/p&gt;
&lt;ul&gt;
&lt;li&gt;
&lt;p&gt;&lt;span&gt;Após a unidade ser scanneada, o prazo para liberação é de &lt;/span&gt;&lt;span&gt;&lt;strong&gt;4 horas úteis&lt;/strong&gt;&lt;/span&gt;&lt;span&gt; a partir da notificação.&lt;/span&gt;&lt;/p&gt;
&lt;/li&gt;
&lt;li&gt;
&lt;p&gt;&lt;span&gt;A liberação pode ocorrer antes do prazo caso a Receita Federal analise e aprove a imagem.&lt;/span&gt;&lt;/p&gt;
&lt;/li&gt;
&lt;li&gt;
&lt;p&gt;&lt;span&gt;Horário de contagem das 4 horas úteis: &lt;/span&gt;&lt;strong&gt;segunda a sexta:&lt;/strong&gt; Das 08h às 17h.&lt;/p&gt;
&lt;/li&gt;
&lt;/ul&gt;
&lt;p&gt;&lt;span&gt;&lt;strong&gt;3. AÇÃO APÓS O PRAZO DE 4 HORAS&lt;/strong&gt;&lt;/span&gt;&lt;/p&gt;
&lt;ul&gt;
&lt;li&gt;
&lt;p&gt;&lt;span&gt;Caso o prazo de 4 horas seja atingido sem liberação pela Receita Federal:&lt;/span&gt;&lt;/p&gt;
&lt;ul&gt;
&lt;li&gt;
&lt;p&gt;&lt;span&gt;O time de CEQ remove a pendência de scanner e libera a coleta da unidade.&lt;/span&gt;&lt;/p&gt;
&lt;/li&gt;
&lt;li&gt;
&lt;p&gt;&lt;span&gt;O evento &lt;/span&gt;&lt;span&gt;&lt;strong&gt;WS_SCANNER_SUSPEITO&lt;/strong&gt;&lt;/span&gt;&lt;span&gt; permanece registrado no histórico.&lt;/span&gt;&lt;/p&gt;
&lt;/li&gt;
&lt;li&gt;
&lt;p&gt;&lt;span&gt;A tela "Holds/Perms" é atualizada, e o campo &lt;/span&gt;&lt;span&gt;&lt;strong&gt;SCANNER_UNIT&lt;/strong&gt;&lt;/span&gt;&lt;span&gt; passa a exibir o status &lt;/span&gt;&lt;span&gt;&lt;strong&gt;RELEASED&lt;/strong&gt;&lt;/span&gt;&lt;span&gt;.&lt;/span&gt;&lt;/p&gt;
&lt;/li&gt;
&lt;/ul&gt;
&lt;/li&gt;
&lt;/ul&gt;
&lt;p&gt;&lt;img alt="FFAU3933954 - LIBERADO.png" src="https://atendimento.teconsvonline.com.br/hc/article_attachments/32756502084109"/&gt;&lt;/p&gt;
&lt;p&gt; &lt;/p&gt;
&lt;p&gt; &lt;/p&gt;
&lt;p&gt; &lt;/p&gt;</t>
  </si>
  <si>
    <t>https://wilsonsons.zendesk.com/api/v2/help_center/pt-br/articles/31609567057421.json</t>
  </si>
  <si>
    <t>https://atendimento.teconsvonline.com.br/hc/pt-br/articles/31609567057421-Cancelamento-de-placa</t>
  </si>
  <si>
    <t>Cancelamento de placa</t>
  </si>
  <si>
    <t>['01JBWHDX8XSH9X3FG3FPDHVBQK']</t>
  </si>
  <si>
    <t>&lt;p&gt;Prazo de cancelamento de placa: Até 2h &lt;/p&gt;</t>
  </si>
  <si>
    <t>https://wilsonsons.zendesk.com/api/v2/help_center/pt-br/articles/30609408808973.json</t>
  </si>
  <si>
    <t>https://atendimento.teconsvonline.com.br/hc/pt-br/articles/30609408808973-E-mails</t>
  </si>
  <si>
    <t>E-mails</t>
  </si>
  <si>
    <t>['01J8SMNBHW3FWZVT9HRCJG92B8']</t>
  </si>
  <si>
    <t>['sop']</t>
  </si>
  <si>
    <t>&lt;p&gt;atendimento.tcsv@wilsonsons.com.br,&lt;br/&gt;armazenagem.tcsv@wilsonsons.com.br,&lt;br/&gt;**************************************************************&lt;br/&gt;documentacao.tcsv@wilsonsons.com.br,&lt;br/&gt;contabilidade.salvador@wilsonsons.com.br,&lt;br/&gt;cadastro.tcsv@wilsonsons.com.br,&lt;br/&gt;conciliacao.tcsv@wilsonsons.com.br,&lt;br/&gt;faturamento.teconsv@wilsonsons.com.br,&lt;br/&gt;contasreceber.tcsv@wilsonsons.com.br,&lt;br/&gt;matheus.mandarino@wilsonsons.com.br,&lt;br/&gt;joaofelipe.portugal@wilsonsons.com.br,&lt;br/&gt;matheus.cunha@wilsonsons.com.br,&lt;br/&gt;matheus.cunha@wilsonsons.com.br,&lt;br/&gt;guilherme.antunes@wilsonsons.com.br,&lt;br/&gt;**************************************************************&lt;br/&gt;armazem.tcsv@wilsonsons.com.br, &lt;br/&gt;valdnei.santos@wilsonsons.com.br, &lt;br/&gt;ricardo.monteiro@wilsonsons.com.br, &lt;br/&gt;fabio.santos@wilsonsons.com.br, &lt;br/&gt;vanessa.lima@wilsonsons.com.br, &lt;br/&gt;andre.luis@wilsonsons.com.br,&lt;br/&gt;rafael.ribeiro@wilsonsons.com.br,&lt;br/&gt;renato.cerqueira@wilsonsons.com.br,&lt;br/&gt;**************************************************************&lt;br/&gt;clearance.tcsv@wilsonsons.com.br,&lt;br/&gt;sop@wilsonsons.com.br,&lt;br/&gt;ceq@wilsonsons.com.br,&lt;br/&gt;triagem.tcsv@wilsonsons.com.br,&lt;br/&gt;planners.tcsv@wilsonsons.com.br,&lt;br/&gt;bookings.tcsv@wilsonsons.com.br,&lt;br/&gt;reefer.tcsv@wilsonsons.com.br,&lt;br/&gt;operation.tcsv@wilsonsons.com.br,&lt;br/&gt;marcelo.borges@wilsonsons.com.br,&lt;br/&gt;leandro.chies@wilsonsons.com.br,&lt;br/&gt;**************************************************************&lt;br/&gt;recrutamento.salvador@wilsonsons.com.br,&lt;br/&gt;dho.teconsv@teconsalvador.com.br,&lt;br/&gt;**************************************************************&lt;br/&gt;segurancapatrimonial.tcsv@wilsonsons.com.br,&lt;br/&gt;recepcao.tcsv@wilsonsons.com.br,&lt;br/&gt;mauricio.politano@wilsonsons.com.br,&lt;br/&gt;fernando.borba@wilsonsons.com.br,&lt;br/&gt;luiza.carvalho@wilsonsons.com.br,&lt;br/&gt;anamaria.moura@wilsonsons.com.br,&lt;br/&gt;**************************************************************&lt;br/&gt;ademir.santos@wilsonsons.com.br,&lt;br/&gt;amauri.leal@wilsonsons.com.br,&lt;br/&gt;lucas.ventura@wilsonsons.com.br,&lt;br/&gt;pedro.jesus@wilsonsons.com.br,&lt;br/&gt;ramon.almeida@wilsonsons.com.br,&lt;br/&gt;marcio.silva@wilsonsons.com.br,&lt;br/&gt;denis.reis@wilsonsons.com.br,&lt;br/&gt;**************************************************************&lt;br/&gt;luis.guedes@wilsonsons.com.br,&lt;br/&gt;josegoncalo.junior@wilsonsons.com.br,&lt;br/&gt;sms@teconsalvador.com.br,&lt;br/&gt;bruno.ambrosi@wilsonsons.com.br,&lt;br/&gt;anselmo.santo@wilsonsons.com.br,&lt;/p&gt;
&lt;p&gt;*************************************************************&lt;br/&gt;faturamento.teconsv@wilsonsons.com.br&lt;br/&gt;atendimento.ag@wilsonsons.com.br&lt;br/&gt;armazenagem.tcsv@wilsonsons.com.br,&lt;br/&gt;**************************************************************&lt;br/&gt;documentacao.tcsv@wilsonsons.com.br,&lt;br/&gt;cadastro.tcsv@wilsonsons.com.br,&lt;br/&gt;conciliacao.tcsv@wilsonsons.com.br,&lt;br/&gt;contasreceber.tcsv@wilsonsons.com.br,&lt;br/&gt;contabilidade.salvador@wilsonsons.com.br,&lt;br/&gt;**************************************************************&lt;br/&gt;clearance.tcsv@wilsonsons.com.br,&lt;br/&gt;sop@wilsonsons.com.br,&lt;br/&gt;ceq@wilsonsons.com.br,&lt;br/&gt;planners.tcsv@wilsonsons.com.br,&lt;br/&gt;reefer@wilsonsons.com.br,&lt;br/&gt;operation.tcsv@wilsonsons.com.br&lt;br/&gt;**************************************************************&lt;br/&gt;estimators.depot.tcsv@wilsonsons.com.br,&lt;br/&gt;booking.depot.tcsv@wilsonsons.com.br,&lt;br/&gt;armazem.depot.tcsv@wilsonsons.com.br,&lt;br/&gt;supervisor.depot.tcsv@wilsonsons.com.br,&lt;/p&gt;</t>
  </si>
  <si>
    <t>https://wilsonsons.zendesk.com/api/v2/help_center/pt-br/articles/29462863199501.json</t>
  </si>
  <si>
    <t>https://atendimento.teconsvonline.com.br/hc/pt-br/articles/29462863199501-Associar-Booking-Depot-Guia-de-Tela-para-Armadores</t>
  </si>
  <si>
    <t>Associar Booking Depot - Guia de Tela para Armadores</t>
  </si>
  <si>
    <t>['01HK7ZMFPZPYDXW7188WSP0PAW', '01J5TRQH9Q7TV25NAFGNW84CA3', '01J5TRRT609TA9102P2RJGDQDN']</t>
  </si>
  <si>
    <t>['ASSOCIAR BOOKING DEPOT']</t>
  </si>
  <si>
    <t>&lt;p&gt;Para configurar o Depot padrão ou visualizar o booking associado a um navio, basta utilizar a aba "Associar booking Depot".&lt;/p&gt;
&lt;p&gt; &lt;/p&gt;
&lt;p&gt;&lt;img height="88" src="https://lh7-rt.googleusercontent.com/docsz/AD_4nXcmZSBbcPDaSQcLki-GAMjd9r6yAbbqUzWcwTy7iWHHWfFa7jFVBV3Pn_4WiMkvx052FBHrttllqkcwhgUL30m8kpyNm_2hf5xKnLCA_5a-FK0hnHF7_kyh6n3ly-_io8W8D58KyGQVg_RlDHt_JFRWwVDn?key=NTrEO321Q5WRvUGBu9cq-g" width="602"/&gt;&lt;/p&gt;
&lt;p&gt; &lt;/p&gt;
&lt;p&gt;- Ao clicar no botão "Depot Default" (depósito padrão), você poderá selecionar um armador e definir um Depot padrão. Após salvar, o sistema enviará automaticamente todos os bookings de coleta de vazios para os e-mails cadastrados para esse depósito sempre que houver descarga de vazios desse armador.&lt;/p&gt;
&lt;p&gt;Importante salientar que ao cadastrar essa opção apenas 1 Depot receberá o booking para as unidades.&lt;/p&gt;
&lt;p&gt; &lt;/p&gt;
&lt;p&gt;Caso precise verificar os e-mails cadastrados, basta enviar sua solicitação para "&lt;a href="mailto:atendimento.tcsv@wilsonsons.com.br"&gt;&lt;span&gt;atendimento.tcsv@wilsonsons.com.br&lt;/span&gt;&lt;/a&gt;".&lt;/p&gt;
&lt;p&gt; &lt;/p&gt;
&lt;p&gt;&lt;img height="310" src="https://lh7-rt.googleusercontent.com/docsz/AD_4nXeL5CbPyz1YzKfxlHK2-FlWbM3xku55T2l6Ipvuli9GZ4bEWxud5VU456iZJS9zlAJ6nzkqb_8dy451FE35wEWfjvHgFe01F-psf_USrjglrloTBpnFxqGdKlyG_zs5jgH1fDrnqE0Ah7cDfC5PejijI4o?key=NTrEO321Q5WRvUGBu9cq-g" width="402"/&gt;&lt;/p&gt;
&lt;p&gt; &lt;/p&gt;
&lt;p&gt;- Ao filtrar por um navio você visualizará as informações do booking, tipo de containers, quantidades de containers, qual o depot associado ou se todas as unidades já foram coletadas.&lt;/p&gt;
&lt;p&gt; &lt;/p&gt;
&lt;p&gt;Ademais, é possível associar e desassociar as unidades de um determinados depot livremente, contato que as unidades ainda não tenham sido coletadas.&lt;/p&gt;
&lt;p&gt; &lt;/p&gt;
&lt;p&gt;&lt;img height="151" src="https://lh7-rt.googleusercontent.com/docsz/AD_4nXc1C4PiT31Fwf6b9ZrZUCv9W6Br71jiFvQaaYu-H3znpBFE9gQt3T7sRok6ojJLXZoMFa8PS2rgVnloD8MuQ0_Eu2U3jZG8ZTvCkI2LX9Qyd-zS_4XqUOkZGngiiAsUbP_erdzHSC1AgGGU96AzgDJSjnkN?key=NTrEO321Q5WRvUGBu9cq-g" width="602"/&gt;&lt;/p&gt;
&lt;p&gt; &lt;/p&gt;
&lt;p&gt;Para qualquer dúvida, entre em contato conosco pelo chat do portal, ligação ou envie uma mensagem via WhatsApp para o número abaixo:&lt;/p&gt;
&lt;p&gt;+55 71 2106-1500 &lt;/p&gt;
&lt;p&gt; &lt;/p&gt;
&lt;p&gt;Contem sempre conosco! 🤝🤝🤝&lt;/p&gt;
&lt;p&gt;&lt;br/&gt;&lt;br/&gt;&lt;/p&gt;</t>
  </si>
  <si>
    <t>https://wilsonsons.zendesk.com/api/v2/help_center/pt-br/articles/29407516852109.json</t>
  </si>
  <si>
    <t>https://atendimento.teconsvonline.com.br/hc/pt-br/articles/29407516852109-Associar-Booking-Depot</t>
  </si>
  <si>
    <t>Associar Booking Depot</t>
  </si>
  <si>
    <t>['01J1X1H586ZRQD0WFXA3CTP35N', '01J687G5Z488XW15KXQK49WCR0']</t>
  </si>
  <si>
    <t>['portal']</t>
  </si>
  <si>
    <t>&lt;div&gt;&lt;font face="arial, sans-serif"&gt;&lt;u&gt;&lt;img src="https://atendimento.teconsvonline.com.br/hc/article_attachments/29407516845325"/&gt;&lt;/u&gt;&lt;/font&gt;&lt;/div&gt;
&lt;div&gt;&lt;font face="arial, sans-serif"&gt;&lt;u&gt;                                                                                                                                                                    &lt;/u&gt;&lt;/font&gt;&lt;/div&gt;
&lt;div&gt;&lt;u&gt;&lt;/u&gt;&lt;/div&gt;
&lt;p&gt;Para configurar o Depot padrão ou visualizar o booking associado a um navio, você pode usar a aba "Associar booking Depot".&lt;/p&gt;
&lt;div&gt;&lt;font face="arial, sans-serif"&gt;&lt;u&gt;&lt;img src="https://atendimento.teconsvonline.com.br/hc/article_attachments/29407486592141"/&gt;&lt;/u&gt;&lt;/font&gt;&lt;/div&gt;
&lt;h2&gt;- Ao clicar em "Depot Default" (depósito padrão), você poderá escolher um armador e definir um Depot padrão. Depois de salvar, o sistema enviará automaticamente todos os bookings de coleta de vazios para os e-mails cadastrados desse Depot sempre que houver descarga de vazios.&lt;/h2&gt;
&lt;p&gt;É importante destacar que, ao ativar essa opção, apenas um Depot receberá os bookings das unidades. Se precisar enviar unidades de tipos diferentes para Depots diferentes, é necessário desativar a opção de Depot Default.&lt;br/&gt;&lt;br/&gt;&lt;/p&gt;
&lt;h2&gt;Caso precise verificar os e-mails cadastrados, basta enviar sua solicitação para "atendimento.tcsv@wilsonsons.com.br".&lt;/h2&gt;
&lt;h2&gt;&lt;font face="arial, sans-serif"&gt;&lt;u&gt;&lt;img src="https://atendimento.teconsvonline.com.br/hc/article_attachments/29407516847629"/&gt;&lt;/u&gt;&lt;/font&gt;&lt;/h2&gt;
&lt;div&gt;- Ao filtrar por um navio, você verá as informações do booking, como tipo e quantidade de containers, qual o Depot associado e se todas as unidades já foram coletadas.&lt;/div&gt;
&lt;div&gt;
&lt;p&gt;&lt;br/&gt;Além disso, você pode associar ou desassociar as unidades de um determinado Depot, desde que ainda não tenham sido coletadas.&lt;/p&gt;
&lt;p&gt; &lt;/p&gt;
&lt;/div&gt;
&lt;div&gt;&lt;font face="arial, sans-serif"&gt;&lt;u&gt;&lt;img src="https://atendimento.teconsvonline.com.br/hc/article_attachments/29439615590285"/&gt;&lt;/u&gt;&lt;/font&gt;&lt;/div&gt;
&lt;div&gt;
&lt;p&gt; &lt;/p&gt;
&lt;p&gt;Se tiver qualquer dúvida, entre em contato conosco pelo chat do portal, por ligação ou envie uma mensagem via WhatsApp para:&lt;/p&gt;
&lt;p&gt; &lt;/p&gt;
&lt;p&gt;+55 71 2106-1500&lt;/p&gt;
&lt;p&gt; &lt;/p&gt;
&lt;p&gt;Conte sempre conosco! 🤝🤝🤝&lt;/p&gt;
&lt;/div&gt;</t>
  </si>
  <si>
    <t>https://wilsonsons.zendesk.com/api/v2/help_center/pt-br/articles/29368705103245.json</t>
  </si>
  <si>
    <t>https://atendimento.teconsvonline.com.br/hc/pt-br/articles/29368705103245-RAMAIS</t>
  </si>
  <si>
    <t>RAMAIS</t>
  </si>
  <si>
    <t>['01J5JKNEQHY472HZEQWN1MV9GE']</t>
  </si>
  <si>
    <t>['ramais', 'telefones']</t>
  </si>
  <si>
    <t>&lt;p&gt;1658 - Armazém&lt;/p&gt;
&lt;p&gt;1543 - Planners&lt;br/&gt;1546 - Operações&lt;/p&gt;
&lt;p&gt;1522 - Recepção&lt;/p&gt;
&lt;p&gt;1585 - Segurança Patrimonial&lt;/p&gt;</t>
  </si>
  <si>
    <t>https://wilsonsons.zendesk.com/api/v2/help_center/pt-br/articles/28274881247117.json</t>
  </si>
  <si>
    <t>https://atendimento.teconsvonline.com.br/hc/pt-br/articles/28274881247117-Fluxo-de-Avarias-Internas</t>
  </si>
  <si>
    <t>Fluxo de Avarias Internas</t>
  </si>
  <si>
    <t>['avaria', 'interna']</t>
  </si>
  <si>
    <t>&lt;p&gt;Notificamos a avaria interna, inicialmente com pedido de desculpas ao cliente, pois é uma ação que requer um acolhimento maior do Atendimento.&lt;/p&gt;
&lt;p&gt;&lt;br/&gt;Filtrar o tipo de registro fotográfico a ser enviado para o Cliente e se possível validar antes com Maurício Politano caso seja muito complexa a avaria.&lt;/p&gt;
&lt;p&gt;&lt;br/&gt;Sugerir vistoria em conjunto - Nesse momento é importante enviarmos internamente informações sobre a carga (BL, packing list, nota fiscal)&lt;/p&gt;
&lt;p&gt;&lt;br/&gt;Após vistoria, o cliente analisará os custos do prejuízo.&lt;/p&gt;
&lt;p&gt; &lt;/p&gt;
&lt;p&gt;Se for cliente frequente do Terminal, podemos negociar possível crédito para isenção em processos futuros. Caso não, seguiremos com o pagamento.&lt;/p&gt;
&lt;p&gt; &lt;/p&gt;
&lt;p&gt;Para seguir com o pagamento é necessário:&lt;/p&gt;
&lt;ul&gt;
&lt;li&gt;Envio dos dados (CNPJ, razão Social e comprovante bancário que pode ser: cópia do cartão do banco, cópia da folha de cheque&lt;br/&gt;Comprovante bancário ou extrato bancário).&lt;/li&gt;
&lt;li&gt;E encaminhamos para o CSC para iniciar os tramites de pagamento.&lt;/li&gt;
&lt;/ul&gt;
&lt;p&gt; &lt;/p&gt;
&lt;p&gt;Importante analisar pontos importantes:&lt;/p&gt;
&lt;p&gt;Se avariamos a carga, devemos verificar o período de Armazenagem e possíveis custos para análise de possível isenção.&lt;/p&gt;</t>
  </si>
  <si>
    <t>https://wilsonsons.zendesk.com/api/v2/help_center/pt-br/articles/28261675994253.json</t>
  </si>
  <si>
    <t>https://atendimento.teconsvonline.com.br/hc/pt-br/articles/28261675994253-Como-funciona-o-desembara%C3%A7o-de-exporta%C3%A7%C3%A3o-com-o-Tecon-Salvador</t>
  </si>
  <si>
    <t>Como funciona o desembaraço de exportação com o Tecon Salvador?</t>
  </si>
  <si>
    <t>['desembaraço', 'desembaraco', 'exportacao', 'exportaçao']</t>
  </si>
  <si>
    <t>&lt;p&gt;O processo de desembaraço na exportação é realizado pelo despachante todo no Portal Único e, no momento em que a unidade entra no terminal, a recepção da carga acontece de forma automática.&lt;/p&gt;
&lt;p&gt; &lt;/p&gt;
&lt;p&gt;Código do Recinto para o Despacho/Embarque&lt;/p&gt;
&lt;p&gt;&lt;span&gt;Local de Despacho &lt;/span&gt;&lt;/p&gt;
&lt;p&gt;&lt;span&gt;Unidade da RFB: 0517800-ALF-SALVADOR &lt;/span&gt;&lt;/p&gt;
&lt;p&gt;&lt;span&gt;Recinto aduaneiro: 5921302-INST.PORT.MAR.ALF.USO PUBL TECOM SALVADOR - PORTO SALVADOR/BA&lt;/span&gt;&lt;/p&gt;</t>
  </si>
  <si>
    <t>https://wilsonsons.zendesk.com/api/v2/help_center/pt-br/articles/28123310185997.json</t>
  </si>
  <si>
    <t>https://atendimento.teconsvonline.com.br/hc/pt-br/articles/28123310185997-Como-solicitar-An%C3%A1lise-Cr%C3%ADtica</t>
  </si>
  <si>
    <t>Como solicitar Análise Crítica?</t>
  </si>
  <si>
    <t>['Portal', 'Análise Crítica', 'Desova']</t>
  </si>
  <si>
    <t>&lt;div&gt;&lt;font face="arial, sans-serif"&gt;&lt;u&gt;&lt;img src="https://atendimento.teconsvonline.com.br/hc/article_attachments/28123310169101"/&gt;&lt;/u&gt;&lt;/font&gt;&lt;/div&gt;
&lt;div&gt;&lt;font face="arial, sans-serif"&gt;&lt;u&gt;                                                                                                                                                                    &lt;/u&gt;&lt;/font&gt;&lt;/div&gt;
&lt;div&gt;
&lt;p&gt;Basta acessar o nosso portal e seguir os passos abaixo:&lt;/p&gt;
&lt;ol&gt;
&lt;li&gt;Vá para a aba "Agendamento de serviços" e selecione a opção "Análise Crítica".&lt;/li&gt;
&lt;li&gt;Clique no botão "Nova Análise" no canto superior direito da tela.&lt;/li&gt;
&lt;/ol&gt;
&lt;img height="227" src="https://atendimento.teconsvonline.com.br/hc/article_attachments/28123323500045" width="1204"/&gt;
&lt;/div&gt;
&lt;div&gt;&lt;/div&gt;
&lt;div&gt;Na nova aba que será aberta, preencha todos os dados solicitados e clique no botão "Enviar para aprovação". Pronto, sua solicitação será direcionada ao nosso armazém para análise.&lt;/div&gt;
&lt;div&gt;&lt;img src="https://atendimento.teconsvonline.com.br/hc/article_attachments/28123310174989"/&gt;&lt;/div&gt;
&lt;div&gt;&lt;/div&gt;
&lt;div&gt;
&lt;p&gt;&lt;strong&gt;Detalhes sobre os status:&lt;/strong&gt;&lt;/p&gt;
&lt;ul&gt;
&lt;li&gt;
&lt;strong&gt;Aprovado:&lt;/strong&gt; Nosso time de armazém confirmou que a carga pode ser desovada.&lt;/li&gt;
&lt;li&gt;
&lt;strong&gt;Em análise:&lt;/strong&gt; Estamos verificando os dados da NCM e a documentação enviada, e ainda não definimos um parecer.&lt;/li&gt;
&lt;li&gt;
&lt;strong&gt;Pendente:&lt;/strong&gt; Identificamos que há algum documento ou informação pendente. Neste caso, clique no ícone de "exclamação" para verificar qual a pendência e anexe a documentação solicitada, você também enviar documentos clicando no botão "editar".&lt;/li&gt;
&lt;/ul&gt;
&lt;/div&gt;
&lt;div&gt;&lt;img src="https://atendimento.teconsvonline.com.br/hc/article_attachments/28123323503501"/&gt;&lt;/div&gt;
&lt;ul&gt;
&lt;li&gt;
&lt;strong&gt;Reprovado:&lt;/strong&gt; Infelizmente, a carga não pode ser desovada.&lt;/li&gt;
&lt;/ul&gt;
&lt;div&gt;
&lt;strong&gt;Como consultar se já existe uma NCM cadastrada?&lt;/strong&gt; Utilize o filtro de "período" ou clique em "mais filtros" para ver os demais filtros disponíveis.&lt;/div&gt;
&lt;div&gt;&lt;img src="https://atendimento.teconsvonline.com.br/hc/article_attachments/28123310176909"/&gt;&lt;/div&gt;
&lt;div&gt;&lt;/div&gt;
&lt;div&gt;&lt;strong&gt;Informações importantes:&lt;/strong&gt;&lt;/div&gt;
&lt;div&gt;
&lt;ul&gt;
&lt;li&gt;Cada NCM só precisa ser solicitada uma vez por cliente, não sendo necessário solicitar novamente.&lt;/li&gt;
&lt;li&gt;Uma NCM reprovada pode ser solicitada novamente para nova verificação.&lt;/li&gt;
&lt;/ul&gt;
&lt;p&gt;Quaisquer dúvidas, contem conosco! &lt;/p&gt;
&lt;p&gt; &lt;/p&gt;
&lt;p&gt;Segue abaixo nossos contatos:&lt;/p&gt;
&lt;p&gt;E-mail: &lt;a href="mailto:atendimento.tcsv@wilsonsons.com.br"&gt;atendimento.tcsv@wilsonsons.com.br&lt;/a&gt;&lt;/p&gt;
&lt;p&gt;Tel/Whatsapp: 55 71 2106-1500 &lt;/p&gt;
&lt;/div&gt;
&lt;div&gt;&lt;/div&gt;
&lt;div&gt;&lt;/div&gt;</t>
  </si>
  <si>
    <t>https://wilsonsons.zendesk.com/api/v2/help_center/pt-br/articles/27948299859213.json</t>
  </si>
  <si>
    <t>https://atendimento.teconsvonline.com.br/hc/pt-br/articles/27948299859213-Como-solicitar-uma-libera%C3%A7%C3%A3o-de-Cabotagem-atrav%C3%A9s-do-portal</t>
  </si>
  <si>
    <t>Como solicitar uma liberação de Cabotagem através do portal?</t>
  </si>
  <si>
    <t>['01HFS53CQSEDGAMKAGFNZ8QBWP', '01HK7ZMRH3J546RX51MRNV43MR']</t>
  </si>
  <si>
    <t>['Cabotagem', 'Liberação Documental']</t>
  </si>
  <si>
    <t>&lt;p&gt;&lt;img src="https://atendimento.teconsvonline.com.br/hc/article_attachments/27948299799565"/&gt;&lt;/p&gt;
&lt;p&gt; &lt;/p&gt;
&lt;p&gt;&lt;strong&gt;Basta utilizar a aba "liberação documental" opção "Cabotagem"&lt;/strong&gt;&lt;/p&gt;
&lt;p&gt;&lt;img src="https://atendimento.teconsvonline.com.br/hc/article_attachments/27948321645197"/&gt;&lt;/p&gt;
&lt;p&gt;&lt;strong&gt;Após, basta utilizar um dos botões no canto superior direito da tela "Inserir Planilha" ou "Nova Liberação"&lt;/strong&gt;&lt;/p&gt;
&lt;p&gt;&lt;img src="https://atendimento.teconsvonline.com.br/hc/article_attachments/27948299813389"/&gt;&lt;/p&gt;
&lt;p&gt;&lt;strong&gt;*Inserir Planilha*&lt;br/&gt;&lt;img src="https://atendimento.teconsvonline.com.br/hc/article_attachments/27948299818381"/&gt;&lt;/strong&gt;&lt;/p&gt;
&lt;p&gt;Basta clicar no botão "Baixar modelo de planilha" para baixar um arquivo xlsx com as devidas instruções de preenchimento. Após, basta selecionar o navio e clicar no botão "Escolher arquivo" e enviar a planilha já preenchida. &lt;/p&gt;
&lt;p&gt;&lt;strong&gt;*Nova Liberação*&lt;/strong&gt;&lt;/p&gt;
&lt;p&gt;&lt;strong&gt;&lt;img src="https://atendimento.teconsvonline.com.br/hc/article_attachments/27948299823629"/&gt;&lt;/strong&gt;&lt;/p&gt;
&lt;p&gt;Neste caso, o lançamento é realizado unitariamente, um CTE de cada vez. Basta preencher todos os dados selecionados e clicar no botão "SALVAR". &lt;/p&gt;
&lt;p&gt;&lt;strong&gt;Informações importantes&lt;/strong&gt;&lt;/p&gt;
&lt;p&gt;- Antes de realizar o lançamento da chave do CTE em nosso portal, verifique as informações de&lt;br/&gt;Navio, viagem e CTE manifestado. Para isso, basta utilizar a aba "Consultas" opção "Containers" e clicar no botão "Ver Detalhes":&lt;/p&gt;
&lt;p&gt;O campo "BL MASTER" é o que deve ser utilizado na informação de CTE&lt;/p&gt;
&lt;p&gt;O campo "Entrada" é a informação de navio que deve ser utilizada.&lt;/p&gt;
&lt;p&gt;O campo "dias no pátio" deve ser utilizado para o cálculo do freetime, para cabotagem o freetime mínimo é de 10 dias, passado esse prazo a cobrança será conforme nossa &lt;a href="https://wilsonsons.com.br/pt-br/teconsalvador/servicos/servicos-e-precos/"&gt;tabela pública&lt;/a&gt; ou proposta do cliente vigente na data de coleta. Caso seja identificada pendência financeira, o boleto pode ser emitido seguindo &lt;a href="https://atendimento.teconsvonline.com.br/hc/pt-br/articles/360039880091-Como-solicitar-estimativa-de-c%C3%A1lculo-ou-boleto"&gt;essas instruções.&lt;/a&gt;&lt;/p&gt;
&lt;p&gt;&lt;img src="https://atendimento.teconsvonline.com.br/hc/article_attachments/27948321662733"/&gt;&lt;/p&gt;
&lt;p&gt;- A liberação do booking ocorrerá somente se todos os dados lançados estiverem corretos.&lt;/p&gt;
&lt;p&gt;- Não devem ser utilizados caracteres especiais ou espaçamento, caso contrário o portal não irá reconhecer o lançamento.&lt;/p&gt;
&lt;p&gt;- Para os casos de processos consolidados todos os CTE's precisam estar lançados.&lt;/p&gt;
&lt;p&gt;- Deve ser inserida uma chave de CTE válida e com a modalidade "Aquaviário", você pode consultar detalhes da chave CTE através do portal da Receita Federal:&lt;/p&gt;
&lt;p&gt;&lt;a href="https://www.cte.fazenda.gov.br/portal/principal.aspx"&gt;https://www.cte.fazenda.gov.br/portal/principal.aspx &lt;/a&gt;&lt;/p&gt;
&lt;p&gt;&lt;img src="https://atendimento.teconsvonline.com.br/hc/article_attachments/27948299833101"/&gt;&lt;/p&gt;
&lt;p&gt;- No CTE deve constar a UF fim BA (Bahia). Para a liberação do CTE com destino a um estado diferente, é necessário que o armador faça a retificação do CE via Siscarga, ajustando para o estado correto. Além disso, o CTE também precisa ser corrigido para a UF final correta. Após essas retificações, nos enviar os PDF's com as informações das retificações realizadas para liberação. Também é importante verificar se o CNPJ correto do terminal foi cadastrado no campo "Recebedor".&lt;/p&gt;
&lt;p&gt;- A liberação somente ocorrerá caso a operação já tenha sido finalizada e com liberação RFB, que pode ser consultada através da aba "Programação de Navios".&lt;/p&gt;
&lt;p&gt;&lt;img src="https://atendimento.teconsvonline.com.br/hc/article_attachments/27948321675405"/&gt;&lt;br/&gt;- A liberação está condicionada também a liberação RFB da unidade/CTE, caso contrário o portal informará "Crítica Encontrada". A consulta pode ser realizada junto ao Siscarga no portal abaixo.&lt;/p&gt;
&lt;p&gt;&lt;a href="http://www4.receita.fazenda.gov.br/"&gt;http://www4.receita.fazenda.gov.br/&lt;/a&gt;&lt;/p&gt;
&lt;p&gt;- Se você inseriu algum dado incorreto, basta inativar o lançamento anterior e realizar um novo. Para isso, selecione o lançamento que deseja inativar e clique no botão "inativar liberação" no canto inferior direito da tela.&lt;/p&gt;
&lt;p&gt;&lt;img src="https://atendimento.teconsvonline.com.br/hc/article_attachments/28759115086989"/&gt;&lt;/p&gt;
&lt;p&gt;- Se ao abrir os detalhes o campo cliente estiver como "CLIENTE TEMP" significa que o CNPJ vinculado no Siscarga como tomador da carga não está cadastrado em nosso terminal, entre em contato conosco informando o CNPJ e os e-mails para envios de faturamentos e, após o cadastro, o booking será liberado.&lt;/p&gt;
&lt;p&gt;&lt;img src="https://atendimento.teconsvonline.com.br/hc/article_attachments/38389332936973"/&gt;&lt;/p&gt;
&lt;p&gt;Quaisquer dúvidas, ficamos à disposição! &lt;/p&gt;
&lt;p&gt;Telefone/Whatsapp: +55 71 2106-1500&lt;/p&gt;</t>
  </si>
  <si>
    <t>https://wilsonsons.zendesk.com/api/v2/help_center/pt-br/articles/27772709459853.json</t>
  </si>
  <si>
    <t>https://atendimento.teconsvonline.com.br/hc/pt-br/articles/27772709459853-Como-solicitar-um-boleto-avulso</t>
  </si>
  <si>
    <t>Como solicitar um boleto avulso?</t>
  </si>
  <si>
    <t>['01HQDJ3TH752A734MG7NWZXQP6', '01J0XY0A7G736B7HV867FYMCG4']</t>
  </si>
  <si>
    <t>['boleto avulso']</t>
  </si>
  <si>
    <t>&lt;div&gt;Segue passo a passo para solicitação dos boletos &lt;strong&gt; &lt;/strong&gt;
&lt;/div&gt;
&lt;div&gt;&lt;/div&gt;
&lt;div&gt;
&lt;strong&gt;1 - Realizar o calculo no TECSYS  (&lt;/strong&gt;&lt;strong&gt;BL's averbados)&lt;/strong&gt;
&lt;/div&gt;
&lt;div&gt;&lt;strong&gt; &lt;/strong&gt;&lt;/div&gt;
&lt;div&gt; Faturamento - Faturamento - Faturamento - Faturamento OS  - Filtrar - Status O.S = &lt;strong&gt;&lt;em&gt;Todos&lt;/em&gt;&lt;/strong&gt; e na 1ª aba &lt;strong&gt;complemento &lt;/strong&gt;informar o nº do BL no campo&lt;em&gt; Doc. ( DDE/BL/DI/DUE): &lt;/em&gt;e pesquisar - Executar a ação calcular - &lt;span&gt;&lt;/span&gt;Executar a ação  Anexo Armaz. Imp.  para exportar o demonstrativo.&lt;/div&gt;
&lt;div&gt;&lt;/div&gt;
&lt;div&gt;
&lt;div&gt;
&lt;div&gt;
&lt;div&gt;&lt;img alt="image.png" height="228" src="https://mail.google.com/mail/u/0?ui=2&amp;amp;ik=f18f3dd07d&amp;amp;attid=0.1&amp;amp;permmsgid=msg-f:1790718276331710198&amp;amp;th=18d9e8c8e18d26f6&amp;amp;view=fimg&amp;amp;fur=ip&amp;amp;sz=s0-l75-ft&amp;amp;attbid=ANGjdJ8k6qagGjQnwPG53tbef8mFmoGBgZNisQ64PdRNSMhvOczpsUexXHL7zNXi0wH-67E8M7QtGOwFea21gAGUX8m5WvGP3YEZzaCnm91bzbkZd1K_kbXMU4B3k8k&amp;amp;disp=emb&amp;amp;realattid=ii_lkgx2g100" width="472"/&gt;&lt;/div&gt;
&lt;div&gt;&lt;/div&gt;
&lt;div&gt;
&lt;div&gt;
&lt;div&gt;&lt;/div&gt;
&lt;div&gt;&lt;strong&gt;2 - Abrir &lt;span&gt;fluig&lt;/span&gt;: &lt;/strong&gt;&lt;/div&gt;
&lt;div&gt;&lt;span&gt; &lt;/span&gt;&lt;/div&gt;
&lt;div&gt;
&lt;span&gt;Fila: Plataforma de Serviços / &lt;/span&gt;&lt;span&gt;Categoria: Contas a Receber / &lt;/span&gt;&lt;span&gt;Subcategoria: Outros/Duvidas&lt;/span&gt;
&lt;/div&gt;
&lt;div&gt;&lt;/div&gt;
&lt;div&gt;&lt;img alt="image.png" height="81" src="https://mail.google.com/mail/u/0?ui=2&amp;amp;ik=f18f3dd07d&amp;amp;attid=0.2&amp;amp;permmsgid=msg-f:1790718276331710198&amp;amp;th=18d9e8c8e18d26f6&amp;amp;view=fimg&amp;amp;fur=ip&amp;amp;sz=s0-l75-ft&amp;amp;attbid=ANGjdJ-a8Qfg5ve_qn9L6_VImy-UAukcM-hvaEXoMzGlki-i2nHLkLupCQngLSKWLARf_HnAEzDgeabo3iNNrEJtLG9uQM2NLFuZs1XcQ-lz_2SU_lTNKsiw1inisAQ&amp;amp;disp=emb&amp;amp;realattid=ii_lkgx5q411" width="472"/&gt;&lt;/div&gt;
&lt;div&gt;&lt;/div&gt;
&lt;div&gt;&lt;strong&gt; &lt;/strong&gt;&lt;/div&gt;
&lt;div&gt;&lt;strong&gt; 3  - Prencher a planilha de controle para o CAR confirmar o pagamento.&lt;/strong&gt;&lt;/div&gt;
&lt;div&gt;&lt;strong&gt; &lt;/strong&gt;&lt;/div&gt;
&lt;div&gt;&lt;a href="https://docs.google.com/spreadsheets/d/1akZ1HcBNgWUPRsnTWvxh0xXHg59LVGiwfkQSQjJDIRw/edit#gid=577474145" target="_blank"&gt;Notas Fiscais E-&lt;span&gt;boleto&lt;/span&gt; 111022329 e &lt;span&gt;avulso&lt;/span&gt; 111022152&lt;/a&gt;&lt;/div&gt;
&lt;div&gt;&lt;/div&gt;
&lt;div&gt;&lt;img alt="image.png" src="https://mail.google.com/mail/u/0?ui=2&amp;amp;ik=f18f3dd07d&amp;amp;attid=0.3&amp;amp;permmsgid=msg-f:1790718276331710198&amp;amp;th=18d9e8c8e18d26f6&amp;amp;view=fimg&amp;amp;fur=ip&amp;amp;sz=s0-l75-ft&amp;amp;attbid=ANGjdJ8nBC4r2GQlhFxq1pirZc5aGQ3Lc_6gjf1d61MmlEGfqXMurpVIEKqZ-xlqrGVj1c1sy-RWXCNce8ZiIVffjVzHwKbFje8Zo9fHbSJtY9vW0NQmC_xh_iPPyIY&amp;amp;disp=emb&amp;amp;realattid=ii_lkgxftni2"/&gt;&lt;/div&gt;
&lt;div&gt;&lt;/div&gt;
&lt;div&gt;&lt;/div&gt;
&lt;div&gt;&lt;strong&gt;Observação:&lt;/strong&gt;&lt;/div&gt;
&lt;div&gt;Para facilitar/aumentar os meios de comunição, informamos também por email a solicitação do &lt;span&gt;boleto&lt;/span&gt; ao responsável pelo envio do &lt;span&gt;boleto&lt;/span&gt;, que atualmente é a &lt;a href="mailto:bianca.costa@wilsonsons.com.br" target="_blank"&gt;@Bianca Costa&lt;/a&gt; &lt;/div&gt;
&lt;div&gt;&lt;/div&gt;
&lt;/div&gt;
&lt;/div&gt;
&lt;/div&gt;
&lt;/div&gt;
&lt;/div&gt;</t>
  </si>
  <si>
    <t>https://wilsonsons.zendesk.com/api/v2/help_center/pt-br/articles/27707345547405.json</t>
  </si>
  <si>
    <t>https://atendimento.teconsvonline.com.br/hc/pt-br/articles/27707345547405-Agendamento-de-carga-solta-manual-ou-mecanizado</t>
  </si>
  <si>
    <t>Agendamento de carga solta manual ou mecanizado?</t>
  </si>
  <si>
    <t>['01J0RP2G4QXADBP64T3M8ZWZVT']</t>
  </si>
  <si>
    <t>['Agendamentos', 'carga solta']</t>
  </si>
  <si>
    <t>&lt;p&gt;Essa é uma dúvida é recorrente entre nossos clientes: quando solicitar agendamento de carga solta manual x mecanizado?&lt;/p&gt;
&lt;p&gt;A resposta é: depende do acondicionamento da carga!&lt;/p&gt;
&lt;p&gt;Se for carga palletizada ou maquinário, o levante é mecanizado.&lt;/p&gt;
&lt;p&gt;Se ela estiver disposta em caixas soltas dentro do container, o levante é manual.&lt;/p&gt;</t>
  </si>
  <si>
    <t>https://wilsonsons.zendesk.com/api/v2/help_center/pt-br/articles/27696971298701.json</t>
  </si>
  <si>
    <t>https://atendimento.teconsvonline.com.br/hc/pt-br/articles/27696971298701-Minha-unidade-j%C3%A1-foi-posicionada</t>
  </si>
  <si>
    <t>Minha unidade já foi posicionada?</t>
  </si>
  <si>
    <t>['01J0R1AM791RS2XRBFFP49K633']</t>
  </si>
  <si>
    <t>['posicionamento', 'posicionada']</t>
  </si>
  <si>
    <t>&lt;p&gt;Para consultar posicionamento de unidade, siga a instrução abaixo:&lt;/p&gt;
&lt;p&gt; &lt;/p&gt;
&lt;p&gt;Tecsys &amp;gt; Operação &amp;gt; Agendamento &amp;gt; Consulta container&lt;/p&gt;
&lt;p&gt; &lt;/p&gt;
&lt;p&gt;Caso o container esteja posicionado nas fileiras A, B, W OU LA ele está posicionado. Você consulta essa informação no rodapé da consulta, onde está escrito "Última Posição".&lt;/p&gt;
&lt;p&gt; &lt;/p&gt;
&lt;p&gt;&lt;img src="https://atendimento.teconsvonline.com.br/hc/article_attachments/27696992151565"/&gt;&lt;/p&gt;</t>
  </si>
  <si>
    <t>https://wilsonsons.zendesk.com/api/v2/help_center/pt-br/articles/27637289639309.json</t>
  </si>
  <si>
    <t>https://atendimento.teconsvonline.com.br/hc/pt-br/articles/27637289639309-Como-consultar-averba%C3%A7%C3%A3o-de-processo</t>
  </si>
  <si>
    <t>Como consultar averbação de processo?</t>
  </si>
  <si>
    <t>['01HPVPR2A0PPSBFTW941S1JENS']</t>
  </si>
  <si>
    <t>['averbação', 'averbacao']</t>
  </si>
  <si>
    <t>&lt;p&gt;&lt;strong&gt;Referência: &lt;/strong&gt;Tickets #995638 | #995637&lt;/p&gt;
&lt;p&gt; &lt;/p&gt;
&lt;p&gt;Solicite ao cliente a numeração do BL, container ou CE para verificação.&lt;/p&gt;
&lt;p&gt; &lt;/p&gt;
&lt;p&gt;&lt;em&gt;&lt;strong&gt;PASSO A PASSO&lt;/strong&gt;&lt;/em&gt;&lt;/p&gt;
&lt;p&gt;a) Abra o Tecsys e siga a instrução abaixo:&lt;/p&gt;
&lt;p&gt;&lt;em&gt;Documentação &amp;gt; Importação &amp;gt; Manifestos &amp;gt; Controle de manifestos;&lt;/em&gt;&lt;/p&gt;
&lt;p&gt; &lt;/p&gt;
&lt;p&gt;b) Informe o BL, container ou CE e clique em Pesquisar;&lt;/p&gt;
&lt;p&gt; &lt;/p&gt;
&lt;p&gt;c) No campo Status verifique a informação do processo.&lt;/p&gt;
&lt;p&gt; &lt;/p&gt;
&lt;p&gt;&lt;em&gt;&lt;img src="https://atendimento.teconsvonline.com.br/hc/article_attachments/27637289627917"/&gt;&lt;/em&gt;&lt;/p&gt;</t>
  </si>
  <si>
    <t>https://wilsonsons.zendesk.com/api/v2/help_center/pt-br/articles/27519478089613.json</t>
  </si>
  <si>
    <t>https://atendimento.teconsvonline.com.br/hc/pt-br/articles/27519478089613-Preciso-de-um-boleto-para-pagamento-e-ele-n%C3%A3o-est%C3%A1-dispon%C3%ADvel-no-portal</t>
  </si>
  <si>
    <t>Preciso de um boleto para pagamento e ele não está disponível no portal.</t>
  </si>
  <si>
    <t>['boleto', 'indisponível no portal']</t>
  </si>
  <si>
    <t>&lt;p&gt;&lt;strong&gt;Referência:&lt;/strong&gt; Tickets #992714 | #992818&lt;/p&gt;
&lt;p&gt; &lt;/p&gt;
&lt;p&gt;&lt;em&gt;&lt;strong&gt;FATO GERADOR&lt;/strong&gt;&lt;/em&gt;&lt;/p&gt;
&lt;p&gt;Por qual razão o boleto fica indisponível no portal? &lt;/p&gt;
&lt;p&gt;&lt;strong&gt;R:&lt;/strong&gt; Os faturamentos do Tecon Salvador, de maneira geral, são realizados através de automação. O processo leva em média 3 horas para ser concluído e expedido para os clientes. É possível que o cliente ou despachante tenha consultado o processo no portal nesse ínterim, constatando que o boleto ainda não está disponível. Existem outras situações também, onde ocorreram solicitações de emissões avulsas por parte do cliente.&lt;/p&gt;
&lt;p&gt; &lt;/p&gt;
&lt;p&gt;&lt;em&gt;&lt;strong&gt;ANÁLISE&lt;/strong&gt;&lt;/em&gt;&lt;/p&gt;
&lt;p&gt;a) Consultar se o BL teve solicitação de boleto avulso através da &lt;a href="https://docs.google.com/spreadsheets/d/1akZ1HcBNgWUPRsnTWvxh0xXHg59LVGiwfkQSQjJDIRw/edit?gid=1345310226#gid=1345310226" target="_blank"&gt;planilha de faturamento&lt;/a&gt; ou portal;&lt;/p&gt;
&lt;p&gt;b) Consultar no Tecsys se o processo é posterior ou à vista e se o mesmo já foi faturado e expedido;&lt;/p&gt;
&lt;p&gt;c) Consultar se existem tratativas paralelas do processo no Zendesk.&lt;/p&gt;
&lt;p&gt; &lt;/p&gt;
&lt;p&gt;&lt;em&gt;&lt;strong&gt;AÇÃO:&lt;/strong&gt;&lt;/em&gt;&lt;/p&gt;
&lt;p&gt;Caso o BL tenha uma solicitação de boleto avulso registrado na planilha, solicite apoio ao time de faturamento na emissão complementar. Nos demais casos, analise as datas e horário de inicio de expedição, calculando se o período da solicitação se enquadra no intervalo da automação. Informe o cliente a respeito da automação e realize o envio assim que a documentação estiver disponível.&lt;/p&gt;
&lt;p&gt; &lt;/p&gt;
&lt;p&gt; &lt;/p&gt;</t>
  </si>
  <si>
    <t>https://wilsonsons.zendesk.com/api/v2/help_center/pt-br/articles/27100081298445.json</t>
  </si>
  <si>
    <t>https://atendimento.teconsvonline.com.br/hc/pt-br/articles/27100081298445-Calculadora-de-Servi%C3%A7os-e-Pre%C3%A7os-Wilson-Sons-Tecon-Salvador</t>
  </si>
  <si>
    <t>Calculadora de Serviços e Preços - Wilson Sons Tecon Salvador</t>
  </si>
  <si>
    <t>['01HW3X0FVYZDHZRDDSKZM819J0']</t>
  </si>
  <si>
    <t>['Simulador de custos', 'Portal']</t>
  </si>
  <si>
    <t>&lt;p&gt;&lt;strong&gt;O que é? &lt;/strong&gt;&lt;/p&gt;
&lt;p&gt;Uma nova solução do nosso &lt;a href="https://portal.teconsvonline.com.br/"&gt;portal&lt;/a&gt; na qual você poderá fazer os cálculos para uma previsão dos custos que serão incididos nos processos de importação, exportação e cabotagem, com base em nossa tabela pública de preços.&lt;/p&gt;
&lt;p&gt; &lt;/p&gt;
&lt;p&gt;&lt;span&gt;Com esse artigo você aprenderá a realizar simulações para as seguintes modalidades:&lt;/span&gt;&lt;/p&gt;
&lt;p&gt;&lt;span&gt;1. Carga Nacional - Cabotagem&lt;/span&gt;&lt;/p&gt;
&lt;p&gt;&lt;span&gt;2. Longo Curso - Importação&lt;/span&gt;&lt;/p&gt;
&lt;p&gt;&lt;span&gt;3. Longo Curso - Exportação&lt;/span&gt;&lt;/p&gt;
&lt;p&gt; &lt;/p&gt;
&lt;p&gt;&lt;span&gt;Veja como funciona:&lt;/span&gt;&lt;/p&gt;
&lt;p&gt;&lt;span&gt;Ao clicar na aba "Simule um serviço", basta selecionar um dos filtros para realização de simulações dos serviços prestados pelo terminal.&lt;/span&gt;&lt;/p&gt;
&lt;p&gt; &lt;/p&gt;
&lt;p&gt;&lt;span&gt;&lt;img height="304" src="https://atendimento.teconsvonline.com.br/hc/article_attachments/27100086709517" width="602"/&gt;&lt;/span&gt;&lt;/p&gt;
&lt;p&gt;&lt;span&gt;Nos filtros você terá as seguintes opções:&lt;/span&gt;&lt;/p&gt;
&lt;p&gt; &lt;/p&gt;
&lt;p&gt;&lt;strong&gt;&lt;span&gt;Tipo de Cliente&lt;/span&gt;&lt;/strong&gt;&lt;/p&gt;
&lt;p&gt;&lt;span&gt;• Cliente: Selecione para simulação de serviços emitidos ao importador ou exportador&lt;/span&gt;&lt;/p&gt;
&lt;p&gt;&lt;span&gt;• Armador: Selecione para simulação de serviços emitidos para Armadores &lt;/span&gt;&lt;/p&gt;
&lt;p&gt;&lt;strong&gt;&lt;span&gt;Modalidade de Navegação&lt;/span&gt;&lt;/strong&gt;&lt;/p&gt;
&lt;p&gt;&lt;span&gt;• Carga Nacional - Cabotagem: Selecione para processos manifestados na categoria cabotagem&lt;/span&gt;&lt;/p&gt;
&lt;p&gt;&lt;span&gt;• Longo Curso - Importação: Selecione para processos manifestados na categoria importação&lt;/span&gt;&lt;/p&gt;
&lt;p&gt;&lt;span&gt;• Longo Curso - Exportação: Selecione para processos manifestados na categoria exportação&lt;/span&gt;&lt;/p&gt;
&lt;p&gt;&lt;strong&gt;&lt;span&gt;Sentido da Operação&lt;/span&gt;&lt;/strong&gt;&lt;/p&gt;
&lt;p&gt;&lt;strong&gt;&lt;span&gt;• &lt;/span&gt;&lt;/strong&gt;&lt;span&gt;Selecionado automaticamente:  Processo será selecionado de acordo com a "Modalidade de Navegação" informada. Exceto para "Carga Nacional - Cabotagem", onde será necessário a seleção "Embarque" ou "Desembarque" &lt;/span&gt;&lt;/p&gt;
&lt;p&gt;&lt;strong&gt;&lt;span&gt;Origem da Carga&lt;/span&gt;&lt;/strong&gt;&lt;/p&gt;
&lt;p&gt;&lt;strong&gt;&lt;span&gt;•&lt;/span&gt;&lt;/strong&gt;&lt;span&gt; Nacional:  Processo será selecionado automaticamente de acordo com a "Modalidade de Navegação" informada.&lt;/span&gt;&lt;/p&gt;
&lt;p&gt;&lt;span&gt;• Importada: Processo será selecionado automaticamente de acordo com a "Modalidade de Navegação" informada.&lt;/span&gt;&lt;span&gt;&lt;/span&gt;&lt;/p&gt;
&lt;p&gt; &lt;/p&gt;
&lt;p&gt;&lt;span&gt;Assim que você selecionar a modalidade desejada, clique no botão "Iniciar Simulação". &lt;/span&gt;&lt;span&gt;Após, serão disponibilizados campos para composição da simulação dos serviços.&lt;/span&gt;&lt;span&gt;&lt;/span&gt;&lt;/p&gt;
&lt;p&gt;&lt;img src="https://atendimento.teconsvonline.com.br/hc/article_attachments/27100081240973"/&gt;&lt;/p&gt;
&lt;p&gt; &lt;/p&gt;
&lt;p&gt;&lt;strong&gt;&lt;span&gt;Nos campos de configuração, você terá as seguintes opções:&lt;/span&gt;&lt;/strong&gt;&lt;/p&gt;
&lt;p&gt;&lt;span&gt;&lt;img height="149" src="https://atendimento.teconsvonline.com.br/hc/article_attachments/27100081243149" width="602"/&gt;&lt;/span&gt;&lt;/p&gt;
&lt;p&gt;&lt;span&gt;• Entrada: Informe a data de chegada do container no Terminal&lt;/span&gt;&lt;/p&gt;
&lt;p&gt;&lt;span&gt;• Saída: Informe a data de chegada do container no Terminal&lt;/span&gt;&lt;/p&gt;
&lt;p&gt;&lt;em&gt;&lt;span&gt;Observação: Para a modalidade "Longo Curso - Importação", considerar a data de atracação do navio.&lt;/span&gt;&lt;/em&gt;&lt;/p&gt;
&lt;p&gt;&lt;span&gt;• Qtd Cntr: Informe a quantidade de containers para a simulação&lt;/span&gt;&lt;/p&gt;
&lt;p&gt;&lt;span&gt;• Tipo: Informe o tamanho do container: 20’ ou 40’&lt;/span&gt;&lt;/p&gt;
&lt;p&gt;&lt;span&gt;• Tipo Cntr: Informe o tipo de container: Dry, Flat/Open, OOG, Reefer ou Tank&lt;/span&gt;&lt;/p&gt;
&lt;p&gt;&lt;span&gt;• Especial/Imo: Informe se haverá carga especial/imo&lt;/span&gt;&lt;/p&gt;
&lt;p&gt;&lt;span&gt; &lt;/span&gt;&lt;/p&gt;
&lt;p&gt;&lt;span&gt;&lt;img height="137" src="https://atendimento.teconsvonline.com.br/hc/article_attachments/27100086729229" width="602"/&gt;&lt;/span&gt;&lt;/p&gt;
&lt;p&gt;&lt;strong&gt;&lt;span&gt;Assim que inserir todas as informações desejadas, você deve clicar no botão "Gerar Serviços" &lt;/span&gt;&lt;span&gt;&lt;img height="24" src="https://atendimento.teconsvonline.com.br/hc/article_attachments/27100081246605" width="67"/&gt;. O&lt;/span&gt;&lt;span&gt; portal disponibilizará um detalhamento dos serviços que serão simulados.&lt;/span&gt;&lt;/strong&gt;&lt;/p&gt;
&lt;p&gt;&lt;span&gt;&lt;img src="https://atendimento.teconsvonline.com.br/hc/article_attachments/27100081247629"/&gt;&lt;/span&gt;&lt;/p&gt;
&lt;p&gt;&lt;span&gt; &lt;/span&gt;&lt;/p&gt;
&lt;p&gt;&lt;span&gt;Caso você identifique a necessidade de editar a configuração, clique em "Editar Serviços" &lt;/span&gt;&lt;span&gt;&lt;img height="29" src="https://atendimento.teconsvonline.com.br/hc/article_attachments/27100081251085" width="83"/&gt;&lt;/span&gt;&lt;span&gt;.&lt;/span&gt;&lt;/p&gt;
&lt;p&gt;&lt;span&gt;Você também poderá inserir mais serviços para todas as unidades através dos botões&lt;/span&gt;&lt;span&gt;&lt;img height="33" src="https://atendimento.teconsvonline.com.br/hc/article_attachments/27100086750989" width="279"/&gt; &lt;/span&gt;&lt;span&gt;ou clicar no ícone de "+", que estará disponível ao lado direito de cada unidade, para adicionar um serviço exclusivamente para esta.&lt;/span&gt;&lt;/p&gt;
&lt;p&gt; &lt;/p&gt;
&lt;p&gt;&lt;span&gt; Caso&lt;/span&gt;&lt;span&gt; clique em &lt;/span&gt;&lt;span&gt;&lt;img height="35" src="https://atendimento.teconsvonline.com.br/hc/article_attachments/27100081257229" width="152"/&gt;&lt;/span&gt;&lt;span&gt; será disponibilizada uma tela para inclusão de serviços adicionais. Após selecionar os serviços que gostaria de aplicar, basta clicar no botão "LANÇAR".&lt;/span&gt;&lt;/p&gt;
&lt;p&gt;&lt;span&gt;&lt;img src="https://atendimento.teconsvonline.com.br/hc/article_attachments/27100086761485"/&gt;&lt;/span&gt;&lt;/p&gt;
&lt;p&gt;&lt;strong&gt;&lt;span&gt;Após realizar os ajustes, basta clicar em "Simular" &lt;/span&gt;&lt;span&gt;&lt;img height="23" src="https://atendimento.teconsvonline.com.br/hc/article_attachments/27100086764941" width="205"/&gt;&lt;/span&gt;&lt;span&gt;, para que o portal realize os cálculos e retorne com a simulação solicitada.&lt;/span&gt;&lt;/strong&gt;&lt;/p&gt;
&lt;p&gt;&lt;span&gt;&lt;img src="https://atendimento.teconsvonline.com.br/hc/article_attachments/27100081262733"/&gt;&lt;/span&gt;&lt;/p&gt;
&lt;p&gt;&lt;span&gt; &lt;/span&gt;&lt;span&gt;Além da visualização no portal, são disponibilizadas também as funções de download em formato PDF e compartilhamento através de  ou envio por e-mail, basta utilizar os botões "Resumo" para download ou "Email" para envio. &lt;/span&gt;&lt;span&gt;&lt;img height="31" src="https://atendimento.teconsvonline.com.br/hc/article_attachments/27100081264141" width="151"/&gt;&lt;/span&gt;&lt;span&gt;. &lt;/span&gt;&lt;/p&gt;
&lt;p&gt;&lt;strong&gt;&lt;span&gt;*Caso queira enviar a simulação para mais de um contato, basta separar os e-mail’s por " ; "&lt;/span&gt;&lt;span&gt; &lt;/span&gt;&lt;/strong&gt;&lt;/p&gt;
&lt;p&gt;&lt;span&gt;&lt;img height="305" src="https://atendimento.teconsvonline.com.br/hc/article_attachments/27100081265549" width="504"/&gt;&lt;/span&gt;&lt;/p&gt;
&lt;p&gt;&lt;strong&gt;&lt;span&gt;Na simulação, você encontrará os valores do processo e suas normas de aplicação:&lt;/span&gt;&lt;/strong&gt;&lt;/p&gt;
&lt;p&gt;&lt;span&gt;&lt;img src="https://atendimento.teconsvonline.com.br/hc/article_attachments/27100086776461"/&gt;&lt;/span&gt;&lt;/p&gt;
&lt;p&gt;&lt;span&gt;&lt;img src="https://atendimento.teconsvonline.com.br/hc/article_attachments/27100081269261"/&gt;&lt;/span&gt;&lt;/p&gt;
&lt;p&gt;&lt;span&gt;Você também terá a possibilidade de voltar para editar a simulação ou gerar uma nova, através dos botões "&amp;lt; Voltar" ou "Nova Simulação", localizados na parte inferior do site.&lt;/span&gt;&lt;/p&gt;
&lt;p&gt;&lt;span&gt;&lt;img height="58" src="https://atendimento.teconsvonline.com.br/hc/article_attachments/27100081271053" width="302"/&gt;&lt;/span&gt;&lt;/p&gt;
&lt;p&gt;&lt;strong&gt;&lt;span&gt;&lt;span&gt;IMPORTANTE:&lt;/span&gt;&lt;span&gt; As simulações calculam&lt;/span&gt; os valores conforme as informações preenchidas, podendo variar conforme a execução efetiva dos serviços. As simulações não garantem os valores incorridos no terminal, uma vez que a carga poderá sofrer serviços não listados previamente pelo cliente.&lt;/span&gt;&lt;/strong&gt;&lt;/p&gt;
&lt;p&gt; &lt;/p&gt;
&lt;p&gt;&lt;strong&gt;&lt;span&gt;Caso queira consultar nossa tabela publica na íntegra, &lt;/span&gt;&lt;/strong&gt;&lt;strong&gt;&lt;span&gt;&lt;a href="https://www.wilsonsons.com.br/pt-br/teconsalvador/servicos/servicos-e-precos/" target="_blank"&gt;clique aqui.&lt;/a&gt;&lt;/span&gt;&lt;/strong&gt;&lt;/p&gt;
&lt;p&gt;&lt;span&gt;Normas de aplicação:&lt;/span&gt;&lt;/p&gt;
&lt;ul&gt;
&lt;li&gt;&lt;span&gt;Nas solicitações dos itens C.1.1 e C.10 já estão inclusos os valores referentes ao manuseio do container.&lt;/span&gt;&lt;/li&gt;
&lt;li&gt;&lt;span&gt;O valor cobrado no item C.1.3 refere-se à solicitação realizada no momento do agendamento de entrada.&lt;/span&gt;&lt;/li&gt;
&lt;li&gt;&lt;span&gt;O valor cobrado no item C.1.4 refere-se à solicitação realizada após entrada da carga/cntr até 12 horas antes do deadline de carga do navio.&lt;/span&gt;&lt;/li&gt;
&lt;li&gt;&lt;span&gt;O valor cobrado no item C.1.5 refere-se à solicitação realizada após entrada da carga/cntr dentro das 12 horas que antecedem o deadline de carga do navio.&lt;/span&gt;&lt;/li&gt;
&lt;li&gt;&lt;span&gt;O item C.2 refere-se ao consumo de energia elétrica e monitoramento por contêiner cheio por dia ou fração.&lt;/span&gt;&lt;/li&gt;
&lt;li&gt;&lt;span&gt;Somente será efetuado o Agendamento Gold, item C.8, caso possua janela disponível nas próximas 12 horas e por exclusiva conveniência do consignatário da carga, escolher ser atendido em um horário já ocupado.&lt;/span&gt;&lt;/li&gt;
&lt;li&gt;&lt;span&gt;A manutenção dos contêineres refrigerados e de seus equipamentos auxiliares é responsabilidade dos respectivos proprietários. Eventuais prejuízos decorrentes de deficiências técnicas na manutenção dos mesmos são, portanto, de exclusiva responsabilidade dos proprietários do contêiner.&lt;/span&gt;&lt;/li&gt;
&lt;li&gt;&lt;span&gt;Para mercadorias consideradas como IMO, será aplicado um acréscimo de 100% no valor dos serviços referentes aos itens C.1, C.6, C.7, C.11, C.13, C.14, C.15 e C.19.&lt;/span&gt;&lt;/li&gt;
&lt;li&gt;&lt;span&gt;Para contêineres Open Top e Flat Rack haverá acréscimo de 100% nos valores das movimentações dos itens C.1, C.6, C.7, C.11, C.13, C.14, C.15 e C19.&lt;/span&gt;&lt;/li&gt;
&lt;li&gt;&lt;span&gt;O item C.16 refere-se apenas a operacionalização de retirada/colocação de adesivo IMO por contêiner. Não está incluído o valor do posicionamento do contêiner para execução da atividade (adesivos não inclusos).&lt;/span&gt;&lt;/li&gt;
&lt;li&gt;&lt;span&gt;O item C.18 refere-se ao serviço requerido pelo consignatário para os casos em que seja solicitado o monitoramento de contêineres para qualquer finalidade&lt;/span&gt;&lt;/li&gt;
&lt;li&gt;&lt;span&gt;O item C.19 refere-se ao serviço de movimentação física de contêiner no pátio do terminal. A cobrança de ISPS Code incide em caso de desistência de embarque.&lt;/span&gt;&lt;/li&gt;
&lt;li&gt;&lt;span&gt;O item C.21 será cobrado sobre o valor total da nota fiscal ou valor CIF. O  Gerenciamento de risco será cobrado por período a partir da chegada da carga no terminal. &lt;/span&gt;&lt;/li&gt;
&lt;li&gt;&lt;span&gt;O serviço “Gerenciamento de Risco” compreende o gerenciamento em tempo real do risco à carga, através de ações de monitoramento, supervisão e controles, com atuação dedicada à mitigação e contenção de eventuais danos causados pelo terminal às cargas localizadas em suas instalações/dependências. Trata-se de serviço opcional e adicional.&lt;/span&gt;&lt;/li&gt;
&lt;li&gt;&lt;span&gt;O item C.22, cobre a utilização da câmara de reinspeção, disponibilização de container adicional refrigerado na para migração da carga (caso seja necessário), fornecimento de energia para este container adicional e handling in/out. Este serviço é complementar ao o serviço de manuseio com ova/desova.&lt;/span&gt;&lt;/li&gt;
&lt;/ul&gt;
&lt;p&gt;&lt;span&gt;*As imagens contidas neste manual são meramente ilustrativas, para consultar os valores reais dos serviços, gentileza verificar na tabela publica. &lt;/span&gt;&lt;/p&gt;</t>
  </si>
  <si>
    <t>https://wilsonsons.zendesk.com/api/v2/help_center/pt-br/articles/26874963139085.json</t>
  </si>
  <si>
    <t>https://atendimento.teconsvonline.com.br/hc/pt-br/articles/26874963139085-Inspe%C3%A7%C3%A3o-N%C3%A3o-Invasiva-Processos-de-Transbordo</t>
  </si>
  <si>
    <t>Inspeção Não Invasiva - Processos de Transbordo</t>
  </si>
  <si>
    <t>&lt;p&gt;Em regras gerais os processos de Transbordo não passam pelo scanner. &lt;/p&gt;
&lt;p&gt;Nos casos de solicitações da Receita Federal devemos sinalizar ao Armador sobre a solicitação do serviço e ressalta que os custos serão direcionados para o mesmo.&lt;/p&gt;
&lt;p&gt; &lt;/p&gt;
&lt;p&gt;É uma forma de nos respaldarmos sobre possíveis questionamentos de cobranças.&lt;/p&gt;
&lt;p&gt; &lt;/p&gt;
&lt;p&gt; &lt;/p&gt;</t>
  </si>
  <si>
    <t>https://wilsonsons.zendesk.com/api/v2/help_center/pt-br/articles/26862583438733.json</t>
  </si>
  <si>
    <t>https://atendimento.teconsvonline.com.br/hc/pt-br/articles/26862583438733-Fluxo-Libera%C3%A7%C3%A3o-Processos-Leil%C3%A3o-RFB</t>
  </si>
  <si>
    <t>Fluxo Liberação Processos Leilão RFB</t>
  </si>
  <si>
    <t>&lt;p&gt;Devem ser solicitados os documentos abaixo para validação da Armazenagem:&lt;/p&gt;
&lt;p&gt;Guia de Licitação assinada &lt;br/&gt;Contrato social PENDENTE&lt;br/&gt;Documento original com foto (cópia) &lt;br/&gt;Procuração em nome da pessoa (Em caso de representante) &lt;br/&gt;Cópia do documento original com foto (Em caso de representante)&lt;br/&gt;Icms/ DAE + comp. de pagamento &lt;br/&gt;DARF + Comp. de pagamento &lt;br/&gt;NF da mercadoria com referência do lote&lt;br/&gt;Cópia RG/CNH do motorista que irá retirar a carga do arrematante &lt;br/&gt;Liberação SISCARGA&lt;/p&gt;
&lt;p&gt; &lt;/p&gt;
&lt;p&gt;Após envio, devemos direcionar para o Cadastro validação das O.S's isentas;&lt;/p&gt;
&lt;p&gt;Após confirmação do cadastro, devemos verificar com o CAR se há alguma pendência financeira vinculada ao BL vinculado ao processo.&lt;/p&gt;
&lt;p&gt;Estando tudo liberado, devemos programar carregamento manual com o Armazém informando data e horário.&lt;/p&gt;
&lt;p&gt;Além disso, solicitarmos a liberação da CODEBA para acesso do preposto caso acompanhe o motorista na remoção.&lt;/p&gt;
&lt;p&gt; &lt;/p&gt;</t>
  </si>
  <si>
    <t>https://wilsonsons.zendesk.com/api/v2/help_center/pt-br/articles/26833115189645.json</t>
  </si>
  <si>
    <t>https://atendimento.teconsvonline.com.br/hc/pt-br/articles/26833115189645-Script-de-Boas-Pr%C3%A1ticas-para-Atendimento-por-Telefone</t>
  </si>
  <si>
    <t>Giselle Cunha</t>
  </si>
  <si>
    <t>Script de Boas Práticas para Atendimento por Telefone</t>
  </si>
  <si>
    <t>&lt;p&gt;&lt;strong&gt;Script de Boas Práticas para Atendimento por Telefone&lt;/strong&gt;&lt;/p&gt;
&lt;p&gt;&lt;strong&gt;1. Preparação&lt;/strong&gt;&lt;/p&gt;
&lt;ul&gt;
&lt;li&gt;
&lt;strong&gt;Ambiente:&lt;/strong&gt; Certifique-se de que o fone está adequado e apropriado&lt;/li&gt;
&lt;li&gt;
&lt;strong&gt;Materiais/ sistemas :&lt;/strong&gt; Tenha à mãos todos os recursos abertos ( Tecsys/ Zendesk/ N4)&lt;/li&gt;
&lt;/ul&gt;
&lt;p&gt;&lt;strong&gt;2. Início da Ligação&lt;/strong&gt;&lt;/p&gt;
&lt;p&gt;&lt;strong&gt;Cumprimento:&lt;/strong&gt; Atenda o telefone com um cumprimento educado e claro.&lt;/p&gt;
&lt;p&gt;Tecon Salvador, Bom dia!&lt;/p&gt;
&lt;p&gt;Aqui é Giselle Cunha, como posso ajudar?&lt;/p&gt;
&lt;p&gt; &lt;/p&gt;
&lt;ul&gt;
&lt;li&gt;
&lt;strong&gt;Identificação:&lt;/strong&gt; Peça o nome do cliente e utilize-o durante a conversa para criar um atendimento mais personalizado.
&lt;ul&gt;
&lt;li&gt;Exemplo: "Com quem eu falo, por favor? Obrigado, [nome do cliente]."&lt;/li&gt;
&lt;/ul&gt;
&lt;/li&gt;
&lt;/ul&gt;
&lt;p&gt;&lt;strong&gt;3. Durante a Ligação&lt;/strong&gt;&lt;/p&gt;
&lt;ul&gt;
&lt;li&gt;
&lt;strong&gt;Escuta Ativa:&lt;/strong&gt; Ouça atentamente o cliente sem interromper.&lt;/li&gt;
&lt;li&gt;
&lt;strong&gt;Empatia:&lt;/strong&gt; Mostre empatia e compreensão com a situação do cliente.
&lt;ul&gt;
&lt;li&gt;Exemplo: "Entendo sua preocupação, [nome do cliente]. Vamos resolver isso juntos."&lt;/li&gt;
&lt;/ul&gt;
&lt;/li&gt;
&lt;li&gt;
&lt;strong&gt;Claridade:&lt;/strong&gt; Fale de forma clara e pausada.&lt;/li&gt;
&lt;li&gt;
&lt;strong&gt;Confirmação:&lt;/strong&gt; Repita as informações importantes para garantir que entendeu corretamente.
&lt;ul&gt;
&lt;li&gt;Exemplo: "Só para confirmar, [nome do cliente], você mencionou que...?"&lt;/li&gt;
&lt;/ul&gt;
&lt;/li&gt;
&lt;/ul&gt;
&lt;p&gt;&lt;strong&gt;4. Resolução do Problema&lt;/strong&gt;&lt;/p&gt;
&lt;ul&gt;
&lt;li&gt;
&lt;strong&gt;Informação:&lt;/strong&gt; Forneça informações precisas e detalhadas sobre o que pode ser feito.
&lt;ul&gt;
&lt;li&gt;Exemplo: "Vou verificar isso para você e retorno em até [tempo estimado]."&lt;/li&gt;
&lt;/ul&gt;
&lt;/li&gt;
&lt;li&gt;
&lt;strong&gt;Ação:&lt;/strong&gt; Caso precise transferir a ligação, explique o motivo e para quem está transferindo.
&lt;ul&gt;
&lt;li&gt;Exemplo: "Vou transferir sua ligação para ox xxxx responsável, que poderá ajudar melhor. Um momento, por favor."&lt;/li&gt;
&lt;/ul&gt;
&lt;/li&gt;
&lt;li&gt;
&lt;strong&gt;Acompanhamento:&lt;/strong&gt; Informe sobre os próximos passos e o prazo para a resolução.
&lt;ul&gt;
&lt;li&gt;Exemplo: "Você receberá um e-mail de confirmação em até [tempo]. Se precisar de mais alguma coisa, estou à disposição."&lt;/li&gt;
&lt;/ul&gt;
&lt;/li&gt;
&lt;/ul&gt;
&lt;p&gt;&lt;strong&gt;5. Finalização da Ligação&lt;/strong&gt;&lt;/p&gt;
&lt;ul&gt;
&lt;li&gt;
&lt;strong&gt;Resumo:&lt;/strong&gt; Faça um breve resumo da conversa e das ações que serão tomadas.
&lt;ul&gt;
&lt;li&gt;Exemplo: "Então, para resumir, faremos [ação] e você receberá [informação]."&lt;/li&gt;
&lt;/ul&gt;
&lt;/li&gt;
&lt;li&gt;
&lt;strong&gt;Agradecimento:&lt;/strong&gt; Agradeça ao cliente e pergunte se pode ajudar em algo mais.&lt;/li&gt;
&lt;li&gt;
&lt;strong&gt;Despedida:&lt;/strong&gt; Despeça-se de forma educada.&lt;/li&gt;
&lt;/ul&gt;
&lt;p&gt;&lt;strong&gt;6. Pós-Ligação&lt;/strong&gt;&lt;/p&gt;
&lt;ul&gt;
&lt;li&gt;
&lt;strong&gt;Categorize a ligação :&lt;/strong&gt; Faça um registro detalhado da chamada e categorize corretamente.&lt;/li&gt;
&lt;li&gt;
&lt;strong&gt;Atualize os dados dos clientes:&lt;/strong&gt; verifique no Zendesk as opções de perfil dos clientes.&lt;/li&gt;
&lt;/ul&gt;</t>
  </si>
  <si>
    <t>https://wilsonsons.zendesk.com/api/v2/help_center/pt-br/articles/26832096452621.json</t>
  </si>
  <si>
    <t>https://atendimento.teconsvonline.com.br/hc/pt-br/articles/26832096452621-SOLICITA%C3%87%C3%83O-DE-AMPLIA%C3%87%C3%83O-DE-JANELAS</t>
  </si>
  <si>
    <t>Matheus Lopes</t>
  </si>
  <si>
    <t>SOLICITAÇÃO DE AMPLIAÇÃO DE JANELAS</t>
  </si>
  <si>
    <t>['01HY62JEYNAQMQCTBFDPPTMZW9']</t>
  </si>
  <si>
    <t>['Agendamentos', 'janelas']</t>
  </si>
  <si>
    <t>&lt;p&gt;&lt;span&gt;Este artigo tem como objetivo analisar alguns pontos a respeito das solicitações de ampliação de janelas, os dois pontos principais abordados são: os cenários das solicitações e quem normalmente realiza tais solicitações. Abaixo, seguem os pontos levantados.&lt;br/&gt;&lt;br/&gt;Quais os cenários em que ocorrem mais solicitações?&lt;br/&gt;&lt;/span&gt;&lt;/p&gt;
&lt;ul&gt;
&lt;li&gt;&lt;span&gt;Quando há muitas operações próximas e as janelas tendem a ser mais escassas.&lt;/span&gt;&lt;/li&gt;
&lt;li&gt;&lt;span&gt;Agendamentos de última hora, quando deixados para o mesmo dia do deadline, dificilmente são encontradas janelas disponíveis.&lt;/span&gt;&lt;/li&gt;
&lt;li&gt;&lt;span&gt;Transportadoras com alto movimento de veículos, normalmente solicitam mais janelas para disponibilizar os veículos para mais viagens.&lt;/span&gt;&lt;/li&gt;
&lt;li&gt;&lt;span&gt;Cenários atípicos como engarrafamentos ou protestos, onde há possibilidade de perderem agendamentos, solicitam ampliação para postergar o horário agendado.&lt;/span&gt;&lt;/li&gt;
&lt;li&gt;&lt;span&gt;Quando há programação de entrega de dezenas de contêineres de um mesmo cliente.&lt;/span&gt;&lt;/li&gt;
&lt;li&gt;&lt;span&gt;Operações de retirada de vazio, uma vez que possuem uma quantidade muito alta de containers.&lt;/span&gt;&lt;/li&gt;
&lt;/ul&gt;
&lt;p&gt;&lt;span&gt;Quem costuma realizar as solicitações de ampliação e por qual motivo?&lt;/span&gt;&lt;/p&gt;
&lt;ul&gt;
&lt;li&gt;Armador Log-in - Para entrada de muitos containers de algum cliente.&lt;/li&gt;
&lt;li&gt;Transportadora VBR - Alto fluxo de veículos.&lt;/li&gt;
&lt;li&gt;Transportadora Multilog - Alto fluxo de veículos.&lt;/li&gt;
&lt;li&gt;MSC/Medlog - Operações de retirada de vazio.&lt;/li&gt;
&lt;li&gt;Transilvana - Permitir mais viagens para seus veículos.&lt;/li&gt;
&lt;li&gt;Ferbasa - Para que seus containers sejam agendados para o mesmo dia.&lt;/li&gt;
&lt;li&gt;Bracell - Agendamentos com deadline para o mesmo dia.&lt;/li&gt;
&lt;/ul&gt;
&lt;p&gt;&lt;span&gt; &lt;/span&gt;&lt;/p&gt;</t>
  </si>
  <si>
    <t>https://wilsonsons.zendesk.com/api/v2/help_center/pt-br/articles/26238146165645.json</t>
  </si>
  <si>
    <t>https://atendimento.teconsvonline.com.br/hc/pt-br/articles/26238146165645-Instru%C3%A7%C3%B5es-para-cadastro-de-clientes</t>
  </si>
  <si>
    <t>Instruções para cadastro de clientes</t>
  </si>
  <si>
    <t>['01HWDQRFYVFMS9AP6FM3SJFFAD']</t>
  </si>
  <si>
    <t>['cadastro']</t>
  </si>
  <si>
    <t>&lt;p&gt;Para os casos de cadastro de clientes devem ser solicitados os seguintes dados: &lt;/p&gt;
&lt;p&gt; &lt;/p&gt;
&lt;p&gt;Tipo de documento: (se pessoa física ou jurídica)&lt;/p&gt;
&lt;p&gt; &lt;/p&gt;
&lt;p&gt;Para pessoa Física:&lt;/p&gt;
&lt;p&gt;Nome completo* &lt;br/&gt;CPF*&lt;br/&gt;Data de nascimento *&lt;br/&gt;DATA&lt;br/&gt;Endereço *&lt;br/&gt;CEP *&lt;br/&gt;E-mail's para envio de faturamento *&lt;br/&gt;DDD*&lt;br/&gt;Telefone*&lt;/p&gt;
&lt;p&gt; &lt;/p&gt;
&lt;p&gt;Para pessoa jurídica: &lt;/p&gt;
&lt;p&gt;Razão social *&lt;br/&gt;CNPJ*&lt;br/&gt;CEP *&lt;br/&gt;Endereço *&lt;br/&gt;E-mail's para envios de faturamento *&lt;br/&gt;DDD*&lt;br/&gt;Telefone*&lt;/p&gt;
&lt;p&gt; &lt;/p&gt;
&lt;p&gt;Os dados devem ser coletados via portal ou demais canais e enviados para o time de cadastro por meio do endereço "cadastro.tcsv@wilsonsons.com.br" é imprescindível que seja coletada a informação dos e-mails para envios de faturamentos a fim de evitar erros de não recebimento. &lt;/p&gt;
&lt;p&gt;Observação: quando o cadastro for relativo a parceiro comercial localizado fora do Brasil, deve ser solicitado o NIF em substituição ao CNPJ. &lt;/p&gt;</t>
  </si>
  <si>
    <t>https://wilsonsons.zendesk.com/api/v2/help_center/pt-br/articles/26116851130893.json</t>
  </si>
  <si>
    <t>https://atendimento.teconsvonline.com.br/hc/pt-br/articles/26116851130893-RESOLU%C3%87%C3%83O-ANTAQ-N%C2%BA-112-DE-12-DE-MAR%C3%87O-DE-2024-Direcionamento-de-custos-de-armazenagem</t>
  </si>
  <si>
    <t xml:space="preserve">RESOLUÇÃO ANTAQ Nº 112, DE 12 DE MARÇO DE 2024 - Direcionamento de custos de armazenagem </t>
  </si>
  <si>
    <t>['ANTAQ']</t>
  </si>
  <si>
    <t>&lt;p&gt;&lt;span&gt;&lt;img src="https://atendimento.teconsvonline.com.br/hc/article_attachments/26116860860813"/&gt;&lt;/span&gt;&lt;/p&gt;
&lt;p&gt;&lt;span&gt;&lt;a href="https://sophia.antaq.gov.br/Terminal/acervo/detalhe/35782?guid=4046a483e710843b4a30&amp;amp;returnUrl=%2fTerminal%2fresultado%2flistarlegislacao%3fguid%3d4046a483e710843b4a30%26quantidadePaginas%3d1%26codigoRegistro%3d35782%2335782&amp;amp;i=1"&gt;Resolução ANTAQ 112/2024&lt;/a&gt;&lt;/span&gt;&lt;/p&gt;
&lt;p&gt;&lt;span&gt;O que é? &lt;/span&gt;&lt;/p&gt;
&lt;p&gt;&lt;span&gt;Resolução do ministério dos portos e ANTAQ que estabelece critérios para identificação do agente responsável pela armazenagem adicional de carga nas instalações portuárias.&lt;/span&gt;&lt;/p&gt;
&lt;table border="1"&gt;
&lt;tbody&gt;
&lt;tr&gt;
&lt;td&gt;Evento&lt;/td&gt;
&lt;td&gt;Causas&lt;/td&gt;
&lt;td&gt;Responsabilidade&lt;br/&gt;pelo Risco&lt;/td&gt;
&lt;/tr&gt;
&lt;tr&gt;
&lt;td&gt;Atraso na&lt;br/&gt;entrada da carga&lt;br/&gt;na instalação&lt;br/&gt;portuária&lt;/td&gt;
&lt;td&gt;Gestão logística do gate do terminal &lt;/td&gt;
&lt;td&gt;Instalação portuária&lt;br/&gt; &lt;/td&gt;
&lt;/tr&gt;
&lt;tr&gt;
&lt;td&gt; &lt;/td&gt;
&lt;td&gt;Problemas logísticos rodoviários (acidentes, congestionamento,&lt;br/&gt;bloqueios, planejamento logístico etc.)&lt;/td&gt;
&lt;td&gt;Comércio e logística&lt;br/&gt;de cargas (usuário).&lt;/td&gt;
&lt;/tr&gt;
&lt;tr&gt;
&lt;td&gt; &lt;/td&gt;
&lt;td&gt;Greve de caminhoneiros&lt;/td&gt;
&lt;td&gt;Comércio e logística&lt;br/&gt;de cargas (usuário).&lt;/td&gt;
&lt;/tr&gt;
&lt;tr&gt;
&lt;td&gt;Atraso para&lt;br/&gt;embarque da&lt;br/&gt;carga já&lt;br/&gt;armazenada&lt;/td&gt;
&lt;td&gt;Greve ou outros movimentos de servidores da Receita Federal&lt;br/&gt;ou outros órgãos intervenientes&lt;/td&gt;
&lt;td&gt;Comércio e logística&lt;br/&gt;de cargas (usuário).&lt;/td&gt;
&lt;/tr&gt;
&lt;tr&gt;
&lt;td&gt; &lt;/td&gt;
&lt;td&gt;Atuação da administração pública (restrições aduaneiras e&lt;br/&gt;sanitárias), ou não embarque por decisão do usuário&lt;/td&gt;
&lt;td&gt;Comércio e logística&lt;br/&gt;de cargas (usuário).&lt;/td&gt;
&lt;/tr&gt;
&lt;tr&gt;
&lt;td&gt; &lt;/td&gt;
&lt;td&gt;Problemas técnicos da instalação portuária (sistema,&lt;br/&gt;equipamentos etc.)&lt;/td&gt;
&lt;td&gt;Instalação portuária&lt;/td&gt;
&lt;/tr&gt;
&lt;tr&gt;
&lt;td&gt; &lt;/td&gt;
&lt;td&gt;Problemas técnicos do operador portuário, quando as&lt;br/&gt;operações ocorrerem na infraestrutura comum do porto&lt;br/&gt;organizado&lt;/td&gt;
&lt;td&gt;Operador Portuário&lt;/td&gt;
&lt;/tr&gt;
&lt;tr&gt;
&lt;td&gt; &lt;/td&gt;
&lt;td&gt;Corte de carga por decisão do operador portuário, quando as&lt;br/&gt;operações ocorrerem na infraestrutura comum do porto&lt;br/&gt;organizado&lt;/td&gt;
&lt;td&gt;Operador Portuário&lt;/td&gt;
&lt;/tr&gt;
&lt;tr&gt;
&lt;td&gt; &lt;/td&gt;
&lt;td&gt;Indisponibilidade de berço dentro da janela de atracação&lt;br/&gt;(dragagem de berço, atraso do navio precedente, baixa&lt;br/&gt;produtividade etc.)&lt;/td&gt;
&lt;td&gt;Instalação portuária&lt;/td&gt;
&lt;/tr&gt;
&lt;tr&gt;
&lt;td&gt; &lt;/td&gt;
&lt;td&gt;Ajustes na gestão comercial (overbooking, corte de carga,&lt;br/&gt;quebra de lote/cut&amp;amp;run)&lt;/td&gt;
&lt;td&gt;Transportador&lt;br/&gt;Marítimo&lt;/td&gt;
&lt;/tr&gt;
&lt;tr&gt;
&lt;td&gt; &lt;/td&gt;
&lt;td&gt;Corte de carga por decisão da instalação portuária&lt;/td&gt;
&lt;td&gt;Instalação portuária&lt;/td&gt;
&lt;/tr&gt;
&lt;tr&gt;
&lt;td&gt; &lt;/td&gt;
&lt;td&gt;Problemas técnicos na embarcação&lt;/td&gt;
&lt;td&gt;Transportador&lt;br/&gt;Marítimo Efetivo&lt;/td&gt;
&lt;/tr&gt;
&lt;tr&gt;
&lt;td&gt; &lt;/td&gt;
&lt;td&gt;Omissão de escala ou interrupção abrupta da operação de&lt;br/&gt;entrada da embarcação (inclusive se causados por problemas&lt;br/&gt;de acesso ao canal do porto)&lt;/td&gt;
&lt;td&gt;Transportador&lt;br/&gt;Marítimo Efetivo&lt;/td&gt;
&lt;/tr&gt;
&lt;tr&gt;
&lt;td&gt; &lt;/td&gt;
&lt;td&gt;Atraso na chegada do navio ao porto, devido à gestão náutica&lt;br/&gt;(planning,schedule, intempéries, variação de maré,&lt;br/&gt;descasamento do ETA à janela de atracação pré-estabelecida,&lt;br/&gt;etc.), acidentes ou problemas técnicos no percurso, aventura&lt;br/&gt;marítima, atrasos em portos anteriores, informação errada de&lt;br/&gt;ETA de acordo com a Janela de Atracação pré-estabelecida, etc.&lt;/td&gt;
&lt;td&gt;Transportador&lt;br/&gt;Marítimo Efetivo&lt;/td&gt;
&lt;/tr&gt;
&lt;tr&gt;
&lt;td&gt;Atraso para&lt;br/&gt;retirada da carga&lt;br/&gt;na instalação&lt;br/&gt;portuária&lt;/td&gt;
&lt;td&gt;Greve de caminhoneiros&lt;/td&gt;
&lt;td&gt;Comércio e logística&lt;br/&gt;de cargas (usuário).&lt;/td&gt;
&lt;/tr&gt;
&lt;tr&gt;
&lt;td&gt; &lt;/td&gt;
&lt;td&gt;Atuação da administração pública (Restrições aduaneiras e&lt;br/&gt;sanitárias)&lt;/td&gt;
&lt;td&gt;Comércio e logística&lt;br/&gt;de cargas (usuário).&lt;/td&gt;
&lt;/tr&gt;
&lt;tr&gt;
&lt;td&gt; &lt;/td&gt;
&lt;td&gt;Greve ou outros movimentos de servidores da Receita Federal&lt;br/&gt;ou outros órgãos intervenientes&lt;/td&gt;
&lt;td&gt;Comércio e logística&lt;br/&gt;de cargas (usuário).&lt;/td&gt;
&lt;/tr&gt;
&lt;tr&gt;
&lt;td&gt; &lt;/td&gt;
&lt;td&gt;Problemas logísticos rodoviários (acidentes, congestionamento,&lt;br/&gt;bloqueios, planejamento logístico etc.)&lt;/td&gt;
&lt;td&gt;Comércio e logística&lt;br/&gt;de cargas (usuário).&lt;/td&gt;
&lt;/tr&gt;
&lt;tr&gt;
&lt;td&gt; &lt;/td&gt;
&lt;td&gt;Problemas técnicos da instalação portuária (sistema,&lt;br/&gt;equipamentos, etc.)&lt;/td&gt;
&lt;td&gt;Instalação portuária&lt;/td&gt;
&lt;/tr&gt;
&lt;tr&gt;
&lt;td&gt; &lt;/td&gt;
&lt;td&gt;Problemas técnicos do operador portuário, quando as&lt;br/&gt;operações ocorrerem na infraestrutura comum do porto&lt;br/&gt;organizado&lt;/td&gt;
&lt;td&gt;Operador Portuário&lt;/td&gt;
&lt;/tr&gt;
&lt;/tbody&gt;
&lt;/table&gt;</t>
  </si>
  <si>
    <t>https://wilsonsons.zendesk.com/api/v2/help_center/pt-br/articles/26098271911693.json</t>
  </si>
  <si>
    <t>https://atendimento.teconsvonline.com.br/hc/pt-br/articles/26098271911693-Comunicado-Novo-sistema-OCR</t>
  </si>
  <si>
    <t>Victor Costa</t>
  </si>
  <si>
    <t>&lt;div&gt;&lt;font face="arial, sans-serif"&gt;&lt;u&gt;&lt;img src="https://atendimento.teconsvonline.com.br/hc/article_attachments/26098250904333"/&gt;&lt;/u&gt;&lt;/font&gt;&lt;/div&gt;
&lt;div&gt;&lt;font face="arial, sans-serif"&gt;&lt;u&gt;                                                                                                                  &lt;/u&gt;&lt;/font&gt;&lt;/div&gt;
&lt;div&gt;&lt;font face="arial, sans-serif"&gt;&lt;u&gt;&lt;strong&gt;&lt;span&gt;​&lt;/span&gt;&lt;/strong&gt;&lt;/u&gt;&lt;/font&gt;&lt;/div&gt;
&lt;p&gt;Informamos que,a partir de 22/04/2024, iniciaremos o projeto de modernização da tecnologia OCR (Reconhecimento Óptico de Caracteres), nos gates do Tecon Salvador, visando prestar um serviço ainda mais eficiente e personalizado.&lt;br/&gt;Durante a implantação, pequenas alterações no fluxo de acesso poderão acarretar aumento no tempo de atendimento habitual, mas asseguramos que resultarão em uma experiência ainda melhor com o serviço.&lt;/p&gt;
&lt;p&gt;Confira alguns dos benefícios que o novo OCR gate oferecerá:&lt;/p&gt;
&lt;p&gt;1. Sistema OCR mais moderno e ágil:&lt;/p&gt;
&lt;p&gt; &lt;/p&gt;
&lt;p&gt;Novas câmeras mais precisas e sistema mais robusto, resultarão em significativas melhorias no tempo de atendimento, reduzindo o intervalo entre a triagem e a saída pelo portão (gateout).&lt;/p&gt;
&lt;p&gt;2. Redução do Tempo de Espera na Triagem:&lt;/p&gt;
&lt;p&gt; &lt;/p&gt;
&lt;p&gt;Validação financeira no momento do agendamento, agilizando o fluxo na triagem.&lt;/p&gt;
&lt;p&gt;3. Pioneirismo na Integração de Carga Geral, Armazém e Break Bulk:&lt;/p&gt;
&lt;p&gt;De forma pioneira, estamos liderando a sincronização eficiente de Carga Geral, Operações de Armazém e Break Bulk,o que otimizará toda a cadeia logística, resultando em maior eficiência e excelência operacional.&lt;/p&gt;</t>
  </si>
  <si>
    <t>https://wilsonsons.zendesk.com/api/v2/help_center/pt-br/articles/25867376725517.json</t>
  </si>
  <si>
    <t>https://atendimento.teconsvonline.com.br/hc/pt-br/articles/25867376725517-Marca%C3%A7%C3%A3o-ANP-para-containers-Killing</t>
  </si>
  <si>
    <t>Keila Dias</t>
  </si>
  <si>
    <t>Marcação ANP para containers Killing</t>
  </si>
  <si>
    <t>['01HVBTY8A07GS1J70DQ92284AV', '01HVBTYCDBPPX2R3JSTZNERV8D', '01HVBTYGF7FEQN8NKPBN96Y5D5']</t>
  </si>
  <si>
    <t>['KILLING', 'ANP', 'MARCAÇÃO']</t>
  </si>
  <si>
    <t>&lt;p&gt;❖ Marcação ANP para containers Killing&lt;/p&gt;
&lt;p&gt;&lt;br/&gt;➢ O despachante encaminhará a programação por e-mail copiando a SGS&lt;br/&gt;(empresa que realizará o serviço), Albert (atual despachante), Atendimento;&lt;/p&gt;
&lt;p&gt;O container é posicionado para execução do serviço, mediante agendamento&lt;br/&gt;no Portal; (Pode ser Manuseio Simples (RFB))&lt;/p&gt;
&lt;p&gt;A documentação do inspetor responsável pela execução do serviço, precisa&lt;br/&gt;ser enviada para análise da nossa equipe de SMS(documentos: Certificado&lt;br/&gt;de curso: NR 35, NR20, Documento de identificação e ASO atualizado);&lt;/p&gt;
&lt;p&gt;Caso haja necessidade de liberação da entrada do inspetor com veículo, os&lt;br/&gt;dados devem, obrigatoriamente, ser enviados com 24h de antecedência.&lt;/p&gt;
&lt;p&gt;Caso contrário, o preposto terá dificuldades para acessar o Terminal com o&lt;br/&gt;veículo.&lt;/p&gt;
&lt;p&gt;A solicitação de acesso ao site da Codeba é realizada por Luise, Fernanda&lt;br/&gt;ou Victor;&lt;/p&gt;
&lt;p&gt;O inspetor deve comparecer para executar a marcação no mesmo dia de&lt;br/&gt;agendamento do posicionamento do container no Portal (Ex.: Manuseio&lt;br/&gt;agendado para 07/11, o inspetor deve comparecer ao Terminal em 07/11 para&lt;br/&gt;executar o serviço). Caso contrário, haverá custo extra com novo&lt;br/&gt;posicionamento.&lt;/p&gt;
&lt;p&gt; &lt;/p&gt;
&lt;p&gt;❖ Após envio dos dados, devemos criar a comunicação interna com as áreas:&lt;br/&gt;Armazém e SMS para sinalizar que haverá posicionamento do container na área e&lt;br/&gt;que será realizado o serviço de Marcação no Container, por um preposto da SGS;&lt;/p&gt;
&lt;p&gt; &lt;/p&gt;
&lt;p&gt;&lt;span&gt;Alinhamento sobre posicionamento para Marcação ANP &lt;/span&gt;&lt;span&gt;#825232&lt;/span&gt;&lt;/p&gt;
&lt;p&gt;https://wilsonsons.zendesk.com/agent/tickets/938140&lt;/p&gt;</t>
  </si>
  <si>
    <t>https://wilsonsons.zendesk.com/api/v2/help_center/pt-br/articles/25711257715981.json</t>
  </si>
  <si>
    <t>https://atendimento.teconsvonline.com.br/hc/pt-br/articles/25711257715981-Como-solicita-Boleto-Avulso</t>
  </si>
  <si>
    <t>Como solicita Boleto Avulso?</t>
  </si>
  <si>
    <t>&lt;p&gt; &lt;/p&gt;
&lt;p&gt;Para solicitar Boleto Avulso, deve-se abrir um Fluig conforme passo a passo abaixo: &lt;/p&gt;
&lt;p&gt; &lt;/p&gt;
&lt;p&gt;&lt;img src="https://atendimento.teconsvonline.com.br/hc/article_attachments/25711265332365"/&gt;&lt;/p&gt;
&lt;p&gt; &lt;/p&gt;
&lt;p&gt;&lt;img src="https://atendimento.teconsvonline.com.br/hc/article_attachments/25711265346061"/&gt;&lt;/p&gt;
&lt;p&gt; &lt;/p&gt;
&lt;p&gt;Preencher Planilha abaixo:&lt;/p&gt;
&lt;p&gt; &lt;/p&gt;
&lt;p&gt;&lt;a href="https://docs.google.com/spreadsheets/d/1akZ1HcBNgWUPRsnTWvxh0xXHg59LVGiwfkQSQjJDIRw/edit#gid=824724110"&gt;https://docs.google.com/spreadsheets/d/1akZ1HcBNgWUPRsnTWvxh0xXHg59LVGiwfkQSQjJDIRw/edit#gid=824724110&lt;/a&gt;&lt;/p&gt;
&lt;p&gt; &lt;/p&gt;
&lt;p&gt; &lt;/p&gt;</t>
  </si>
  <si>
    <t>https://wilsonsons.zendesk.com/api/v2/help_center/pt-br/articles/25558774085005.json</t>
  </si>
  <si>
    <t>https://atendimento.teconsvonline.com.br/hc/pt-br/articles/25558774085005-Instru%C3%A7%C3%B5es-de-uso-do-portal-Consultas-Movimenta%C3%A7%C3%A3o-de-Containers</t>
  </si>
  <si>
    <t>Instruções de uso do portal -&gt; Consultas - Movimentação de Containers</t>
  </si>
  <si>
    <t>['01HTG30V3SMM75CTQHGCTWXBWE', '01HTG3115SMH90FXFNHD1PCRHE']</t>
  </si>
  <si>
    <t>&lt;p&gt;&lt;span&gt;&lt;img src="https://atendimento.teconsvonline.com.br/hc/article_attachments/25558806345869"/&gt;&lt;/span&gt;&lt;/p&gt;
&lt;p&gt; &lt;/p&gt;
&lt;p&gt;&lt;strong&gt;&lt;span&gt;O que é? &lt;/span&gt;&lt;/strong&gt;&lt;/p&gt;
&lt;p&gt;&lt;span&gt;Relatório de movimentações exclusivamente para armadores. Podem ser consultadas as movimentações ocorridas para um determinado navio/viagem com detalhamento das informações e extração de arquivos em PDF ou XLS. &lt;/span&gt;&lt;/p&gt;
&lt;p&gt;&lt;strong&gt;&lt;span&gt;Veja como é simples encontrar a opção: &lt;/span&gt;&lt;br/&gt;&lt;/strong&gt;Ao acessar o portal, no canto superior esquerdo da tela, basta clicar na aba "Consultas" e na opção "Movimentação de Containers". &lt;br/&gt; &lt;img src="https://atendimento.teconsvonline.com.br/hc/article_attachments/25558806348557"/&gt;&lt;/p&gt;
&lt;p&gt;&lt;strong&gt;Passo a Passo de utilização: &lt;/strong&gt;&lt;/p&gt;
&lt;p&gt;&lt;strong&gt;&lt;img src="https://atendimento.teconsvonline.com.br/hc/article_attachments/25558774076685"/&gt;&lt;/strong&gt;&lt;/p&gt;
&lt;p&gt;1° Selecionar um período para busca de navios/viagens; &lt;/p&gt;
&lt;p&gt;2° Selecionar qual a operação (navio/viagem) será utilizado para consulta de informações;&lt;/p&gt;
&lt;p&gt;3° Selecionar o tipo de movimentação, ressaltamos que apenas 1 tipo de movimentação pode ser consultado por vez; &lt;/p&gt;
&lt;p&gt;4° Selecionar qual o armador, e para o caso de grupo de armadores a consulta deve ser realizada separadamente; &lt;/p&gt;
&lt;p&gt;5° Selecionar quais informações serão exibidas, são mais de 30 opções diferentes;&lt;/p&gt;
&lt;p&gt;6° Você pode adicionar mais filtros a sua pesquisa, são eles: status, tipo de container, tamanho, categoria e cliente;&lt;/p&gt;
&lt;p&gt;&lt;span&gt;&lt;strong&gt;**Pronto! Agora que você já selecionou todas as informações, basta clicar no botão "Filtrar" **&lt;/strong&gt;&lt;/span&gt;&lt;/p&gt;
&lt;p&gt;&lt;br/&gt;7° Ao clicar nessa opção o portal disponibilizará arquivo PDF; &lt;br/&gt;8° Ao clicar nessa opção o portal disponibilizará arquivo XLS;&lt;/p&gt;
&lt;p&gt; &lt;/p&gt;
&lt;p&gt; &lt;/p&gt;
&lt;p&gt;Você pode sempre contar conosco! &lt;span&gt;😉&lt;/span&gt;&lt;/p&gt;</t>
  </si>
  <si>
    <t>https://wilsonsons.zendesk.com/api/v2/help_center/pt-br/articles/25041149577869.json</t>
  </si>
  <si>
    <t>https://atendimento.teconsvonline.com.br/hc/pt-br/articles/25041149577869-Alinhamento-Entrada-de-reefer</t>
  </si>
  <si>
    <t>Alinhamento: Entrada de reefer</t>
  </si>
  <si>
    <t>['01HS1MEB6ARFSNYJT4DCQ85AAQ', '01HS1MEJ8XNGCXZCAMKHARGAYH', '01HS1MF058E8T2MVJ5YT8GG9MA']</t>
  </si>
  <si>
    <t>&lt;div&gt;Apenas para manter a formalização sobre entradas de reefer:&lt;/div&gt;
&lt;div&gt;&lt;/div&gt;
&lt;div&gt;
&lt;strong&gt;Cenário 1: &lt;/strong&gt;&lt;strong&gt;Container reefer no gate &lt;/strong&gt;&lt;font color="#000000"&gt;&amp;gt;&lt;span&gt; &lt;/span&gt;&lt;/font&gt;&lt;font color="#ff0000"&gt;&lt;strong&gt;gate foi alterado e fechou:&lt;/strong&gt;&lt;/font&gt;
&lt;/div&gt;
&lt;div&gt;&lt;/div&gt;
&lt;div&gt;
&lt;font color="#000000"&gt;- Mesmo sendo reefer, o cliente precisa pedir&lt;span&gt; &lt;/span&gt;&lt;/font&gt;&lt;u&gt;&lt;font color="#ff0000"&gt;&lt;strong&gt;entrada antecipada com custo.&lt;/strong&gt;&lt;/font&gt;&lt;/u&gt;
&lt;/div&gt;
&lt;div&gt;&lt;font color="#000000"&gt; &lt;/font&gt;&lt;/div&gt;
&lt;div&gt;
&lt;font color="#000000"&gt;- Se a entrada estiver suspensa,&lt;strong&gt;&lt;span&gt; &lt;/span&gt;&lt;/strong&gt;&lt;/font&gt;&lt;font color="#ff0000"&gt;&lt;strong&gt;sendo container reefer, a entrada será sempre autorizada.&lt;/strong&gt;&lt;/font&gt;
&lt;/div&gt;
&lt;div&gt;&lt;font color="#ff0000"&gt;&lt;strong&gt; &lt;/strong&gt;&lt;/font&gt;&lt;/div&gt;
&lt;div&gt;
&lt;font color="#ff0000"&gt;&lt;strong&gt; &lt;/strong&gt;&lt;/font&gt;&lt;span&gt;&lt;strong&gt;Cenário 2: &lt;/strong&gt;&lt;/span&gt;&lt;strong&gt;Container reefer chegou sem cadastro ou precisa agendar com urgência.&lt;/strong&gt;
&lt;/div&gt;
&lt;div&gt;
&lt;div&gt;&lt;strong&gt; &lt;/strong&gt;&lt;/div&gt;
&lt;/div&gt;
&lt;div&gt;
&lt;span&gt;-&lt;span&gt; &lt;/span&gt;&lt;/span&gt;&lt;font color="#ff0000"&gt;&lt;strong&gt;Cadastro simplificado&lt;/strong&gt;&lt;/font&gt;&lt;span&gt;, horário comercial e plantão. Se o simplificado não funcionar, realizar agendamento sem NF e outro CNPJ, com a necessidade de ajuste manual.&lt;/span&gt;
&lt;/div&gt;
&lt;div&gt;&lt;span&gt; &lt;/span&gt;&lt;/div&gt;
&lt;div&gt;
&lt;span&gt;&lt;strong&gt;Cenário 3: &lt;/strong&gt;&lt;/span&gt;&lt;strong&gt;Pedido de entrada antecipada para container reefer:&lt;/strong&gt;&lt;span&gt;&lt;br/&gt;&lt;/span&gt;
&lt;/div&gt;
&lt;div&gt;&lt;strong&gt; &lt;/strong&gt;&lt;/div&gt;
&lt;div&gt;
&lt;span&gt;- Se a entrada estiver suspensa, sendo container reefer,&lt;span&gt; &lt;/span&gt;&lt;/span&gt;&lt;font color="#ff0000"&gt;&lt;strong&gt;a entrada será sempre autorizada. &lt;/strong&gt;&lt;/font&gt;
&lt;/div&gt;</t>
  </si>
  <si>
    <t>https://wilsonsons.zendesk.com/api/v2/help_center/pt-br/articles/24923243522061.json</t>
  </si>
  <si>
    <t>https://atendimento.teconsvonline.com.br/hc/pt-br/articles/24923243522061-O-que-fazer-quando-uma-unidade-for-avariada</t>
  </si>
  <si>
    <t>O que fazer quando uma unidade for avariada?</t>
  </si>
  <si>
    <t>['avaria']</t>
  </si>
  <si>
    <t>&lt;p&gt;Informar ao responsável da carga:&lt;/p&gt;
&lt;p&gt;Importação: Cliente ou despachante&lt;/p&gt;
&lt;p&gt;Cabotagem: Porta/Porta - Armador&lt;/p&gt;
&lt;p&gt;Cabotagem: Porto/Porto - Cliente ou despachante; em outras modalidades informar a ambos&lt;/p&gt;
&lt;p&gt;Transbordo: Armador&lt;/p&gt;
&lt;p&gt; &lt;/p&gt;
&lt;p&gt; &lt;/p&gt;</t>
  </si>
  <si>
    <t>https://wilsonsons.zendesk.com/api/v2/help_center/pt-br/articles/24708327125517.json</t>
  </si>
  <si>
    <t>https://atendimento.teconsvonline.com.br/hc/pt-br/articles/24708327125517-Tabela-Publica-Impostos-ISS-PIS-e-COFINS</t>
  </si>
  <si>
    <t>Tabela Publica - Impostos (ISS, PIS e COFINS)</t>
  </si>
  <si>
    <t>['01HR7G7QX6S0W8QHKAQQ7CNBRQ', '01HR7G7WPMM7MEZ5XGAEB55YT9', '01HR7G81C157PMYKVFQYRGGK03', '01HR7G86ERWX9HY8JA63FXWR03']</t>
  </si>
  <si>
    <t>&lt;p&gt; &lt;/p&gt;
&lt;p&gt;Em caso de questionamentos sobre os valores cobrados referente a algum serviço, podemos retornar da seguinte forma:&lt;/p&gt;
&lt;p&gt; &lt;/p&gt;
&lt;p&gt;&lt;span&gt;Os montantes apresentados na tabela representam valores líquidos de tributos, logo, não refletem o preço definitivo para cada um dos serviços listados.&lt;/span&gt;&lt;br/&gt;&lt;span&gt;Sendo assim, favor considerar os impostos (ISS, PIS e COFINS), dividindo o valor total do serviço de Inspeção não invasiva por 0,8575.&lt;/span&gt;&lt;br/&gt;&lt;span&gt;Essa informação está disponível nas considerações finais da tabela pública, acessível através do seguinte link:&lt;span&gt; &lt;/span&gt;&lt;/span&gt;&lt;a href="https://www.wilsonsons.com.br/wp-content/uploads/2023/06/Tabela-Publica-TCSV-2023-2024.pdf"&gt;https://www.wilsonsons.com.br/wp-content/uploads/2023/06/Tabela-Publica-TCSV-2023-2024.pdf&lt;/a&gt;&lt;span&gt;.&lt;/span&gt;&lt;br/&gt;&lt;span&gt; &lt;/span&gt;&lt;br/&gt;&lt;span&gt;Em caso de dúvidas, continuamos à disposição. 🤝😊&lt;/span&gt;&lt;/p&gt;</t>
  </si>
  <si>
    <t>https://wilsonsons.zendesk.com/api/v2/help_center/pt-br/articles/24678305656077.json</t>
  </si>
  <si>
    <t>https://atendimento.teconsvonline.com.br/hc/pt-br/articles/24678305656077-Como-realizar-a-vincula%C3%A7%C3%A3o-de-despachante-a-BL-no-Tecsys</t>
  </si>
  <si>
    <t>Como realizar a vinculação de despachante a BL no Tecsys?</t>
  </si>
  <si>
    <t>['01HR55S2XPNR4P09HACJZXHKVC', '01HR55S6YYE140Q0HRKMA5KT1X', '01HR55SDMW2Y2JW2R7349QGJMG']</t>
  </si>
  <si>
    <t>['Despachante', 'VinculacaoDeDespachante', 'BL']</t>
  </si>
  <si>
    <t>&lt;p&gt; &lt;/p&gt;
&lt;p&gt;&lt;strong&gt;Referência:&lt;/strong&gt; Tickets #892915 | #869904 | #879275&lt;/p&gt;
&lt;p&gt; &lt;/p&gt;
&lt;p&gt;&lt;em&gt;&lt;strong&gt;FATO GERADOR&lt;/strong&gt;&lt;/em&gt;&lt;/p&gt;
&lt;p&gt;Por qual razão esse tipo de situação ocorre? É problema de parametrização? Está relacionado a uma das nossas automações que não estão rodando?&lt;/p&gt;
&lt;p&gt;&lt;strong&gt;R:&lt;/strong&gt; A plataforma Tecsys foi parametrizada para considerar apenas 1 despachante por cliente, contudo existem casos com dois ou mais despachantes vinculados ao cliente.&lt;/p&gt;
&lt;p&gt;Ex.: O solicitante contratou o serviço de um despachante em São Paulo e eles tem outro CNPJ na Bahia, então os dois precisam estar vinculados ao cliente.&lt;/p&gt;
&lt;p&gt;Em paralelo, já existe uma solicitação de melhoria sendo tratada pela equipe do TI através do fluig 6595017&lt;em&gt;.&lt;/em&gt;&lt;/p&gt;
&lt;p&gt; &lt;/p&gt;
&lt;p&gt;&lt;em&gt;&lt;strong&gt;OBRIGATORIEDADES&lt;/strong&gt;&lt;/em&gt;&lt;/p&gt;
&lt;p&gt;Quem pode solicitar? Quais documentos são considerados autorizações para a realização do procedimento?&lt;/p&gt;
&lt;p&gt;&lt;strong&gt;R:&lt;/strong&gt; Solicitantes que tenham vínculo com BL por procuração ou caso o cliente/despachante que seja outorgado realize a solicitação por e-mail.&lt;/p&gt;
&lt;p&gt; &lt;/p&gt;
&lt;p&gt;&lt;em&gt;&lt;strong&gt;PASSO A PASSO&lt;/strong&gt;&lt;/em&gt;&lt;/p&gt;
&lt;p&gt;a) Verificar se o solicitante realmente possui vinculo com aquele BL por meio de procuração ou autorização;&lt;/p&gt;
&lt;p&gt;b) Consultar se a vinculação do despachante ao cliente foi realizada através do WS Acessos (e realizar a vinculação no caso de uma negativa);&lt;/p&gt;
&lt;p&gt;c) Abrir o Tecsys e seguir a instrução abaixo:&lt;/p&gt;
&lt;p&gt;&lt;em&gt;Documentação &amp;gt; Armazenagem &amp;gt; Controle de documentação &amp;gt; Informar número do BL &amp;gt; Pesquisar&lt;/em&gt;;&lt;/p&gt;
&lt;p&gt; &lt;/p&gt;
&lt;p&gt;&lt;img alt="Exibindo image.png" height="209" src="https://chat.google.com/u/0/api/get_attachment_url?url_type=FIFE_URL&amp;amp;content_type=image%2Fpng&amp;amp;attachment_token=AOo0EEVDB%2F0hcQ31rzhIJKJvmYuOsuTE7Q64CVwAadL8Za6UUwj4QhGdH6%2F64qdfl%2BrJQZage8%2BBTn4z2SckWUWPSD6I5WtPOc1o%2F4n0ld5vGDZbT9Jd73fQDGDASa%2Bb2h6VSz54sF9lBU78HqBoV42ZlJZa9KZ653%2FeKku850OWVmEwF0hPznazsVQf3cMKPl51OiQggeUgBCozTf8kEmYiIrF6Ox2syVHjO2IJ1wVpwKfu1zeSmj%2BNF0e2jSMy3Q4q42lcMoYM9qjB%2FyPB2REViRqQN8CGjLj3gKJ8NZAol4Hz%2FPgPmuunq1fUn8H%2BlO3CNisE8XbEhmPMyN4Wu8AMIaBz8paARnEwknFhu35xjt%2Bldqy%2FcXvV0hWa4VVXvdluDAYlLgnJ%2BmTpsmbcXtkUUOMFmGUCmT0eMPZmOWrZynNWY7ARA0QWFGkR5WjGUBnYVMBie6kwpFa%2FlJk7hiYsxhO77tOUkdriuXaRB3XjGoEpXpn7azUzaqq4TIL948fITMgYVEf1xcmse8Eg9dcAU%2FzZi0BuWFuNLY5kMhwEkjqvq%2FeO0kFIll%2B9h33g2LJ4M%2Fs%3D&amp;amp;sz=w1920-h911" width="1342"/&gt;&lt;/p&gt;
&lt;p&gt; &lt;/p&gt;
&lt;p&gt;d) Notar que quando o campo "despachante" está em branco, o despachante não consegue inserir documentos no liberação documental e por essa razão é necessário realizar a vinculação;&lt;br/&gt;e) Clicar em editar, selecionar o despachante conforme é descrito o "apelido" dele ao consultar no cadastro de parceiros comerciais.&lt;/p&gt;
&lt;p&gt; &lt;/p&gt;</t>
  </si>
  <si>
    <t>https://wilsonsons.zendesk.com/api/v2/help_center/pt-br/articles/24630553363725.json</t>
  </si>
  <si>
    <t>https://atendimento.teconsvonline.com.br/hc/pt-br/articles/24630553363725-COBRAN%C3%87A-DE-ARMAZENAGEM</t>
  </si>
  <si>
    <t>Victoria Dos Santos Santana</t>
  </si>
  <si>
    <t>COBRANÇA DE ARMAZENAGEM</t>
  </si>
  <si>
    <t>&lt;p&gt; &lt;/p&gt;
&lt;p&gt;Quando houver um pedido de alteração na cobrança de armazenagem bem provável que será informado o motivo. &lt;/p&gt;
&lt;ul&gt;
&lt;li&gt;&lt;em&gt;Nesse caso em questão foi solicitado pelo armador afirmando que iria assumir os custos de armazenagem desde a descarga até a retirada do contêiner, como os demais custos gerados dessa operação por que houve uma chegada antecipada no porto de Salvador. &lt;/em&gt;&lt;/li&gt;
&lt;/ul&gt;
&lt;p&gt;Primeiro deve ser feito um Contato interno para Conciliação. conciliacao.tcsv@wilsonsons.com.br&lt;/p&gt;
&lt;p&gt;&lt;img src="https://atendimento.teconsvonline.com.br/hc/article_attachments/24630568353421"/&gt;&lt;/p&gt;
&lt;p&gt;&lt;strong&gt;&lt;em&gt;LEMBRAR DE SEMPRE ENVIAR A EVIDENCIA DA SOLICITAÇÃO DO "COBRAR DE"&lt;/em&gt;&lt;/strong&gt;&lt;/p&gt;
&lt;p&gt;Nesse caso em questão já estava orçada, por isso precisava ser cancelada.&lt;/p&gt;
&lt;p&gt;Módulos de faturamento &amp;gt; Orçamento&lt;/p&gt;
&lt;p&gt; &lt;/p&gt;
&lt;p&gt;&lt;img src="https://atendimento.teconsvonline.com.br/hc/article_attachments/24630553360525"/&gt;&lt;/p&gt;
&lt;p&gt; &lt;/p&gt;
&lt;p&gt; &lt;/p&gt;
&lt;p&gt; &lt;/p&gt;
&lt;p&gt;&lt;strong&gt;Ticket  para exemplo: &lt;span&gt;914785&lt;/span&gt;&lt;/strong&gt;&lt;/p&gt;
&lt;p&gt; &lt;/p&gt;
&lt;p&gt; &lt;/p&gt;
&lt;p&gt; &lt;/p&gt;</t>
  </si>
  <si>
    <t>https://wilsonsons.zendesk.com/api/v2/help_center/pt-br/articles/24629332843661.json</t>
  </si>
  <si>
    <t>https://atendimento.teconsvonline.com.br/hc/pt-br/articles/24629332843661-O-que-fazer-quando-o-CNTR-estiver-com-Minuta-Expirada-para-devolu%C3%A7%C3%A3o</t>
  </si>
  <si>
    <t>O que fazer quando o CNTR estiver com Minuta Expirada para devolução?</t>
  </si>
  <si>
    <t>['01H1MK8705RK7959RXWZZHSDSW', '01HQZPXA7PK6ZW5VK0CFN1DRNH', '01HQZPXH22FK2D5DWE05YN60MM', '01HQZPXQXMR61REKD2YD5765X2']</t>
  </si>
  <si>
    <t>&lt;p&gt;&lt;span&gt;Para efetuar a devolução do contêiner vazio no Depot designado pelo armador, é indispensável emitir a minuta através do site do armador, visando a subsequente devolução do equipamento.&lt;/span&gt;&lt;/p&gt;
&lt;p&gt; &lt;/p&gt;
&lt;p&gt;&lt;span&gt;Após a emissão da minuta, a transportadora procede com o agendamento da devolução através do site do Depot.&lt;/span&gt;&lt;/p&gt;
&lt;p&gt; &lt;/p&gt;
&lt;p&gt;&lt;span&gt;&lt;img src="https://atendimento.teconsvonline.com.br/hc/article_attachments/24629324108429"/&gt;&lt;/span&gt;&lt;/p&gt;
&lt;p&gt; &lt;/p&gt;
&lt;p&gt;&lt;span&gt;Se a transportadora comunicar que a unidade está bloqueada para a emissão de minutas, é recomendável entrar em contato com o cliente ou despachante. Eles devem ser orientados a se comunicar diretamente com o armador, solicitando a fatura. Isso é especialmente importante considerando a data agendada para a devolução, o pagamento e, posteriormente, a liberação do termo para a devolução.&lt;br/&gt;&lt;/span&gt;&lt;/p&gt;
&lt;p&gt; &lt;/p&gt;
&lt;p&gt;&lt;span&gt;Tela do site do Armador CMA com Devolução Expirada.&lt;/span&gt;&lt;/p&gt;
&lt;p&gt;&lt;span&gt;&lt;img src="https://atendimento.teconsvonline.com.br/hc/article_attachments/24629332837261"/&gt;&lt;/span&gt;&lt;/p&gt;
&lt;p&gt; &lt;/p&gt;
&lt;p&gt;Informação de liberação do CNTR para devolução - Armador. &lt;/p&gt;
&lt;p&gt;&lt;img src="https://atendimento.teconsvonline.com.br/hc/article_attachments/24629332838797"/&gt;&lt;/p&gt;
&lt;p&gt; &lt;/p&gt;
&lt;p&gt;&lt;span&gt;Após a liberação concedida pelo armador, conforme apresentado na tela acima, é essencial comunicar imediatamente à transportadora. Essa comunicação permitirá que eles prossigam com os trâmites necessários para efetivar a devolução.&lt;/span&gt;&lt;/p&gt;
&lt;p&gt; &lt;/p&gt;
&lt;p&gt;&lt;span&gt;Observação: A devolução deve ser realizada na data autorizada pelo armador. Se não for possível agendar a devolução no depot na data especificada pelo armador, é necessário reiniciar o processo para a liberação da minuta em uma nova data.&lt;/span&gt;&lt;/p&gt;
&lt;p&gt; &lt;/p&gt;
&lt;p&gt;&lt;a href="https://atendimento.teconsvonline.com.br/agent/tickets/914228"&gt;https://wilsonsons.zendesk.com/agent/tickets/914228&lt;/a&gt;&lt;/p&gt;
&lt;p&gt;&lt;a href="https://atendimento.teconsvonline.com.br/agent/tickets/913752"&gt;https://wilsonsons.zendesk.com/agent/tickets/913752&lt;/a&gt;&lt;/p&gt;
&lt;p&gt; &lt;/p&gt;
&lt;p&gt; &lt;/p&gt;</t>
  </si>
  <si>
    <t>https://wilsonsons.zendesk.com/api/v2/help_center/pt-br/articles/24627515210381.json</t>
  </si>
  <si>
    <t>https://atendimento.teconsvonline.com.br/hc/pt-br/articles/24627515210381-Cadastro-de-booking</t>
  </si>
  <si>
    <t>Cadastro de booking</t>
  </si>
  <si>
    <t>['BOOKING', 'DEPOT', 'RESERVA']</t>
  </si>
  <si>
    <t>&lt;p&gt; &lt;/p&gt;
&lt;p&gt;O cadastro de booking devem sempre ser direcionada para depot quando for retirada de vazio e para o planners e bookings quando for no Tecon. &lt;/p&gt;
&lt;p&gt; &lt;/p&gt;
&lt;p&gt;Pode ser direcionadas de tais formas:&lt;/p&gt;
&lt;ul&gt;
&lt;li&gt; Gentileza verificar envio de EDI para cadastro da reserva X. &lt;/li&gt;
&lt;/ul&gt;
&lt;p&gt;Caso ocorra alguma mudança no EDI, como mudança de equipamento de HC para DRY, ou de 20 para 40, da mesma forma deve ser questionado aos setores.&lt;/p&gt;
&lt;ul&gt;
&lt;li&gt;Pessoal, qual motivo os agendamento desse booking X estão sendo barrados? Houve atualização para a reserva do mesmo?&lt;/li&gt;
&lt;/ul&gt;
&lt;p&gt;Se caso houver mudança na quantidade para mais ou para menos da mesma forma.&lt;/p&gt;
&lt;ul&gt;
&lt;li&gt;Pessoal, gentileza verificar se houve atualização no EDI do booking X.&lt;/li&gt;
&lt;/ul&gt;
&lt;p&gt; &lt;/p&gt;
&lt;p&gt; &lt;/p&gt;</t>
  </si>
  <si>
    <t>https://wilsonsons.zendesk.com/api/v2/help_center/pt-br/articles/24503978193677.json</t>
  </si>
  <si>
    <t>https://atendimento.teconsvonline.com.br/hc/pt-br/articles/24503978193677-COMERCIAL</t>
  </si>
  <si>
    <t>COMERCIAL</t>
  </si>
  <si>
    <t>['CONTATOS', 'COMERCIAL']</t>
  </si>
  <si>
    <t>&lt;p&gt;&lt;span&gt;&lt;strong&gt;Rôbert Ramos Castro&lt;/strong&gt;&lt;br/&gt;Pricing | Inteligência de Mercado&lt;br/&gt;+55 71 99178-1183 | +55 71 2106-15&lt;br/&gt;&lt;br/&gt;&lt;strong&gt;Bruno Souza&lt;/strong&gt;&lt;br/&gt;bruno.souza@wilsonsons.com.br&lt;br/&gt;Especialista Comercial de Projetos e Granel &lt;br/&gt;Tecon Salvador &lt;br/&gt;Celular: +55 71 99192-6616 &lt;br/&gt;&lt;strong&gt;&lt;br/&gt;Maicon Sousa&lt;/strong&gt;&lt;br/&gt;maicon.sousa@wilsonsons.com.br&lt;br/&gt;Executivo Comercial - Importação&lt;br/&gt;+55 71 9 9656-7089&lt;strong&gt;&lt;br/&gt;&lt;/strong&gt;&lt;br/&gt;&lt;strong&gt;Karoline Torres&lt;br/&gt;&lt;/strong&gt;karoline.torres@wilsonsons.com.br&lt;br/&gt;Executiva Comercial Importação&lt;br/&gt;Tecon Salvador &lt;br/&gt;(71) 98152-3650&lt;br/&gt;&lt;br/&gt;&lt;strong&gt;Cléo Maryan&lt;br/&gt;&lt;/strong&gt;cleo.maryan@wilsonsons.com.br&lt;strong&gt;&lt;br/&gt;&lt;/strong&gt;Coordenadora Comercial - Exportação&lt;br/&gt;Tecon Salvador &amp;amp; Centro Logístico Salvador&lt;br/&gt;Cel: + 55 71 9 9178 1278&lt;br/&gt;&lt;br/&gt;Vanessa Queiroz&lt;br/&gt;vanessa.queiroz@wilsonsons.com.br&lt;br/&gt;Executiva Comercial Cabotagem&lt;br/&gt;+55 71 2106-1500 |+55 71 98187-4394&lt;br/&gt;&lt;br/&gt;&lt;strong&gt;Patricia Muiños&lt;br/&gt;&lt;/strong&gt;patricia.muinos@wilsonsons.com.br&lt;br/&gt;Coordenadora Comercial&lt;br/&gt;Tecon Salvador&lt;br/&gt;Mobile: +55 71 98199-1272&lt;/span&gt;&lt;/p&gt;</t>
  </si>
  <si>
    <t>https://wilsonsons.zendesk.com/api/v2/help_center/pt-br/articles/24503908210701.json</t>
  </si>
  <si>
    <t>https://atendimento.teconsvonline.com.br/hc/pt-br/articles/24503908210701-Telefones-Atendimento</t>
  </si>
  <si>
    <t>Fale conosco</t>
  </si>
  <si>
    <t>Telefones Atendimento</t>
  </si>
  <si>
    <t>['CONTATOS', 'ATENDIMENTO', 'PLANTÃO']</t>
  </si>
  <si>
    <t>&lt;div&gt;+55 71 99627-8921 -&amp;gt;Renata Rocha 10h até 19h&lt;br/&gt;+55 71 99178-1189 -&amp;gt; Matheus Almeida 09h até 18h&lt;br/&gt;+55 71 99704-5913 -&amp;gt; Luise Britto 09h até 18h&lt;br/&gt;+55 71 98104-7898 -&amp;gt;Victor Costa 08h até 17h&lt;br/&gt;+55 71 98174-3564 -&amp;gt;Fernanda Almeida 8:30 até 17:30&lt;br/&gt;+55 71 98199-1271 -&amp;gt;Daniela Noblat (Atendimento Armazém Geral) 08h até 17h&lt;br/&gt;E-mail: atendimento.tcsv@wilsonsons.com.br - atendemos no e-mail até 19h&lt;br/&gt;Chat (&lt;a href="http://portal.teconsvonline.com.br/" target="_blank"&gt;http://portal.teconsvonline.com.br/&lt;/a&gt;) De 07h até 22h ( segunda à sexta)// Sábado 8h até 20h&lt;br/&gt;Domingo e feriados 8h até 18h&lt;br/&gt;&lt;br/&gt;Whatsapp (&lt;a href="https://api.whatsapp.com/send?phone=557121061500" target="_blank"&gt;https://api.whatsapp.com/send?phone=557121061500&lt;/a&gt;) atendemos até 19h&lt;br/&gt;Cadastre o nosso número 71 2106-1500 (&lt;a href="https://api.whatsapp.com/send?phone=557121061500" target="_blank"&gt;https://api.whatsapp.com/send?phone=557121061500&lt;/a&gt;) e fale conosco&lt;br/&gt;Regime de plantão: 7198104-7898, caso não consiga contato, gentileza utilizar o chat do portal.&lt;/div&gt;
&lt;div&gt;
&lt;div&gt;
&lt;div&gt;
&lt;div&gt;&lt;/div&gt;
&lt;/div&gt;
&lt;/div&gt;
&lt;/div&gt;</t>
  </si>
  <si>
    <t>https://wilsonsons.zendesk.com/api/v2/help_center/pt-br/articles/24503817095821.json</t>
  </si>
  <si>
    <t>https://atendimento.teconsvonline.com.br/hc/pt-br/articles/24503817095821-CONTATOS-DEPOT</t>
  </si>
  <si>
    <t>CONTATOS DEPOT</t>
  </si>
  <si>
    <t>['emails', 'depot', 'EMAILS INTERNOS', 'CONTATOS']</t>
  </si>
  <si>
    <t>&lt;div&gt;Fábio Rosário (Depot) - tel:98117-9156&lt;br/&gt;Raimundo tel:98187-4104&lt;br/&gt;Centro Logístico Salvador&lt;br/&gt;55 (71) 3293-9259&lt;br/&gt;Aloisio depot - 98124 -3689&lt;br/&gt;Tel. 55 71 3293 - 9251  &lt;br/&gt;&lt;br/&gt;Depot Salvador&lt;br/&gt;Tel. 55 71 3293 - 9251  &lt;br/&gt;&lt;br/&gt;07:00 às 21:30h devolução importação&lt;br/&gt;07:00 às 21:00h agendamento para coleta.&lt;br/&gt;Sábado 07:00 às 15:00h&lt;br/&gt;Domingo fechado&lt;br/&gt;&lt;br/&gt;Anderson (GATE)&lt;br/&gt;+55 71 981874104&lt;br/&gt;&lt;br/&gt;aloisio.junior@wilsonsons.com.br,&lt;br/&gt;anderson.oliveira@wilsonsons.com.br,&lt;br/&gt;fabio.reis@wilsonsons.com.br,&lt;br/&gt;fabio.rosario@wilsonsons.com.br,&lt;br/&gt;jeronimo.ribas@wilsonsons.com.br,&lt;br/&gt;luciene.santos@wilsonsons.com.br,&lt;br/&gt;marilia.silva@wilsonsons.com.br,&lt;br/&gt;samuel.pinheiro@wilsonsons.com.br,&lt;/div&gt;
&lt;div&gt;&lt;/div&gt;
&lt;div&gt;&lt;span&gt;&lt;/span&gt;&lt;/div&gt;</t>
  </si>
  <si>
    <t>https://wilsonsons.zendesk.com/api/v2/help_center/pt-br/articles/24503739866381.json</t>
  </si>
  <si>
    <t>https://atendimento.teconsvonline.com.br/hc/pt-br/articles/24503739866381-CSC-fornecedores-tratativas</t>
  </si>
  <si>
    <t>CSC fornecedores - tratativas</t>
  </si>
  <si>
    <t>['emails', 'CONTATOS', 'FORNECEDORES']</t>
  </si>
  <si>
    <t>&lt;p&gt;helder.santos@wilsonsons.com.br,&lt;br/&gt;marcelo.filipe@wilsonsons.com.br,&lt;br/&gt;rafaela.fernandes@wilsonsons.com.br,&lt;br/&gt;luiza.carvalho@wilsonsons.com.br,&lt;br/&gt;ernani.cabanas@wilsonsons.com.br,&lt;br/&gt;&lt;br/&gt;Ana Maria: (71) 999493719 &lt;br/&gt;Helder Santos: (71) 996850656 &lt;br/&gt;Marcelo Filipe: (71) 981874392 &lt;br/&gt;Rafaela Fernandes: (71) 996030826&lt;/p&gt;</t>
  </si>
  <si>
    <t>https://wilsonsons.zendesk.com/api/v2/help_center/pt-br/articles/24503660244237.json</t>
  </si>
  <si>
    <t>https://atendimento.teconsvonline.com.br/hc/pt-br/articles/24503660244237-E-MAILS-INTERNOS</t>
  </si>
  <si>
    <t>E-MAILS INTERNOS</t>
  </si>
  <si>
    <t>['emails', 'EMAILS INTERNOS', 'CONTATOS']</t>
  </si>
  <si>
    <t>&lt;p&gt;atendimento.tcsv@wilsonsons.com.br,&lt;br/&gt;armazenagem.tcsv@wilsonsons.com.br,&lt;br/&gt;**************************************************************&lt;br/&gt;documentacao.tcsv@wilsonsons.com.br,&lt;br/&gt;contabilidade.salvador@wilsonsons.com.br,&lt;br/&gt;cadastro.tcsv@wilsonsons.com.br,&lt;br/&gt;conciliacao.tcsv@wilsonsons.com.br,&lt;br/&gt;faturamento.teconsv@wilsonsons.com.br,&lt;br/&gt;contasreceber.tcsv@wilsonsons.com.br,&lt;br/&gt;matheus.mandarino@wilsonsons.com.br,&lt;br/&gt;joaofelipe.portugal@wilsonsons.com.br,&lt;br/&gt;matheus.cunha@wilsonsons.com.br,&lt;br/&gt;matheus.cunha@wilsonsons.com.br,&lt;br/&gt;guilherme.antunes@wilsonsons.com.br,&lt;br/&gt;**************************************************************&lt;br/&gt;armazem.tcsv@wilsonsons.com.br, &lt;br/&gt;valdnei.santos@wilsonsons.com.br, &lt;br/&gt;ricardo.monteiro@wilsonsons.com.br, &lt;br/&gt;fabio.santos@wilsonsons.com.br, &lt;br/&gt;vanessa.lima@wilsonsons.com.br, &lt;br/&gt;andre.luis@wilsonsons.com.br,&lt;br/&gt;verena.souza@wilsonsons.com.br,&lt;br/&gt;rafael.ribeiro@wilsonsons.com.br,&lt;br/&gt;renato.cerqueira@wilsonsons.com.br,&lt;br/&gt;**************************************************************&lt;br/&gt;clearance.tcsv@wilsonsons.com.br,&lt;br/&gt;sop@wilsonsons.com.br,&lt;br/&gt;ceq@wilsonsons.com.br,&lt;br/&gt;triagem.tcsv@wilsonsons.com.br,&lt;br/&gt;planners.tcsv@wilsonsons.com.br,&lt;br/&gt;bookings.tcsv@wilsonsons.com.br,&lt;br/&gt;reefer.tcsv@wilsonsons.com.br,&lt;br/&gt;operation.tcsv@wilsonsons.com.br,&lt;br/&gt;marcelo.borges@wilsonsons.com.br,&lt;br/&gt;leandro.chies@wilsonsons.com.br,&lt;br/&gt;**************************************************************&lt;br/&gt;recrutamento.salvador@wilsonsons.com.br,&lt;br/&gt;dho.teconsv@teconsalvador.com.br,&lt;br/&gt;**************************************************************&lt;br/&gt;segurancapatrimonial.tcsv@wilsonsons.com.br,&lt;br/&gt;recepcao.tcsv@wilsonsons.com.br,&lt;br/&gt;mauricio.politano@wilsonsons.com.br,&lt;br/&gt;fernando.borba@wilsonsons.com.br,&lt;br/&gt;luiza.carvalho@wilsonsons.com.br,&lt;br/&gt;anamaria.moura@wilsonsons.com.br,&lt;br/&gt;**************************************************************&lt;br/&gt;ademir.santos@wilsonsons.com.br,&lt;br/&gt;amauri.leal@wilsonsons.com.br,&lt;br/&gt;lucas.ventura@wilsonsons.com.br,&lt;br/&gt;pedro.jesus@wilsonsons.com.br,&lt;br/&gt;ramon.almeida@wilsonsons.com.br,&lt;br/&gt;marcio.silva@wilsonsons.com.br,&lt;br/&gt;denis.reis@wilsonsons.com.br,&lt;br/&gt;**************************************************************&lt;br/&gt;luis.guedes@wilsonsons.com.br,&lt;br/&gt;josegoncalo.junior@wilsonsons.com.br,&lt;br/&gt;sms@teconsalvador.com.br,&lt;br/&gt;bruno.ambrosi@wilsonsons.com.br,&lt;br/&gt;anselmo.santo@wilsonsons.com.br,&lt;/p&gt;
&lt;p&gt;*************************************************************&lt;br/&gt;faturamento.teconsv@wilsonsons.com.br&lt;br/&gt;atendimento.ag@wilsonsons.com.br&lt;br/&gt;armazenagem.tcsv@wilsonsons.com.br,&lt;/p&gt;
&lt;p&gt;**************************************************************&lt;br/&gt;documentacao.tcsv@wilsonsons.com.br,&lt;br/&gt;cadastro.tcsv@wilsonsons.com.br,&lt;br/&gt;conciliacao.tcsv@wilsonsons.com.br,&lt;br/&gt;contasreceber.tcsv@wilsonsons.com.br,&lt;br/&gt;contabilidade.salvador@wilsonsons.com.br,&lt;br/&gt;**************************************************************&lt;br/&gt;clearance.tcsv@wilsonsons.com.br,&lt;br/&gt;sop@wilsonsons.com.br,&lt;br/&gt;ceq@wilsonsons.com.br,&lt;br/&gt;planners.tcsv@wilsonsons.com.br,&lt;br/&gt;reefer@wilsonsons.com.br,&lt;br/&gt;operation.tcsv@wilsonsons.com.br&lt;br/&gt;**************************************************************&lt;br/&gt;estimators.depot.tcsv@wilsonsons.com.br,&lt;br/&gt;booking.depot.tcsv@wilsonsons.com.br,&lt;br/&gt;supervisor.depot.tcsv@wilsonsons.com.br&lt;br/&gt;**************************************************************&lt;br/&gt;recrutamento.salvador@wilsonsons.com.br&lt;br/&gt;**************************************************************&lt;br/&gt;segurancapatrimonial.tcsv@wilsonsons.com.br,&lt;br/&gt;**************************************************************&lt;br/&gt;marilia.silva@wilsonsons.com.br&lt;br/&gt;mauricio.politano@wilsonsons.com.br,&lt;br/&gt;Fernando.borba@wilsonsons.com.br&lt;/p&gt;</t>
  </si>
  <si>
    <t>https://wilsonsons.zendesk.com/api/v2/help_center/pt-br/articles/24500388349325.json</t>
  </si>
  <si>
    <t>https://atendimento.teconsvonline.com.br/hc/pt-br/articles/24500388349325-AGENDAMENTOS-ARMAZ%C3%89M-DESOVA-ACOMPANHADA</t>
  </si>
  <si>
    <t>AGENDAMENTOS ARMAZÉM - DESOVA ACOMPANHADA</t>
  </si>
  <si>
    <t>['desova', 'acompanhada', 'Agendamentos', 'Armazém']</t>
  </si>
  <si>
    <t>&lt;div&gt;&lt;span&gt;Para garantir que todos estejamos na mesma página, e para reforçar o procedimento, compartilho as instruções do Armazém referentes às solicitações de desova acompanhada.&lt;/span&gt;&lt;/div&gt;
&lt;div&gt;&lt;span&gt;&lt;/span&gt;&lt;/div&gt;
&lt;div&gt;&lt;span&gt;Isso se aplica tanto aos processos que devem permanecer no Armazém quanto à bagagem que geralmente passa por desova para inspeção e é posteriormente estufada no container.&lt;/span&gt;&lt;/div&gt;
&lt;div&gt;&lt;/div&gt;
&lt;div&gt;&lt;img src="https://atendimento.teconsvonline.com.br/hc/article_attachments/24500388321293"/&gt;&lt;/div&gt;</t>
  </si>
  <si>
    <t>https://wilsonsons.zendesk.com/api/v2/help_center/pt-br/articles/24500060040333.json</t>
  </si>
  <si>
    <t>https://atendimento.teconsvonline.com.br/hc/pt-br/articles/24500060040333-SOBRE-ABERTURA-DE-GATE</t>
  </si>
  <si>
    <t>SOBRE ABERTURA DE GATE</t>
  </si>
  <si>
    <t>['GATE']</t>
  </si>
  <si>
    <t>&lt;p&gt; &lt;/p&gt;
&lt;p&gt; &lt;/p&gt;
&lt;p&gt;As informações de gate e deadline expostas no portal são conforme os dados enviados pelo armador, o terminal apenas segue como instruído por eles, quaisquer dúvidas ou ajustes você pode verificar diretamente com o armador.&lt;/p&gt;</t>
  </si>
  <si>
    <t>https://wilsonsons.zendesk.com/api/v2/help_center/pt-br/articles/24499751348109.json</t>
  </si>
  <si>
    <t>https://atendimento.teconsvonline.com.br/hc/pt-br/articles/24499751348109-Como-negar-entrada-antecipada</t>
  </si>
  <si>
    <t>Como negar entrada antecipada?</t>
  </si>
  <si>
    <t>['ANTECIPAÇÃO', 'GATE', 'ENTRADA ANTECIPADA']</t>
  </si>
  <si>
    <t>&lt;p&gt; &lt;/p&gt;
&lt;p&gt;&lt;span&gt;Boa tarde, tudo bem? &lt;/span&gt;&lt;br/&gt;&lt;span&gt;😊️&lt;/span&gt;&lt;br/&gt;&lt;span&gt; &lt;/span&gt;&lt;br/&gt;&lt;span&gt;Devido ao atual cenário de ocupação em nosso terminal, infelizmente, neste momento as entradas antecipadas estão temporariamente suspensas, assim que houver alteração no cenário atual o serviço será novamente liberado em nosso portal.&lt;/span&gt;&lt;/p&gt;
&lt;p&gt;&lt;br/&gt;&lt;span&gt;Gostaria muito de poder ajudar mas nesse caso trata-se de uma questão operacional complexa e que estamos fazendo todo o possível para gerar uma melhora o quanto antes. &lt;/span&gt;&lt;/p&gt;
&lt;p&gt; &lt;/p&gt;
&lt;p&gt;&lt;span&gt;Quaisquer dúvidas, estamos à disposição! &lt;/span&gt;&lt;/p&gt;</t>
  </si>
  <si>
    <t>https://wilsonsons.zendesk.com/api/v2/help_center/pt-br/articles/24466294676109.json</t>
  </si>
  <si>
    <t>https://atendimento.teconsvonline.com.br/hc/pt-br/articles/24466294676109-DIRECIONAMENTO-DA-CARGA</t>
  </si>
  <si>
    <t>DIRECIONAMENTO DA CARGA</t>
  </si>
  <si>
    <t>&lt;p&gt; &lt;/p&gt;
&lt;p&gt;O Direcionamento é enviado pelo despachante via e-mail com as informações de NCM e FREE TIME.&lt;/p&gt;
&lt;p&gt;Sendo eles&lt;/p&gt;
&lt;ul&gt;
&lt;li&gt;NCM - Nomenclatura Comum do Mercosu - &lt;em&gt;Fundamental para determinar os tributos envolvidos nas operações de comércio exterior e de saída de produtos industrializados.&lt;/em&gt;
&lt;/li&gt;
&lt;li&gt;FREE TIME - &lt;em&gt;Acordo do tempo livre em dias corridos em que o importador/exportador poderá ficar em posse do container sem o pagamento da Demurrage.&lt;/em&gt;
&lt;/li&gt;
&lt;/ul&gt;
&lt;p&gt;Eles devem fazer o agendamento de serviço em análise crítica e a mesma ser aprovada para seguirmos com o direcionamento.&lt;strong&gt; (Quem aprova é o armazém).&lt;/strong&gt;&lt;/p&gt;
&lt;p&gt;Print exemplo: &lt;/p&gt;
&lt;p&gt;&lt;img src="https://atendimento.teconsvonline.com.br/hc/article_attachments/24466294667021"/&gt;&lt;/p&gt;
&lt;p&gt;Deve gerar um e-mail de contato interno com a Armazenagem, Armazém, CEQ e SOP&lt;/p&gt;
&lt;ul&gt;
&lt;li&gt;Armazenagem - Segue direcionamento DSA, gentileza sinalizar caso haja pendência documental. BL: X CE: X - &lt;em&gt;Sempre colocando Print do direcionamento no portal aprovado.&lt;/em&gt;
&lt;/li&gt;
&lt;li&gt;Armazém - Notar direcionamento DSA que realizará carregamento crossdocking. Enviaremos os dados de agendamento assim que disponibilizados. NCM: X aprovada portal. FREE TIME: X DIAS - &lt;em&gt;Sempre adicionando print da Análise crítica aprovada. &lt;/em&gt;
&lt;/li&gt;
&lt;li&gt;
&lt;div&gt;CEQ/SOP - Posicionar a unidade X em nosso armazém assim que descarrega do navio/viagem.&lt;/div&gt;
&lt;div&gt;&lt;/div&gt;
&lt;/li&gt;
&lt;/ul&gt;
&lt;p&gt;Dessa forma já pode informar ao cliente :&lt;/p&gt;
&lt;p&gt;Direcionamento notado. Ficamos no aguardo do complemento da documentação e dados para agendamento. Indicamos acompanhar a operação e liberação do navio/viagem em nosso portal. Quaisquer dúvidas, estamos à disposição!&lt;/p&gt;
&lt;p&gt; &lt;/p&gt;
&lt;p&gt; &lt;/p&gt;</t>
  </si>
  <si>
    <t>https://wilsonsons.zendesk.com/api/v2/help_center/pt-br/articles/24416965172109.json</t>
  </si>
  <si>
    <t>https://atendimento.teconsvonline.com.br/hc/pt-br/articles/24416965172109-Como-seguir-com-desist%C3%AAncia-de-Embarque-Exporta%C3%A7%C3%A3o</t>
  </si>
  <si>
    <t>Como seguir com desistência de Embarque (Exportação) ?</t>
  </si>
  <si>
    <t>['01HKQZCVB7HYTHKD6J2H5JQZFW', '01HQDQYQSQ51EJ06NDYZZVQMMQ']</t>
  </si>
  <si>
    <t>&lt;p&gt; &lt;/p&gt;
&lt;p&gt;Para seguir com o processo de desistência de exportação, gentileza informar o CNPJ que assumirá os custos abaixo:&lt;br/&gt;&lt;br/&gt;- Armazenagem exportação&lt;br/&gt;- Handling in / Handling out&lt;br/&gt;- Transferência de lote&lt;br/&gt;- Serviço de Fornecimento energia elétrica (Refeers)&lt;br/&gt;- ISPS&lt;br/&gt;&lt;br/&gt;Ressalto que demais custos podem ser incididos em caso de solicitações do cliente, órgãos anuentes ou para que seja mantida a integridade da unidade e da carga.&lt;br/&gt;&lt;br/&gt;Segue procedimento para coleta da unidade:&lt;br/&gt;&lt;br/&gt;- Gentileza enviar o PDF da NF de devolução;&lt;br/&gt;- Informar dados completos da transportadora e do condutor que realizarão a coleta;&lt;br/&gt;- Informar o tipo de veiculo, placa cavalo e placa carreta;&lt;br/&gt;- Informar data de retirada da unidade.&lt;/p&gt;
&lt;p&gt;&lt;strong&gt;Ex: Ticket #899823&lt;/strong&gt;&lt;/p&gt;
&lt;p&gt;&lt;span&gt;Abaixo instruções para agendamento:&lt;/span&gt;&lt;br/&gt;&lt;span&gt; &lt;/span&gt;&lt;br/&gt;&lt;span&gt;Agendar a desistência de embarque é bem simples!😉&lt;/span&gt;&lt;br/&gt;&lt;span&gt; &lt;/span&gt;&lt;br/&gt;&lt;span&gt;1º Acesse a aba "Agendamento de container", em seguida selecione a opção Agendamento;&lt;/span&gt;&lt;br/&gt;&lt;img src="/attachments/token/r2qJ5nxzOmrPAregrncq0ITAg/?name=image.png"/&gt;&lt;br/&gt;&lt;span&gt;2° Selecione a opção "Novo Agendamento";&lt;/span&gt;&lt;br/&gt;&lt;img src="/attachments/token/fW5bO2qrAVFKjebu0G8kRL5Ew/?name=image.png"/&gt;&lt;br/&gt;&lt;span&gt;3° Selecione a modalidade desistência de exportação e preencha todos os dados solicitados.&lt;/span&gt;&lt;br/&gt;&lt;img src="/attachments/token/EDXyoRq2pxdRggKXvuaDPtbHV/?name=image.png"/&gt;&lt;br/&gt;&lt;span&gt;4º Pronto, agora basta escolher data/horário e finalizar o agendamento.&lt;/span&gt;&lt;br/&gt;&lt;span&gt; &lt;/span&gt;&lt;br/&gt;&lt;img src="/attachments/token/y0OFLGjnU2RNCR4c2m7Vh8NWR/?name=image.png"/&gt;&lt;br/&gt;&lt;span&gt; &lt;/span&gt;&lt;br/&gt;&lt;span&gt;Qualquer dúvida, estamos à disposição! 😉🤝🏾&lt;/span&gt;&lt;/p&gt;</t>
  </si>
  <si>
    <t>https://wilsonsons.zendesk.com/api/v2/help_center/pt-br/articles/24415735639053.json</t>
  </si>
  <si>
    <t>https://atendimento.teconsvonline.com.br/hc/pt-br/articles/24415735639053-UNIDADE-COM-LACRE-AVARIADO</t>
  </si>
  <si>
    <t>UNIDADE COM LACRE AVARIADO</t>
  </si>
  <si>
    <t>['AVARIALACRE']</t>
  </si>
  <si>
    <t>&lt;p&gt; &lt;/p&gt;
&lt;p&gt;&lt;span&gt;Durante a operação de descarga do navio, é possível identificar algumas avarias nas unidades, tais como containers amassados, lacres avariados ou ausência de lacre.&lt;/span&gt;&lt;/p&gt;
&lt;p&gt;&lt;span&gt;Dessa forma, como parte do procedimento padrão, a Segurança Patrimonial da TCSV envia um e-mail contendo as informações necessárias&lt;/span&gt;:&lt;/p&gt;
&lt;ul&gt;
&lt;li&gt;Horário da identificação da avaria/falta.&lt;/li&gt;
&lt;li&gt;O líder de operações do turno que foi acionado para verificação. &lt;/li&gt;
&lt;li&gt;Número da ocorrência.&lt;/li&gt;
&lt;li&gt;O cais da operação.&lt;/li&gt;
&lt;li&gt;Nome do navio.&lt;/li&gt;
&lt;li&gt;Unidades que foram identificadas com avaria/falta.&lt;/li&gt;
&lt;li&gt;Lacre de substituição.&lt;/li&gt;
&lt;li&gt;Fotos da ocorrência.&lt;/li&gt;
&lt;/ul&gt;
&lt;p&gt;Primeira etapa é verificar quem é o importador da unidade e despachante tanto no portal quanto no Tecsys sempre pesquisando pelo número da unidade.&lt;/p&gt;
&lt;p&gt;Segue print de exemplo.&lt;/p&gt;
&lt;p&gt;Tecsys:&lt;img src="https://atendimento.teconsvonline.com.br/hc/article_attachments/24415735632781"/&gt; Portal:&lt;/p&gt;
&lt;p&gt;&lt;img src="https://atendimento.teconsvonline.com.br/hc/article_attachments/24415723749005"/&gt;&lt;/p&gt;
&lt;p&gt;&lt;span&gt;A segunda etapa envolve a identificação de quaisquer tratativas existentes relacionadas a essas unidades ou BL em questão, a fim de auxiliar na determinação das pessoas que precisam ser contatadas por e-mail. Caso não haja tratativas registradas para essas condições específicas, também é possível identificar os destinatários através do nome do cliente em questão.&lt;/span&gt;&lt;/p&gt;
&lt;p&gt;&lt;em&gt;&lt;span&gt;Sempre priorizar a consulta das tratativas mais recentes para verificar os e-mails.&lt;/span&gt;&lt;/em&gt;&lt;/p&gt;
&lt;p&gt;&lt;img src="https://atendimento.teconsvonline.com.br/hc/article_attachments/24415723750797"/&gt;&lt;/p&gt;
&lt;p&gt;A ultima etapa é a conclusão do e-mail. &lt;/p&gt;
&lt;p&gt;Informar:&lt;/p&gt;
&lt;ol&gt;
&lt;li&gt;Navio/viagem&lt;/li&gt;
&lt;li&gt;Unidade com avaria.&lt;/li&gt;
&lt;li&gt;O que foi identificado.&lt;/li&gt;
&lt;li&gt;Qual ação foi tomada.&lt;/li&gt;
&lt;li&gt;Imagens para identificação.&lt;/li&gt;
&lt;/ol&gt;
&lt;p&gt;Exemplo:&lt;/p&gt;
&lt;p&gt;&lt;span&gt;Informo que, durante a operação de descarga do navio Bartolomeu Dias, identificamos que as unidades SUDU7635928&lt;/span&gt;&lt;strong&gt;, e&lt;span&gt; &lt;/span&gt;&lt;/strong&gt;&lt;span&gt;MRKU7094664 desembarcou com os lacres avariados, eles foram substituídos com o lacre Wilson Sons (TECON SV) Nº 019411 e 019344 respectivamente.&lt;/span&gt;&lt;/p&gt;
&lt;p&gt; &lt;/p&gt;
&lt;p&gt;&lt;em&gt;&lt;span&gt;TICKET PARA EXEMPLO DE RECEBIMENTO &lt;span&gt;#913277&lt;/span&gt;&lt;/span&gt;&lt;span&gt;&lt;/span&gt;&lt;/em&gt;&lt;/p&gt;
&lt;p&gt;&lt;em&gt;&lt;span&gt;TICKET PARA EXEMPLO DE ENVIO &lt;span&gt;#913302&lt;/span&gt;&lt;/span&gt;&lt;/em&gt;&lt;/p&gt;
&lt;p&gt; &lt;/p&gt;</t>
  </si>
  <si>
    <t>https://wilsonsons.zendesk.com/api/v2/help_center/pt-br/articles/24415359538957.json</t>
  </si>
  <si>
    <t>https://atendimento.teconsvonline.com.br/hc/pt-br/articles/24415359538957-O-que-fazer-quando-receber-uma-contesta%C3%A7%C3%A3o-de-fatura</t>
  </si>
  <si>
    <t>O que fazer quando receber uma contestação de fatura?</t>
  </si>
  <si>
    <t>['01HQDJ3K9WZV3NAYCSEQKWVD98', '01HQDJ3TH752A734MG7NWZXQP6']</t>
  </si>
  <si>
    <t>['Faturamento', 'Contestação de fatura']</t>
  </si>
  <si>
    <t>&lt;p&gt; &lt;/p&gt;
&lt;p&gt;&lt;strong&gt;Referência:&lt;/strong&gt; Tickets #913236 | #913057 | #913239&lt;/p&gt;
&lt;p&gt; &lt;/p&gt;
&lt;p&gt;Ao recebermos uma contestação de fatura, do cliente ou transportador, devemos analisar o processo de maneira minuciosa.&lt;/p&gt;
&lt;p&gt;[inserir o descritivo da análise]&lt;/p&gt;
&lt;p&gt; &lt;/p&gt;
&lt;p&gt;&lt;strong&gt;1.1)&lt;/strong&gt; Pesquisar se existe no Zendesk alguma tratativa de direcionamento de cobrança que possa não ter sido atendida pelo setor de cadastro, conciliação ou faturamento. Ex.: pesquisar número de container, booking ou qualquer referência do processo.&lt;/p&gt;
&lt;p&gt;OU&lt;/p&gt;
&lt;p&gt;&lt;strong&gt;1.2)&lt;/strong&gt; Analisar se ocorreu algum delay ou dificuldade operacional no processo que possa justificar a divergência. Ex.: Divergência de booking e morosidade no retorno do time (Ticket #907571).&lt;/p&gt;
&lt;p&gt; &lt;/p&gt;
&lt;p&gt;&lt;strong&gt;2)&lt;/strong&gt; Verificar no Tecsys a instrução cadastrada de "Cobrar de" no menu de faturamento, seguindo o caminho &lt;em&gt;Faturamento &amp;gt; Faturamento &amp;gt; Faturamento OS&lt;/em&gt;.&lt;/p&gt;
&lt;p&gt; &lt;/p&gt;
&lt;p&gt;&lt;strong&gt;3)&lt;/strong&gt; Consultar NF no portal através do &lt;em&gt;Módulo Faturamento &amp;gt; Nota Fiscal Tecon&lt;/em&gt;&lt;/p&gt;
&lt;p&gt; &lt;/p&gt;
&lt;p&gt;&lt;img src="https://atendimento.teconsvonline.com.br/hc/article_attachments/24415350105229"/&gt;&lt;/p&gt;
&lt;p&gt; &lt;/p&gt;
&lt;p&gt; &lt;/p&gt;
&lt;p&gt;&lt;u&gt;______________________________________________________________________________________________________________&lt;/u&gt;&lt;/p&gt;
&lt;p&gt; &lt;/p&gt;
&lt;p&gt;Abrir um contato interno com a conciliação, faturamento, operações ou setor responsável com o seguinte descritivo:&lt;/p&gt;
&lt;p&gt;Título: CONTATO INTERNO - RES: Expedição Tecon Salvador. Nota Fiscal: XXXXXX | RPS: XXXXXX&lt;/p&gt;
&lt;p&gt; &lt;/p&gt;
&lt;p&gt;&lt;em&gt;"Conciliação, bom dia!&lt;/em&gt;&lt;/p&gt;
&lt;p&gt;&lt;em&gt;Gentileza validar se a cobrança de tal servico, faturada através da NF XXXXXX, é procedente para a transportadora/cliente."&lt;/em&gt;&lt;/p&gt;
&lt;p&gt; &lt;/p&gt;
&lt;p&gt;Retornar ao cliente com um script similar a:&lt;/p&gt;
&lt;p&gt; &lt;/p&gt;
&lt;p&gt;&lt;em&gt;"Bom dia/boa tarde/boa noite, XXXXXX! Como vai?&lt;/em&gt;&lt;br/&gt;&lt;em&gt;Espero que essa mensagem o encontre em boa saúde! 🤗️&lt;/em&gt;&lt;br/&gt;&lt;br/&gt;&lt;em&gt;Estamos analisando o questionamento a respeito da emissão da NF XXXXXX e assim que constatarmos uma devolutiva, retornaremos o contato para posicioná-lo.&lt;/em&gt;&lt;br/&gt;&lt;em&gt;Seguimos à disposição caso necessário!"&lt;/em&gt;&lt;/p&gt;
&lt;p&gt; &lt;/p&gt;
&lt;p&gt; &lt;/p&gt;</t>
  </si>
  <si>
    <t>https://wilsonsons.zendesk.com/api/v2/help_center/pt-br/articles/24369015719949.json</t>
  </si>
  <si>
    <t>https://atendimento.teconsvonline.com.br/hc/pt-br/articles/24369015719949-RETIRADA-DE-CARGA-DTA-RECINTO</t>
  </si>
  <si>
    <t>RETIRADA DE CARGA - DTA RECINTO</t>
  </si>
  <si>
    <t>['REMOÇAO', 'RECINTO', 'DTA']</t>
  </si>
  <si>
    <t>&lt;div&gt;&lt;img src="https://atendimento.teconsvonline.com.br/hc/article_attachments/25867015924621"/&gt;&lt;/div&gt;
&lt;div&gt;&lt;font face="arial, sans-serif"&gt;&lt;u&gt;                                                                                                                                                               &lt;/u&gt;&lt;/font&gt;&lt;/div&gt;
&lt;div&gt;&lt;u&gt;&lt;/u&gt;&lt;/div&gt;
&lt;p&gt;&lt;span&gt;São processos que, por algum motivo, serão transferidos para outro Terminal Alfandegado (Zona Secundaria) para fins de desembaraço.&lt;/span&gt;&lt;/p&gt;
&lt;p&gt;Para obter a liberação do Booking e permitir a retirada, é imprescindível que o Despachante/Cliente/Recinto efetue o pagamento das taxas de armazenagem.&lt;/p&gt;
&lt;p&gt;O boleto correspondente pode ser adquirido no Portal, acessando o Módulo de Faturamento e selecionando a opção "Novo Orçamento". Importante notar que o Despachante tem permissão para emitir o boleto.&lt;/p&gt;
&lt;p&gt;&lt;img src="https://atendimento.teconsvonline.com.br/hc/article_attachments/24629798512909"/&gt;&lt;/p&gt;
&lt;p&gt;Após a realização do pagamento, é crucial que o Despachante/Cliente/Recinto encaminhe o comprovante correspondente para fins de validação.&lt;/p&gt;
&lt;p&gt; &lt;/p&gt;
&lt;p&gt;Ao receber o comprovante de pagamento, encaminhe-o para o e-mail de Cadastrado em Contato Interno, solicitando que as Ordens de Serviço (OS's) sejam designadas como "Posterior".&lt;/p&gt;
&lt;p&gt;Adc Giselle e Fernanda para validação do pagamento.&lt;/p&gt;
&lt;p&gt;Importante destacar que é necessário conferir o comprovante de pagamento enviado em relação ao boleto correspondente.&lt;/p&gt;
&lt;p&gt;Adicionalmente, as programações de carregamento de Carga Solta devem ser enviadas para as áreas internas, ou seja, Armazém e Armazenagem, juntamente com a ordem de coleta.&lt;/p&gt;
&lt;p&gt; &lt;/p&gt;
&lt;p&gt;Caso seja CNTR Cheio, adc CEQ/SOP, Armazenagem para liberação de Booking.&lt;/p&gt;
&lt;p&gt;Ticket Ex:&lt;/p&gt;
&lt;p&gt;https://wilsonsons.zendesk.com/agent/tickets/946049&lt;/p&gt;
&lt;p&gt; &lt;/p&gt;
&lt;p&gt; &lt;/p&gt;</t>
  </si>
  <si>
    <t>https://wilsonsons.zendesk.com/api/v2/help_center/pt-br/articles/24364194894989.json</t>
  </si>
  <si>
    <t>https://atendimento.teconsvonline.com.br/hc/pt-br/articles/24364194894989-SERVI%C3%87O-DE-EXPORTA%C3%87%C3%83O</t>
  </si>
  <si>
    <t>SERVIÇO DE EXPORTAÇÃO</t>
  </si>
  <si>
    <t>['01HKQZCVB7HYTHKD6J2H5JQZFW']</t>
  </si>
  <si>
    <t>['Exportação']</t>
  </si>
  <si>
    <t>&lt;p&gt; &lt;/p&gt;
&lt;p&gt; &lt;/p&gt;
&lt;div&gt;&lt;font color="#000000"&gt;No Tecon Salvador, realizamos a concessão em todos os processos de embarque e só haverá custo de armazenagem se a unidade não embarcar dentro de 7 dias.&lt;br/&gt;&lt;/font&gt;&lt;/div&gt;
&lt;div&gt;&lt;font color="#000000"&gt;&lt;br/&gt;Na exportação pelo Porto de Salvador, oferecemos os seguintes benefícios:&lt;/font&gt;&lt;/div&gt;
&lt;div&gt;
&lt;font color="#000000"&gt;&lt;br/&gt;- Presença da carga automática e 24 horas, proporcionando agilidade junto à Receita Federal&lt;span&gt; &lt;/span&gt;&lt;em&gt;(&lt;/em&gt;&lt;/font&gt;&lt;em&gt;Presença de carga: R$ 95,00 / DU-E); &lt;/em&gt;&lt;font color="#000000"&gt;&lt;br/&gt;- Integração com a DU-e em funcionamento desde outubro de 2017, permitindo parametrização automática após o fechamento do lote para embarque;&lt;br/&gt;- Concedemos 7 dias livres de armazenagem antes da chegada do navio;&lt;br/&gt;- Recebemos cargas 24 horas, com janelas distintas para cargas secas e refrigeradas, garantindo disponibilidade em todos os horários para todos os segmentos;&lt;br/&gt;- Dispomos do Portal do Cliente para o acompanhamento da sua carga desde a apresentação na triagem até a parametrização pela Receita Federal;&lt;br/&gt;&lt;/font&gt;&lt;span&gt;- O porto conta com plataforma MAPA no estacionamento prévio ao gate de recolhimento da carga, reduzindo tempo e custo de posicionamento para vistoria.&lt;/span&gt;&lt;font color="#000000"&gt;&lt;br/&gt;&lt;/font&gt;
&lt;/div&gt;
&lt;div&gt;&lt;font color="#000000"&gt; &lt;/font&gt;&lt;/div&gt;
&lt;div&gt;&lt;font color="#000000"&gt;Atendimento disponível de segunda a sexta-feira das 7h às 22h, aos sábados das 8h às 12h, e após esse horário através do celular de plantão para apoio em qualquer ocorrência pelo número 071 2106 1500.&lt;br/&gt;&lt;/font&gt;&lt;/div&gt;
&lt;div&gt;
&lt;div&gt;&lt;font color="#000000"&gt; &lt;/font&gt;&lt;/div&gt;
&lt;div&gt;&lt;font color="#000000"&gt;Em caso de maiores dúvidas, nosso time de atendimento poderá ajudar logo na sequência.&lt;/font&gt;&lt;/div&gt;
&lt;/div&gt;</t>
  </si>
  <si>
    <t>https://wilsonsons.zendesk.com/api/v2/help_center/pt-br/articles/24364089757965.json</t>
  </si>
  <si>
    <t>https://atendimento.teconsvonline.com.br/hc/pt-br/articles/24364089757965-COMO-LIBERAR-AGENDAMENTO-SEM-OBRIGATORIEDADE-DE-NF</t>
  </si>
  <si>
    <t>COMO LIBERAR AGENDAMENTO SEM OBRIGATORIEDADE DE NF?</t>
  </si>
  <si>
    <t>&lt;ol&gt;
&lt;li&gt;Identificar do que se trata a retirada de obrigatoriedade.&lt;br/&gt;&lt;br/&gt;&lt;strong&gt;Mais de 50 notas fiscais&lt;/strong&gt; - Isso ocorre devido à limitação do sistema da Receita Federal, que permite o envio de até 50 Notas Fiscais (NFs). Quando esse limite é ultrapassado, é necessário enviar um e-mail para a nossa equipe de CLEARANCE, acompanhado de uma planilha contendo TODOS os XMLs das NFs.&lt;br/&gt; &lt;br/&gt;&lt;strong&gt;DAT&lt;/strong&gt; - Regime de transito aduaneiro - é a modalidade que permite o transporte de mercadorias, sob controle aduaneiro de um ponto alfandegado para outro, com a suspensão de tributos. Dessa forma, recintos como a TPC e V-Log tem essa liberação especial para retirada de obrigatoriedade de nota. &lt;br/&gt;&lt;br/&gt;&lt;strong&gt;Carga de algodão/Redex&lt;/strong&gt; ( DAT) - Recinto Especial para Despacho Aduaneiro de Exportação&lt;span&gt; Não-Alfandegado de zona secundária e &lt;/span&gt;em monitoramento eletrônico pela Receita Federal; &lt;br/&gt;&lt;br/&gt;
&lt;p&gt;A carga de algodão possui apenas uma nota fiscal (NF) que representa uma grande quantidade de containers. Diferente de outros tipos de carga, não são geradas notas fiscais adicionais para cada container individualmente. Ou seja, uma única NF pode conter até 100 containers vinculados. Essa NF é registrada na Declaração Única de Exportação (DU-E), onde são informados todos os containers relacionados, independentemente da quantidade.&lt;/p&gt;
&lt;p&gt;Além disso, vale destacar que não é permitida a repetição de NF para o agendamento da carga. Por conta disso, o processo é enviado via DAT e, dessa forma, a obrigatoriedade de emitir múltiplas NFs é dispensada, permitindo a liberação do agendamento sem a obrigatoriedade de NF.&lt;/p&gt;
&lt;/li&gt;
&lt;li&gt;Confirmar que existe agendamento no portal com status de "INCOMPLETO" e o horário que foi agendado.&lt;br/&gt;&lt;br/&gt;A liberação precisa ser feita 1h antes do horário agendado, caso não, será cancelado incompleto.&lt;br/&gt;&lt;br/&gt;&lt;img src="https://atendimento.teconsvonline.com.br/hc/article_attachments/34783552336909"/&gt;
&lt;/li&gt;
&lt;li&gt; Depois de verificar as informações acima, deve seguir com a libração&lt;br/&gt;&lt;br/&gt;TECSYS - OPERAÇÕES - CADASTROS - CAD.LIBERAÇÃO NF&lt;br/&gt;&lt;br/&gt;&lt;img src="https://atendimento.teconsvonline.com.br/hc/article_attachments/34776186365453"/&gt;&lt;br/&gt;&lt;br/&gt;Vai aparecer a pagina á seguir:&lt;br/&gt;&lt;br/&gt;&lt;img src="https://atendimento.teconsvonline.com.br/hc/article_attachments/34783552338573"/&gt;&lt;br/&gt;&lt;br/&gt;Deve filtrar como preferir e selecionar a unidade que está como "PENDENTE APROV." Flergar no quadrado da fileira "APROVAR" e clicar em seguida no Disquete na parte superior a esquerda da tela e salvar.&lt;br/&gt;&lt;br/&gt;&lt;img src="https://atendimento.teconsvonline.com.br/hc/article_attachments/34783552340621"/&gt;&lt;br/&gt;&lt;br/&gt;Ao final a unidade estará com status de Liberado e o nosso portal associa a informação de liberação após 15 há 20min, sendo assim ficará com status de "AGENDADO" em nosso portal.&lt;br/&gt;&lt;img src="https://atendimento.teconsvonline.com.br/hc/article_attachments/34783544810253"/&gt;
&lt;/li&gt;
&lt;/ol&gt;
&lt;p&gt;Finalizado a liberação, agorá é só informar ao cliente!&lt;br/&gt;&lt;br/&gt;&lt;/p&gt;
&lt;p&gt;&lt;em&gt;O time de clearence recebe o e-mail  dos recintos com as informações das unidades &lt;span&gt; #1209254&lt;/span&gt;&lt;/em&gt;&lt;br/&gt;&lt;em&gt;Nosso atendimento pelo CHAT/WPP &lt;/em&gt;&lt;span&gt;&lt;em&gt;#1205012 &lt;/em&gt;&lt;br/&gt;&lt;br/&gt;&lt;/span&gt;&lt;/p&gt;</t>
  </si>
  <si>
    <t>https://wilsonsons.zendesk.com/api/v2/help_center/pt-br/articles/24329379792397.json</t>
  </si>
  <si>
    <t>https://atendimento.teconsvonline.com.br/hc/pt-br/articles/24329379792397-Como-realizar-a-Retirada-de-Obrigatoriedade-de-NF</t>
  </si>
  <si>
    <t>Como realizar a Retirada de Obrigatoriedade de NF?</t>
  </si>
  <si>
    <t>['01HKQZCVB7HYTHKD6J2H5JQZFW', '01HQ6CK86M77X3CJ9HJYVYWW31', '01HQ6CKEV5R4BFQ2SRAV8ZHNXF', '01HQ6CKTS3WGYJXMZ7J4EPYDMH', '01HQDN1B7VPBFHJ9DXD9MTDS2F']</t>
  </si>
  <si>
    <t>&lt;p&gt; &lt;/p&gt;
&lt;p&gt;A retirada da Obrigatoriedade de NF para entrada de unidade (Exportação) é realizada:&lt;/p&gt;
&lt;ul&gt;
&lt;li&gt;Quando a entrada do CNTR será com DAT (Documento de Acompanhamento de Trânsito) que amparar a movimentação entre dois locais distintos de cargas já desembaraçadas.&lt;/li&gt;
&lt;li&gt;Isotanque Vazio ou com resíduos (Contaminado)&lt;/li&gt;
&lt;li&gt; Quando o CNTR possui mais de 50 NF's&lt;/li&gt;
&lt;/ul&gt;
&lt;p&gt;Importante: Sempre informar ao Clearance que foi realizado a retirada.&lt;/p&gt;
&lt;p&gt;&lt;strong&gt;&lt;span&gt;Como realizar?&lt;/span&gt;&lt;/strong&gt;&lt;/p&gt;
&lt;p&gt;Tecsys - Operação  - Agendamento - Cadastro - Cad. Liberação NF.&lt;/p&gt;
&lt;p&gt; &lt;/p&gt;
&lt;p&gt;&lt;img src="https://atendimento.teconsvonline.com.br/hc/article_attachments/24329359909389"/&gt;&lt;/p&gt;
&lt;p&gt;Em Container Inseri o numero do CNTR e pesquisa:&lt;/p&gt;
&lt;p&gt;&lt;img src="https://atendimento.teconsvonline.com.br/hc/article_attachments/24329359924109"/&gt;&lt;/p&gt;</t>
  </si>
  <si>
    <t>https://wilsonsons.zendesk.com/api/v2/help_center/pt-br/articles/24319729697549.json</t>
  </si>
  <si>
    <t>https://atendimento.teconsvonline.com.br/hc/pt-br/articles/24319729697549-RASCUNHO-CONTROLE-DE-ACESSO-VINCULA%C3%87%C3%83O-DE-CNPJ-A-USUARIOS</t>
  </si>
  <si>
    <t>RASCUNHO: CONTROLE DE ACESSO - VINCULAÇÃO DE CNPJ A USUARIOS</t>
  </si>
  <si>
    <t>['CONTROLEDEACESSO', 'USUARIO']</t>
  </si>
  <si>
    <t>&lt;p&gt; &lt;/p&gt;
&lt;p&gt; &lt;/p&gt;
&lt;p&gt; &lt;/p&gt;
&lt;p&gt;&lt;img src="https://atendimento.teconsvonline.com.br/hc/article_attachments/24319729692173"/&gt;&lt;/p&gt;</t>
  </si>
  <si>
    <t>https://wilsonsons.zendesk.com/api/v2/help_center/pt-br/articles/24281357697933.json</t>
  </si>
  <si>
    <t>https://atendimento.teconsvonline.com.br/hc/pt-br/articles/24281357697933-MODULOS-DE-FATURAMENTO</t>
  </si>
  <si>
    <t>MODULOS DE FATURAMENTO</t>
  </si>
  <si>
    <t>&lt;p&gt; &lt;/p&gt;
&lt;div&gt;
&lt;div&gt;
&lt;div&gt;
&lt;div&gt;
&lt;div&gt;
&lt;div&gt;
&lt;div&gt;&lt;span&gt;Modulo de faturamento &amp;gt; Orçamento &amp;gt; Novo orçamento &amp;gt; Informa o BL&lt;/span&gt;&lt;/div&gt;
&lt;/div&gt;
&lt;/div&gt;
&lt;div&gt;
&lt;div&gt;
&lt;div&gt;&lt;/div&gt;
&lt;/div&gt;
&lt;/div&gt;
&lt;/div&gt;
&lt;/div&gt;
&lt;/div&gt;
&lt;/div&gt;
&lt;p&gt;&lt;img src="https://atendimento.teconsvonline.com.br/hc/article_attachments/24281368727053"/&gt;&lt;/p&gt;
&lt;p&gt;&lt;span&gt;&lt;img src="https://atendimento.teconsvonline.com.br/hc/article_attachments/24281357694221"/&gt;&lt;/span&gt;&lt;/p&gt;
&lt;p&gt;&lt;span&gt;Depois seleciona o serviço e calcula&lt;/span&gt;&lt;/p&gt;
&lt;p&gt; &lt;/p&gt;
&lt;p&gt;&lt;span&gt;&lt;img src="https://atendimento.teconsvonline.com.br/hc/article_attachments/24281368729229"/&gt;&lt;/span&gt;&lt;/p&gt;
&lt;div&gt;
&lt;div&gt;
&lt;div&gt;
&lt;div&gt;
&lt;div&gt;
&lt;div&gt;
&lt;div&gt;&lt;/div&gt;
&lt;/div&gt;
&lt;/div&gt;
&lt;div&gt;
&lt;div&gt;
&lt;div&gt;&lt;/div&gt;
&lt;/div&gt;
&lt;/div&gt;
&lt;/div&gt;
&lt;/div&gt;
&lt;/div&gt;
&lt;/div&gt;
&lt;p&gt;&lt;img src="https://atendimento.teconsvonline.com.br/hc/article_attachments/24281368729997"/&gt;&lt;/p&gt;
&lt;div&gt;
&lt;div&gt;
&lt;div&gt;
&lt;div&gt;
&lt;div&gt;
&lt;div&gt;
&lt;div&gt;
&lt;div&gt;
&lt;div&gt;
&lt;div&gt;
&lt;div&gt;
&lt;div&gt;
&lt;div&gt;&lt;/div&gt;
&lt;/div&gt;
&lt;/div&gt;
&lt;/div&gt;
&lt;/div&gt;
&lt;/div&gt;
&lt;/div&gt;
&lt;/div&gt;
&lt;/div&gt;
&lt;div&gt;
&lt;div&gt;
&lt;div&gt;&lt;/div&gt;
&lt;div&gt;&lt;/div&gt;
&lt;div&gt;&lt;/div&gt;
&lt;div&gt;&lt;/div&gt;
&lt;div&gt;          &lt;/div&gt;
&lt;/div&gt;
&lt;/div&gt;
&lt;/div&gt;
&lt;/div&gt;
&lt;/div&gt;
&lt;/div&gt;</t>
  </si>
  <si>
    <t>https://wilsonsons.zendesk.com/api/v2/help_center/pt-br/articles/24278130169997.json</t>
  </si>
  <si>
    <t>https://atendimento.teconsvonline.com.br/hc/pt-br/articles/24278130169997-Momento-cuidado-Resili%C3%AAncia-entenda-o-conceito-e-como-ser-mais-resiliente</t>
  </si>
  <si>
    <t>Momento cuidado</t>
  </si>
  <si>
    <t>Momento cuidado: Resiliência: entenda o conceito e como ser mais resiliente.</t>
  </si>
  <si>
    <t>['emocional', 'momentocuidado', 'cuidado', 'saudemental']</t>
  </si>
  <si>
    <t>&lt;p&gt;Resiliência é um termo emprestado da física, que significa a capacidade de um material voltar ao seu estado original após sofrer alguma deformação. No campo da Psicologia, se refere à capacidade das pessoas em superar os obstáculos, reagindo com positividade.&lt;/p&gt;
&lt;p&gt;A&lt;span&gt; &lt;/span&gt;&lt;strong&gt;resiliência&lt;/strong&gt;&lt;span&gt; &lt;/span&gt;está diretamente ligada à&lt;a href="https://beecorp.com.br/saude-mental/"&gt;&lt;span&gt; &lt;/span&gt;saúde mental&lt;/a&gt;, já que para ser resiliente é preciso ter boas condições psicológicas para não se deixar abater diante de adversidades.&lt;/p&gt;
&lt;p&gt;A seguir, entenda melhor o significado e a importância da resiliência na vida pessoal e profissional. Conheça também as características de uma pessoa resiliente e como colocar essa capacidade em prática. Confira!&lt;/p&gt;
&lt;h2&gt;O que é ter resiliência?&lt;/h2&gt;
&lt;p&gt;Segundo a&lt;a href="https://www.apa.org/topics/resilience"&gt;&lt;span&gt; &lt;/span&gt;Associação Americana de Psicologia&lt;/a&gt;&lt;span&gt; &lt;/span&gt;(APA) resiliência é o resultado de uma boa adaptação a adversidades, traumas, tragédias, ameaças ou grandes situações de estresse. É conseguir superar os problemas com positividade, tirando lições das dificuldades.&lt;/p&gt;
&lt;p&gt;Dessa forma, conseguimos enfrentar problemas e seguir em frente mais fortalecidos. Mas para isso, é preciso ter flexibilidade mental, comportamental e emocional.&lt;/p&gt;
&lt;h2&gt;Quais são os principais tipos de resiliência?&lt;/h2&gt;
&lt;p&gt;A resiliência pode ser classificada em diferentes tipos. Contudo, os principais deles se referem aos aspectos emocionais, acadêmicos e sociais.&lt;/p&gt;
&lt;h3&gt;Resiliência emocional&lt;/h3&gt;
&lt;p&gt;Esse tipo de resiliência se refere à capacidade de compreender e controlar sentimentos e emoções em situações de crise, estresse ou pressão.&lt;/p&gt;
&lt;p&gt;Segundo evidências científicas publicadas no&lt;a href="https://journals.sagepub.com/doi/abs/10.1177/1559827609335152"&gt;&lt;span&gt; &lt;/span&gt;Jornal Americano de Saúde e Estilo de Vida&lt;/a&gt;, a resiliência emocional é fundamental para o bem-estar físico e mental.&lt;/p&gt;
&lt;p&gt;Isso porque a dificuldade em controlar as emoções pode provocar doenças e alterações físicas. Exemplo disso, é o caso da&lt;a href="https://beecorp.com.br/alergia-emocional/"&gt;&lt;span&gt; &lt;/span&gt;alergia emocional&lt;/a&gt;&lt;span&gt; &lt;/span&gt;que pode surgir em situações de estresse ou ansiedade.&lt;/p&gt;
&lt;h3&gt;Resiliência acadêmica&lt;/h3&gt;
&lt;p&gt;A resiliência acadêmica diz respeito à capacidade de suportar pressões, tais como atender a prazos apertados ou ter muito o que estudar em pouco tempo.&lt;/p&gt;
&lt;h3&gt;Resiliência social&lt;/h3&gt;
&lt;p&gt;A resiliência social está relacionada à capacidade de lidar mais facilmente com os conflitos sociais, sem ficar remoendo os problemas por muito tempo.&lt;/p&gt;
&lt;h2&gt;O que é ser uma pessoa resiliente?&lt;/h2&gt;
&lt;p&gt;Ser uma pessoa resiliente é conseguir enfrentar crises, traumas, desafios, problemas, grandes perdas e transformações, sem se deixar abater.&lt;/p&gt;
&lt;p&gt;Além de suportar e superar os problemas, a pessoa resiliente aprende com os desafios. Para isso, usa a flexibilidade para se adaptar e a criatividade para encontrar soluções alternativas.&lt;/p&gt;
&lt;h2&gt;Qual a importância de ser resiliente?&lt;/h2&gt;
&lt;p&gt;A importância de ser resiliente, é conseguir superar obstáculos, mantendo o controle das emoções. Dessa forma, ela é fundamental para garantir o bem-estar físico e mental em situações adversas.&lt;/p&gt;
&lt;p&gt;Além disso, a resiliência proporciona benefícios, como:&lt;/p&gt;
&lt;ul&gt;
&lt;li&gt; crescimento pessoal e profissional;&lt;/li&gt;
&lt;li&gt;facilidade na superação de barreiras;&lt;/li&gt;
&lt;li&gt;melhor qualidade de vida no trabalho e nas relações sociais.&lt;/li&gt;
&lt;/ul&gt;
&lt;h2&gt;Como saber se sou resiliente?&lt;/h2&gt;
&lt;p&gt;Para saber se você é uma pessoa resiliente, basta analisar as suas habilidades e competência emocionais. Em geral, pessoas com resiliência apresentam as seguintes características em comum:&lt;/p&gt;
&lt;ul&gt;
&lt;li&gt;
&lt;a href="https://beecorp.com.br/autoestima/"&gt;autoestima&lt;/a&gt;/autoconfiança — reconhecem e apreciam suas próprias habilidades para o enfrentamento e resolução de problemas;&lt;/li&gt;
&lt;li&gt;criatividade — “pensam fora da caixa” para encarar desafios e desenvolver soluções positivas;&lt;/li&gt;
&lt;li&gt;empatia — conseguem se comunicar com reciprocidade, entendendo o outro;&lt;/li&gt;
&lt;li&gt;facilidade para resolver problemas — contam com conhecimentos e estratégias para solucionar diferentes situações e superar desafios;&lt;/li&gt;
&lt;li&gt;flexibilidade — se adaptam com facilidade a novas situações, relacionamentos e desafios;&lt;/li&gt;
&lt;li&gt;habilidade para lidar com as emoções — conseguem enfrentar, de maneira serena, situações de estresse e alta pressão;&lt;/li&gt;
&lt;li&gt;locus (posição) de controle interno — acreditam que muitas coisas dependem delas para dar certo;&lt;/li&gt;
&lt;li&gt;otimismo — estão sempre certas de que tudo pode melhorar;&lt;/li&gt;
&lt;li&gt;persistência — têm força de vontade e ideias claras sobre o que desejam, persistindo para alcançar as metas.&lt;/li&gt;
&lt;/ul&gt;
&lt;h2&gt;O que é resiliência no trabalho?&lt;/h2&gt;
&lt;p&gt;A resiliência no trabalho é a capacidade que empresas e colaboradores têm para superar problemas com positividade. É a habilidade de aprender com os desafios e conseguir enxergar oportunidades em meio a adversidades.&lt;/p&gt;
&lt;p&gt;Nesse sentido, a resiliência é essencial para o&lt;a href="https://beecorp.com.br/bem-estar-no-trabalho/"&gt;&lt;span&gt; &lt;/span&gt;bem-estar no trabalho&lt;/a&gt;, contribuindo para soluções criativas e um bom clima organizacional.&lt;/p&gt;
&lt;h2&gt;Como ser mais resiliente na vida pessoal e no trabalho?&lt;/h2&gt;
&lt;p&gt;Desenvolver a resiliência na vida pessoal e no trabalho é uma jornada única para cada pessoa. Para isso, é preciso fortalecer qualidades específicas e gerenciar emoções, o que pode variar de um indivíduo para outro.&lt;/p&gt;
&lt;p&gt;É por isso que algumas pessoas sofrem com depressão,&lt;a href="https://beecorp.com.br/ansiedade/"&gt;&lt;span&gt; &lt;/span&gt;ansiedade&lt;/a&gt;&lt;span&gt; &lt;/span&gt;ou estresse pós-traumático ao enfrentar situações negativas, enquanto outras não.&lt;/p&gt;
&lt;p&gt;Embora não haja uma fórmula pronta para ser mais resiliente, há maneiras de aprimorá-la. A seguir, veja o que você pode fazer para melhorar esse aspecto.&lt;/p&gt;
&lt;h3&gt;Aceite que as mudanças fazem parte da vida&lt;/h3&gt;
&lt;p&gt;É importante reconhecer que a vida é composta por diferentes etapas, sendo uma forma natural das coisas acontecerem. Como não é possível evitar as mudanças, é fundamental ter flexibilidade e estar aberto a novas possibilidades.&lt;/p&gt;
&lt;h3&gt;Tire lições das situações vividas&lt;/h3&gt;
&lt;p&gt;O erro e as situações difíceis fazem parte do nosso aprendizado para o crescimento pessoal e profissional. Por isso, em vez de lamentá-los, é importante extrair lições que eles possam trazer, com pensamento positivo.&lt;/p&gt;
&lt;h3&gt;Foque em suas metas e objetivos&lt;/h3&gt;
&lt;p&gt;Focar nas metas e objetivos ajuda a construir resiliência, já que para alcançá-los precisamos enfrentar obstáculos. Assim, conseguimos controlar as emoções e enxergar soluções.&lt;/p&gt;
&lt;h3&gt;Trabalhe a sua flexibilidade&lt;/h3&gt;
&lt;p&gt;A flexibilidade ajuda muito a lidar com os conflitos e solucionar problemas da rotina de trabalho. Para melhorar essa característica, é preciso se adaptar às situações que surgem e enxergá-las em diferentes perspectivas.&lt;/p&gt;
&lt;h3&gt;Evite o sedentarismo&lt;/h3&gt;
&lt;p&gt;Segundo o&lt;a href="https://www.gov.br/saude/pt-br/assuntos/saude-brasil/glossario/comportamento-sedentario"&gt;&lt;span&gt; &lt;/span&gt;Ministério da Saúde&lt;/a&gt;, o comportamento sedentário excessivo é altamente prejudicial à saúde física e mental. Nesse sentido,&lt;a href="https://www.scielo.br/j/rpc/a/Q3KRGHKBSH6Hb5mnwYSSdKG/"&gt;&lt;span&gt; &lt;/span&gt;recentes estudos&lt;/a&gt;&lt;span&gt; &lt;/span&gt;afirmam a correlação da baixa resiliência emocional com o sedentarismo comportamental.&lt;/p&gt;
&lt;p&gt;Dessa forma, para aumentar a resiliência, é importante reduzir o tempo que passamos sentados e aumentar o tempo gasto com exercícios físicos.&lt;/p&gt;
&lt;p&gt;Como vimos, resiliência significa a capacidade de enfrentarmos adversidades e mudanças, sem nos deixar abater. Também vimos que ela está diretamente relacionada à&lt;a href="https://beecorp.com.br/saude-fisica-mental-e-social/"&gt;&lt;span&gt; &lt;/span&gt;saúde física, mental e social&lt;/a&gt;.&lt;/p&gt;
&lt;p&gt;Dessa forma, para ser mais resiliente, busque se adaptar a diferentes situações e resolver problemas mantendo o controle das emoções. Acesse nossas&lt;a href="https://beecorp.com.br/nossas-solucoes/qualidade-de-vida/"&gt;&lt;span&gt; &lt;/span&gt;práticas exclusivas de qualidade de vida&lt;/a&gt;, é gratuito.&lt;/p&gt;
&lt;p&gt; &lt;/p&gt;
&lt;p&gt;Fonte: https://beecorp.com.br/resiliencia/&lt;/p&gt;</t>
  </si>
  <si>
    <t>https://wilsonsons.zendesk.com/api/v2/help_center/pt-br/articles/24204949822605.json</t>
  </si>
  <si>
    <t>https://atendimento.teconsvonline.com.br/hc/pt-br/articles/24204949822605-SOLICITA%C3%87%C3%83O-DE-FOTOS-MERCADORIA</t>
  </si>
  <si>
    <t>SOLICITAÇÃO DE FOTOS MERCADORIA</t>
  </si>
  <si>
    <t>&lt;p&gt; &lt;/p&gt;
&lt;p&gt;O responsável pela solicitação deve seguir com o pedido do serviço via Portal - Agendamento de serviço - Manuseio de impo ou expo (A depender do regime do processo) - Registro fotográfico - seguir com preenchimento conforme solicitado. &lt;/p&gt;
&lt;p&gt; &lt;/p&gt;
&lt;p&gt;&lt;span&gt;O serviço de fotos é cobrado conforme nossa Tabela Pública. &lt;/span&gt;&lt;/p&gt;
&lt;p&gt;&lt;span&gt;Possuindo entendimento sobre o custo, podemos solicitar as imagens internamente?&lt;/span&gt;&lt;br/&gt;&lt;span&gt; &lt;/span&gt;&lt;br/&gt;&lt;span&gt;C.10 Fotografia digital (até 05 fotografias) R$ 541,62 /contêiner.&lt;/span&gt;&lt;/p&gt;
&lt;p&gt; &lt;/p&gt;
&lt;p&gt;&lt;br/&gt;&lt;span&gt; &lt;/span&gt;&lt;/p&gt;
&lt;p&gt; &lt;/p&gt;</t>
  </si>
  <si>
    <t>https://wilsonsons.zendesk.com/api/v2/help_center/pt-br/articles/24204752747277.json</t>
  </si>
  <si>
    <t>https://atendimento.teconsvonline.com.br/hc/pt-br/articles/24204752747277-AVERBA%C3%87%C3%83O-BAGAGEM</t>
  </si>
  <si>
    <t>AVERBAÇÃO - BAGAGEM</t>
  </si>
  <si>
    <t>['01HPVPR2A0PPSBFTW941S1JENS', '01HPVPR5ZVD7YE35MZS6KBYVJN', '01HPVPRCEDTKYE2J55YZC1ZDPG']</t>
  </si>
  <si>
    <t>&lt;p&gt; &lt;/p&gt;
&lt;p&gt;Despachante enviará a DSI para averbação.&lt;/p&gt;
&lt;p&gt;Devemos abrir um Contato Interno - encaminhando a DSI para o time de Armazenagem:&lt;/p&gt;
&lt;div&gt;&lt;/div&gt;
&lt;div&gt;@Armazenagem,&lt;/div&gt;
&lt;div&gt;&lt;/div&gt;
&lt;div&gt;Gentileza seguir com averbação do processo. &lt;/div&gt;
&lt;div&gt;&lt;/div&gt;
&lt;p&gt; &lt;/p&gt;</t>
  </si>
  <si>
    <t>https://wilsonsons.zendesk.com/api/v2/help_center/pt-br/articles/24023737865997.json</t>
  </si>
  <si>
    <t>https://atendimento.teconsvonline.com.br/hc/pt-br/articles/24023737865997-NAVIO-EM-OPERA%C3%87%C3%83O</t>
  </si>
  <si>
    <t>NAVIO EM OPERAÇÃO</t>
  </si>
  <si>
    <t>&lt;p&gt; &lt;/p&gt;
&lt;p&gt;&lt;span&gt;Durante as operações do navio, é comum ocorrerem atrasos nas informações de embarque, vistoria e confirmação de presença das cargas nas unidades.&lt;/span&gt;&lt;/p&gt;
&lt;ul&gt;
&lt;li&gt;Dessa forma sempre que em liberação documental ou informação de booking não estiver a informação, é bom consultar o navio/viagem para ter certeza que esse não é o problema em questão. &lt;/li&gt;
&lt;/ul&gt;
&lt;p&gt;Se o navio estiver operando não será liberado:&lt;/p&gt;
&lt;ol&gt;
&lt;li&gt;Carta de encerramento.&lt;/li&gt;
&lt;li&gt;Não permite presença de carga.&lt;/li&gt;
&lt;li&gt;Não permite o posicionamento.&lt;/li&gt;
&lt;li&gt;Booking.&lt;/li&gt;
&lt;/ol&gt;
&lt;ul&gt;
&lt;li&gt;&lt;em&gt;Importante ressaltar que a liberação dos bookings tem previsão de inicio 20min após a finalização da carta de encerramento RFB.&lt;/em&gt;&lt;/li&gt;
&lt;li&gt;&lt;em&gt;A carta de encerramento só é emitida de 2h á 3h após a finalização de operação do navio. &lt;/em&gt;&lt;/li&gt;
&lt;/ul&gt;
&lt;div&gt;
&lt;div&gt;
&lt;div&gt;
&lt;div&gt;
&lt;div&gt;
&lt;div&gt;
&lt;div&gt;&lt;/div&gt;
&lt;/div&gt;
&lt;/div&gt;
&lt;/div&gt;
&lt;/div&gt;
&lt;/div&gt;
&lt;/div&gt;
&lt;p&gt;&lt;img height="279" src="https://atendimento.teconsvonline.com.br/hc/article_attachments/24023737862541" width="458"/&gt;&lt;/p&gt;</t>
  </si>
  <si>
    <t>https://wilsonsons.zendesk.com/api/v2/help_center/pt-br/articles/23943883896589.json</t>
  </si>
  <si>
    <t>https://atendimento.teconsvonline.com.br/hc/pt-br/articles/23943883896589-Aten%C3%A7%C3%A3o-Mudan%C3%A7as-no-acesso-de-carretas-ao-Centro-Log%C3%ADstico</t>
  </si>
  <si>
    <t>Atenção: Mudanças no acesso de carretas ao Centro  Logístico</t>
  </si>
  <si>
    <t>&lt;p&gt;&lt;span&gt;Prezados Clientes, &lt;/span&gt;&lt;/p&gt;
&lt;p&gt;&lt;span&gt;Informamos que e a partir de &lt;span&gt;&lt;strong&gt;15/02/2024&lt;/strong&gt;&lt;/span&gt;, o &lt;span&gt;&lt;strong&gt;Centro Logístico Salvador&lt;/strong&gt;&lt;/span&gt; passa a contar com novos locais de acesso e de saída para as carretas que se dirijam ao local, para retirada ou depósito de containers. Essa medida ocorre para adequação às recentes intervenções viárias realizadas nas imediações, bem como para proporcionar melhor fluidez operacional, agilidade e conforto para os condutores de caminhões. O novo acesso agora será feito logo após a Bravo Caminhões,  na pista marginal da BR324, sentido Salvador X Feira de Santana; e a nova saída será pelo fundo do Centro Logístico, com opção de fluxo para a AV. 29 de março, ou retorno para a BR324. Confira mais detalhes no layout abaixo e fique atento à sinalização viária no local.&lt;/span&gt;&lt;/p&gt;
&lt;p&gt; &lt;/p&gt;
&lt;p&gt;&lt;span&gt;&lt;img alt="unnamed (2).jpg" src="https://atendimento.teconsvonline.com.br/hc/article_attachments/23943883885069"/&gt;&lt;/span&gt;&lt;/p&gt;</t>
  </si>
  <si>
    <t>https://wilsonsons.zendesk.com/api/v2/help_center/pt-br/articles/23333132191117.json</t>
  </si>
  <si>
    <t>https://atendimento.teconsvonline.com.br/hc/pt-br/articles/23333132191117-KILLING-REEFER</t>
  </si>
  <si>
    <t>KILLING - REEFER</t>
  </si>
  <si>
    <t>['REEFER', 'KILLING']</t>
  </si>
  <si>
    <t>&lt;p&gt;❖ Todos os containers refrigerados são desovados mediante solicitação do serviço de&lt;br/&gt;desova no portal;&lt;br/&gt;&lt;br/&gt;❖ Caso haja necessidade de solicitar unidade extra ou devolver alguma unidade&lt;br/&gt;alugada, o cliente precisa formalizar a solicitação;&lt;br/&gt;Havendo esta instrução, devemos criar comunicação interna para Julia&lt;br/&gt;Rabelo, Conciliação e Armazém;&lt;/p&gt;
&lt;p&gt; &lt;/p&gt;
&lt;p&gt;❖ O faturamento do serviço de aluguel é realizado a cada 30 dias.&lt;/p&gt;
&lt;p&gt;Obs: Independente se a unidade esteja estufada ou não, cobramos o serviço de aluguel; A OS estará&lt;br/&gt;nomeada no sistema como: Serviço Extra;&lt;/p&gt;
&lt;p&gt;&lt;br/&gt;❖ O fornecimento de energia é cobrado somente se a unidade estiver estufada.&lt;/p&gt;
&lt;p&gt;&lt;br/&gt;❖ O cliente possui data de corte para emissão de faturas. 3 dias antes do final do mês&lt;br/&gt;o faturamento é suspenso e retorna no 1o dia útil do mês seguinte;&lt;/p&gt;
&lt;p&gt; &lt;/p&gt;
&lt;p&gt;➢ Caso haja solicitação de prioridade no faturamento, devemos atentar a esta&lt;br/&gt;regra e solicitar a confirmação do cliente/despachante, se devemos de fato&lt;br/&gt;seguir com a prioridade;&lt;/p&gt;
&lt;p&gt; &lt;/p&gt;
&lt;p&gt;❖ Planilha de acompanhamento Killing:&lt;/p&gt;
&lt;p&gt;A planilha é alimentada pelo Armazém.&lt;/p&gt;
&lt;p&gt;&lt;a href="https://docs.google.com/spreadsheets/d/1AMh-M7CBDkrvZO8KIpUYgPsuT-kd14Xg3aAeOeME09I/edit#gid=1486314017"&gt;https://docs.google.com/spreadsheets/d/1AMh-M7CBDkrvZO8KIpUYgPsuT-kd14Xg3aAeOeME09I/edit#gid=1486314017&lt;/a&gt; &lt;/p&gt;
&lt;p&gt;Contatos Killing:&lt;/p&gt;
&lt;p&gt;Executiva de venda responsável pelo cliente: Patricia Muinos&lt;/p&gt;
&lt;p&gt;&lt;br/&gt;❖ Caroline (Premium - despachante do RS) - caroline.santos@premiumnh.com.br&lt;br/&gt;❖ Albert ( despachante/Salvador) - albertdespachante@hotmail.com&lt;br/&gt;❖ Fabiula Cardoso (Killing) - fabiula.cardoso@killing.com.br / &lt;a href="mailto:importacao@killing.com.br"&gt;importacao@killing.com.br&lt;/a&gt;&lt;/p&gt;
&lt;p&gt; &lt;/p&gt;</t>
  </si>
  <si>
    <t>https://wilsonsons.zendesk.com/api/v2/help_center/pt-br/articles/23331971505165.json</t>
  </si>
  <si>
    <t>https://atendimento.teconsvonline.com.br/hc/pt-br/articles/23331971505165-Regras-para-tratativa-Allink-LCL</t>
  </si>
  <si>
    <t>Regras para tratativa - Allink (LCL)</t>
  </si>
  <si>
    <t>['01H0NPK2X1DJVSBCSB7F18XY6E']</t>
  </si>
  <si>
    <t>['ALLINK', 'LCL']</t>
  </si>
  <si>
    <t>&lt;div&gt;&lt;img src="https://atendimento.teconsvonline.com.br/hc/article_attachments/24630242695949"/&gt;&lt;/div&gt;
&lt;div&gt;&lt;font face="arial, sans-serif"&gt;&lt;u&gt;                                                                                                                                                               &lt;/u&gt;&lt;/font&gt;&lt;/div&gt;
&lt;p&gt;O que é LCL?&lt;/p&gt;
&lt;p&gt; &lt;/p&gt;
&lt;p&gt;LCL é a sigla utilizada para “Less than a Container Load ”, que em tradução livre significa: “carga menor que um contêiner”. Ou seja, é quando uma empresa não tem carga suficiente para ocupar um contêiner inteiro sozinho e então consolida a sua carga menor com outras cargas menores.&lt;/p&gt;
&lt;p&gt; &lt;/p&gt;
&lt;p&gt; &lt;/p&gt;
&lt;p&gt;❖ A instrução de desova é enviada por e-mail pelo Agente de Carga;&lt;/p&gt;
&lt;p&gt;Ex: Ticket #912256&lt;/p&gt;
&lt;p&gt; &lt;/p&gt;
&lt;p&gt;&lt;img src="https://atendimento.teconsvonline.com.br/hc/article_attachments/24629908505229"/&gt;&lt;/p&gt;
&lt;p&gt; &lt;/p&gt;
&lt;p&gt;❖ Deve ser observado os documentos anexos no e-mail e confirmar se o agente de carga realizou&lt;br/&gt;o cadastro da análise crítica no portal;&lt;/p&gt;
&lt;p&gt; &lt;/p&gt;
&lt;p&gt;➢ Abrir Comunicação Interna - Copiando as áreas: Conciliação, Armazém,&lt;br/&gt;Armazenagem, Ceq e SOP para acompanhamento da descarga e demais&lt;br/&gt;tratativas; Tíquete exemplo: #877695 / 912256&lt;/p&gt;
&lt;p&gt; &lt;/p&gt;
&lt;p&gt;➢ Solicitar a confirmação da análise da armazenagem para garantir que todos&lt;br/&gt;os DAT’s/LPCO dos BL’s tenham sido entregues ou mencionar quais os BL’s estão&lt;br/&gt;com pendência da entrega do documento;&lt;/p&gt;
&lt;p&gt; &lt;/p&gt;
&lt;p&gt;❖ Após a Descarga do container, devemos acompanhar a abertura da O.S que é&lt;br/&gt;realizada pela armazenagem (caso todos os DAT’s estejam de acordo).&lt;/p&gt;
&lt;p&gt;➢ Nos casos em que houver pendência de envio do DAT por parte do agente&lt;br/&gt;de carga, a O.S de desova só é aberta após a entrega do documento faltante;&lt;/p&gt;
&lt;p&gt; &lt;/p&gt;
&lt;p&gt;❖ Após a confirmação da abertura da O.S por parte da armazenagem, deve-se comunicar aos&lt;br/&gt;Recintos a disponibilidade de cálculo e retirada do boleto no portal. ( Essa comunicação é realizada pelo Gmail do Atendimento)&lt;/p&gt;
&lt;p&gt;&lt;br/&gt;➢ E-mail exemplo: CÁLCULO DISPONÍVEL ALLINK CNTR: MSKU1183067 -&lt;br/&gt;MAERSK LEON/340E&lt;/p&gt;
&lt;p&gt; &lt;/p&gt;
&lt;p&gt;❖ Após receber o comprovante de pagamento, direcionar o mesmo para o e-mail do&lt;br/&gt;Cadastro em contato interno, solicitando que coloquem as OS’s como Posterior;&lt;/p&gt;
&lt;p&gt;&lt;br/&gt;➢ Obs.: Devemos conferir o comprovante de pagamento enviado com o boleto&lt;br/&gt;gerado no portal, para garantir que faz parte do processo;&lt;/p&gt;
&lt;p&gt; &lt;/p&gt;
&lt;p&gt;❖ Ao concluir a desova, o armazém encaminhará o e-mail comunicando a&lt;br/&gt;disponibilidade de remoção das cargas.&lt;br/&gt;➢ E-mail exemplo: Desova consolidado da ALLINK _ MMAU1057638&lt;/p&gt;
&lt;p&gt; &lt;/p&gt;
&lt;p&gt;❖ Nesta comunicação do armazém, o setor de armazenagem deve confirmar quais&lt;br/&gt;foram os processos que tiveram o direcionamento “dentro do prazo”.&lt;/p&gt;
&lt;p&gt;&lt;br/&gt;❖ Após essa confirmação, o setor de cadastro informa o prazo de remoção; &lt;strong&gt;&lt;span&gt;em caso de LCL que não seja Allink, a armazenagem que informa o prazo para remoção.&lt;/span&gt;&lt;/strong&gt;&lt;/p&gt;
&lt;p&gt;&lt;br/&gt;❖ Após confirmação do prazo, comunicar aos recintos a disponibilidade de remoção&lt;br/&gt;das cargas, bem como, o prazo limite;&lt;br/&gt;➢ E-mail exemplo: CARGA DISPONÍVEL ALLINK CNTR: ECMU9392759 -&lt;br/&gt;MAERSK LOTA 346S&lt;/p&gt;
&lt;p&gt; &lt;/p&gt;
&lt;p&gt;&lt;a href="https://mail.google.com/mail/u/0/d/AEoRXRT1OFLWRAl2CgRekEmidkTqVauMWooBVfcR_GrPBrDCRxdM/#inbox/FMfcgzGxRxDZPLbDpWfpRfkPtzLzVHpm"&gt;https://mail.google.com/mail/u/0/d/AEoRXRT1OFLWRAl2CgRekEmidkTqVauMWooBVfcR_GrPBrDCRxdM/#inbox/FMfcgzGxRxDZPLbDpWfpRfkPtzLzVHpm&lt;/a&gt;&lt;/p&gt;
&lt;p&gt; &lt;/p&gt;
&lt;p&gt;❖ As programações de carregamento devem ser encaminhadas para as áreas&lt;br/&gt;internas: Armazém e Armazenagem junto com a ordem de coleta.&lt;br/&gt;➢ A confirmação da programação deve conciliar com a confirmação do&lt;br/&gt;pagamento do respectivo BL destinado ao recinto. Caso não haja&lt;br/&gt;confirmação de pagamento, não se confirma a programação.&lt;/p&gt;
&lt;p&gt; &lt;/p&gt;
&lt;p&gt;❖ Obs.: Nos casos em que houver atraso no envio do documento DAT para início da&lt;br/&gt;desova, devemos questionar ao agente de carga o CNPJ responsável por assumir&lt;br/&gt;os custos gerados com o impacto do atraso.&lt;/p&gt;
&lt;p&gt;&lt;br/&gt;Entrou em vigor a PORTARIA ALF/SDR No 13, DE 1o DE NOVEMBRO DE 2023.&lt;br/&gt;Dentre seus dispositivos, consta:&lt;/p&gt;
&lt;p&gt;&lt;br/&gt;Da Entrega da Carga pelo Operador Portuário ao Depositário ou&lt;br/&gt;ao Transportador Nacional de Trânsito Nacional&lt;/p&gt;
&lt;p&gt;&lt;br/&gt;Art. 8o A entrega de carga pelo operador portuário ao depositário ou ao&lt;br/&gt;transportador nacional de trânsito nacional somente será realizada após o&lt;br/&gt;início do prazo previsto no art. 9o.&lt;br/&gt;§ 9o No caso de contêiner unitizado por conveniência do transportador (ships&lt;br/&gt;convenience) ou consolidado, o responsável pela desconsolidação, agente de&lt;br/&gt;carga ou transportador, deverá entregar ao operador portuário a autorização&lt;br/&gt;para desova até o registro do fim da operação da embarcação no Siscomex&lt;br/&gt;Carga.&lt;/p&gt;
&lt;p&gt;§ 10 Nas situações que a desova dependa também da liberação da&lt;br/&gt;fiscalização agropecuária, o prazo para apresentação deste documento será&lt;br/&gt;de até oito horas úteis após o registro do fim da operação da embarcação no&lt;br/&gt;Siscomex Carga.&lt;br/&gt;§ 11 Se os documentos exigidos nos §§ 9o e 10 não forem entregues nos&lt;br/&gt;prazos estipulados nos referidos parágrafos, as cargas deverão ser&lt;br/&gt;armazenadas pelo recinto alfandegado vinculado ao operador portuário e&lt;br/&gt;caracterizará a infração prevista na alínea "e', inciso IV, art. 107 do Decreto Lei&lt;br/&gt;37, de 18 de novembro de 1966&lt;/p&gt;
&lt;p&gt; &lt;/p&gt;
&lt;p&gt;❖ Obs.: Nos casos em que houver bloqueio do tipo total em um dos CE’s vinculados&lt;br/&gt;ao consolidado, deve-se observar a seguinte portaria:&lt;/p&gt;
&lt;p&gt;&lt;br/&gt;➢ Art. 9o O prazo de permanência da carga na área pátio é de quarenta e oito&lt;br/&gt;horas contadas, apenas nos dias úteis, a partir da terceira hora após a&lt;br/&gt;informação da programação prevista no art. 13.&lt;br/&gt;§ 1o Para as cargas unitizadas por conveniência do transportador (ships&lt;br/&gt;convenience) e as consolidadas, o prazo estabelecido no caput será contado&lt;br/&gt;a partir da disponibilização do horário de retirada, estabelecida no §1o do art.&lt;br/&gt;13.&lt;/p&gt;
&lt;p&gt;❖ A conciliação é responsável por realizar o cálculo do rateio;&lt;/p&gt;
&lt;p&gt;&lt;br/&gt;❖ Em caso de atraso no documento, todos os BL’s vinculados ao Allink precisarão da&lt;br/&gt;análise da conciliação quando o cliente desejar realizar o pagamento, pois, poderão&lt;br/&gt;haver casos em que o período impactado seja de responsabilidade do importador&lt;br/&gt;que atrasou o envio do documento. Nesta condição, o demonstrativo de cálculo terá&lt;br/&gt;que ser emitido de forma manual.&lt;/p&gt;
&lt;p&gt; &lt;/p&gt;
&lt;p&gt;Contato realizado diretamente com: Simone Soares - simone.soares@allink.com.br /&lt;br/&gt;&lt;a href="mailto:tamyrys.nobrega@allink.com.br"&gt;tamyrys.nobrega@allink.com.br&lt;/a&gt;&lt;/p&gt;
&lt;p&gt; &lt;/p&gt;
&lt;p&gt;Ticket:&lt;/p&gt;
&lt;p&gt;&lt;a href="https://atendimento.teconsvonline.com.br/agent/tickets/912256"&gt;https://wilsonsons.zendesk.com/agent/tickets/912256&lt;/a&gt;&lt;/p&gt;
&lt;p&gt; &lt;/p&gt;
&lt;p&gt; &lt;/p&gt;</t>
  </si>
  <si>
    <t>https://wilsonsons.zendesk.com/api/v2/help_center/pt-br/articles/23317440954509.json</t>
  </si>
  <si>
    <t>https://atendimento.teconsvonline.com.br/hc/pt-br/articles/23317440954509-CONTATOS-DM2</t>
  </si>
  <si>
    <t>CONTATOS - DM2</t>
  </si>
  <si>
    <t>['01HMEFBSCRW1F8GPSY0R2J9M8R']</t>
  </si>
  <si>
    <t>['DM2', 'CONTATO']</t>
  </si>
  <si>
    <t>&lt;p&gt; &lt;/p&gt;
&lt;p&gt;&lt;span&gt;Todos os assuntos relacionados a embarques, containers vistoriados, etc, por favor enviar para o e-mail&lt;span&gt; &lt;/span&gt;&lt;/span&gt;&lt;a href="mailto:bianca.chequin@dm2.agr.br"&gt;bianca.chequin@dm2.agr.br&lt;/a&gt;&lt;span&gt;,&lt;span&gt; &lt;/span&gt;&lt;/span&gt;&lt;a href="mailto:marcio.carneiro@joserubem.com.br"&gt;marcio.carneiro@joserubem.com.br&lt;/a&gt;&lt;span&gt;&lt;span&gt; &lt;/span&gt;e&lt;span&gt; &lt;/span&gt;&lt;/span&gt;&lt;a href="mailto:felipe@intertransbrasil.com.br"&gt;felipe@intertransbrasil.com.br&lt;/a&gt;&lt;span&gt;.&lt;/span&gt;&lt;/p&gt;
&lt;p&gt; &lt;/p&gt;
&lt;p&gt;&lt;span&gt;&lt;span&gt;&lt;span&gt;Todos os assuntos relacionados a embarques, containers vistoriados, etc, por favor enviar para o e-mail&lt;span&gt; &lt;/span&gt;&lt;/span&gt; para&lt;span&gt; &lt;/span&gt;&lt;/span&gt;&lt;a href="mailto:bianca.chequin@dm2.agr.br"&gt;bianca.chequin@dm2.agr.br&lt;/a&gt;&lt;span&gt;,&lt;span&gt; &lt;/span&gt;&lt;/span&gt;&lt;a href="mailto:david@dm2.agr.br"&gt;david@dm2.agr.br&lt;/a&gt;&lt;span&gt;,&lt;span&gt; &lt;/span&gt;&lt;/span&gt;&lt;a href="mailto:marcio.carneiro@joserubem.com.br"&gt;marcio.carneiro@joserubem.com.br&lt;/a&gt;&lt;span&gt;,&lt;span&gt; &lt;/span&gt;&lt;/span&gt;&lt;a href="mailto:atendimentoexp3@joserubem.com.br"&gt;atendimentoexp3@joserubem.com.br&lt;/a&gt;&lt;span&gt;&lt;span&gt; &lt;/span&gt;e&lt;span&gt; &lt;/span&gt;&lt;/span&gt;&lt;a href="mailto:felipe@intertransbrasil.com.br"&gt;felipe@intertransbrasil.com.br&lt;/a&gt;&lt;span&gt;. &lt;/span&gt;&lt;/span&gt;&lt;/p&gt;
&lt;p&gt;&lt;span&gt;&lt;span&gt;&lt;span&gt;&lt;span&gt; &lt;/span&gt;‭&lt;/span&gt;&lt;a href="https://atendimento.teconsvonline.com.br/agent/tickets/933443" target=""&gt;#933443&lt;/a&gt;&lt;span&gt;‬ &lt;/span&gt;&lt;/span&gt;&lt;/span&gt;&lt;/p&gt;</t>
  </si>
  <si>
    <t>https://wilsonsons.zendesk.com/api/v2/help_center/pt-br/articles/23120757650957.json</t>
  </si>
  <si>
    <t>https://atendimento.teconsvonline.com.br/hc/pt-br/articles/23120757650957-FLUXO-DE-DSA-2024</t>
  </si>
  <si>
    <t>FLUXO DE DSA - 2024</t>
  </si>
  <si>
    <t>['01HKWKR3372MHFETKGK4B8QQQ6', '01HKWKR5ZTMNMMXK01WWKY9P4D']</t>
  </si>
  <si>
    <t>['FLUXO', 'DSA']</t>
  </si>
  <si>
    <t>&lt;div&gt;&lt;/div&gt;
&lt;div&gt;&lt;/div&gt;
&lt;div&gt;Para registro interno e compreensão do novo fluxo DSA para remoção de unidades CH, compartilhamos o fluxo abaixo:&lt;/div&gt;
&lt;div&gt;&lt;/div&gt;
&lt;div&gt;&lt;img alt="FLUXO DSA 2024.jpg" src="https://atendimento.teconsvonline.com.br/attachments/token/Xzp7qws60Wuyn8zsQoptCxekJ/?name=FLUXO+DSA+2024.jpg"/&gt;&lt;/div&gt;
&lt;div&gt;&lt;/div&gt;
&lt;div&gt;&lt;/div&gt;</t>
  </si>
  <si>
    <t>https://wilsonsons.zendesk.com/api/v2/help_center/pt-br/articles/23047723490061.json</t>
  </si>
  <si>
    <t>https://atendimento.teconsvonline.com.br/hc/pt-br/articles/23047723490061-Alinhamento-Peso-da-unidade-ultrapassando-Max-Gross</t>
  </si>
  <si>
    <t>Alinhamento - Peso da unidade ultrapassando Max Gross</t>
  </si>
  <si>
    <t>['01HKQ6XTH8793ES1R470X2D3RN']</t>
  </si>
  <si>
    <t>['MaxGross', 'Exportação', 'excessodepeso']</t>
  </si>
  <si>
    <t>&lt;div&gt;&lt;font face="arial, sans-serif"&gt;Seguem alinhamentos realizados em nossa reunião:&lt;/font&gt;&lt;/div&gt;
&lt;p&gt;&lt;span&gt;&lt;font face="arial, sans-serif"&gt;&lt;strong&gt;Anotações importantes -&lt;/strong&gt;&lt;/font&gt;&lt;/span&gt;&lt;span&gt;&lt;/span&gt;&lt;/p&gt;
&lt;ul&gt;
&lt;li&gt;&lt;font face="arial, sans-serif"&gt;Sempre que unidade acusar excesso de peso, o certificado VGM disponível no N4 estará com peso incorreto;&lt;/font&gt;&lt;/li&gt;
&lt;li&gt;&lt;font face="arial, sans-serif"&gt;Não haverá repesagem automática da unidade após identificação do sobrepeso&lt;/font&gt;&lt;/li&gt;
&lt;/ul&gt;
&lt;p&gt;&lt;span&gt;&lt;font face="arial, sans-serif"&gt;&lt;strong&gt;Ações necessárias -&lt;/strong&gt;&lt;/font&gt;&lt;/span&gt;&lt;/p&gt;
&lt;ul&gt;
&lt;li&gt;&lt;span&gt;&lt;font face="arial, sans-serif"&gt;Elaborar comunicação ao cliente sugerindo que em caso de contestação solicite pesagem de exportação e informando o risco da perda de embarque. &lt;strong&gt;(Atendimento)&lt;/strong&gt;&lt;/font&gt;&lt;/span&gt;&lt;/li&gt;
&lt;li&gt;&lt;font face="arial, sans-serif"&gt;&lt;span&gt;&lt;font color="#000000"&gt;Verificar possibilidade de isenção automática caso a divergência de peso seja a partir de 5%. &lt;strong&gt;(Operações)&lt;/strong&gt; &lt;/font&gt;&lt;/span&gt; &lt;span&gt;ou&lt;/span&gt;&lt;br/&gt;&lt;/font&gt;&lt;/li&gt;
&lt;li&gt;
&lt;font face="arial, sans-serif"&gt;Verificar alçada para&lt;span&gt; &lt;/span&gt;&lt;/font&gt;&lt;a href="mailto:julia.rabelo@wilsonsons.com.br" target="_blank"&gt;@Júlia Rabêlo&lt;/a&gt;&lt;span&gt;&lt;font face="arial, sans-serif"&gt;, isentar o serviço. &lt;strong&gt;(Operações) &lt;/strong&gt;&lt;/font&gt;&lt;/span&gt;
&lt;/li&gt;
&lt;/ul&gt;
&lt;div&gt;&lt;font color="#000000" face="arial, sans-serif"&gt;&lt;span&gt;&lt;strong&gt;Fluxo:&lt;/strong&gt;&lt;/span&gt;&lt;/font&gt;&lt;/div&gt;
&lt;div&gt;&lt;font color="#000000" face="arial, sans-serif"&gt;&lt;span&gt; &lt;/span&gt;&lt;/font&gt;&lt;/div&gt;
&lt;div&gt;&lt;font color="#000000" face="arial, sans-serif"&gt;&lt;span&gt;1 - Operações identifica o excesso de peso;&lt;/span&gt;&lt;/font&gt;&lt;/div&gt;
&lt;div&gt;&lt;font color="#000000" face="arial, sans-serif"&gt;&lt;span&gt;2 - Operações sinalizam o atendimento e planners;&lt;/span&gt;&lt;/font&gt;&lt;/div&gt;
&lt;div&gt;&lt;font color="#000000" face="arial, sans-serif"&gt;&lt;span&gt;3 - Atendimento realiza comunicação ao cliente;&lt;/span&gt;&lt;/font&gt;&lt;/div&gt;
&lt;div&gt;&lt;font color="#000000" face="arial, sans-serif"&gt;&lt;span&gt;4 - Planners realiza comunicação ao armador;&lt;/span&gt;&lt;/font&gt;&lt;/div&gt;
&lt;div&gt;&lt;font color="#000000" face="arial, sans-serif"&gt;&lt;span&gt;5 - Atendimento realiza tratativa com cliente referente a desistência de embarque ou repesagem da unidade.&lt;/span&gt;&lt;/font&gt;&lt;/div&gt;</t>
  </si>
  <si>
    <t>https://wilsonsons.zendesk.com/api/v2/help_center/pt-br/articles/22884212670221.json</t>
  </si>
  <si>
    <t>https://atendimento.teconsvonline.com.br/hc/pt-br/articles/22884212670221-SOLICITA%C3%87%C3%83O-DE-ACESSO-AO-TERMINAL-Acesso-com-o-celular</t>
  </si>
  <si>
    <t>SOLICITAÇÃO DE ACESSO AO TERMINAL - Acesso com o celular</t>
  </si>
  <si>
    <t>['acesso', 'liberação', 'terminal']</t>
  </si>
  <si>
    <t>&lt;div&gt;Em caso de solicitação de acesso ao terminal &lt;span&gt;com o celular para fins de conferencia física junto a RFB ou MAPA devemos encaminhar e-mail conforme abaixo para as Áreas responsáveis:&lt;/span&gt;
&lt;/div&gt;
&lt;div&gt;&lt;/div&gt;
&lt;div&gt;Recepção/Patrimonial,&lt;/div&gt;
&lt;div&gt;Bom dia,&lt;/div&gt;
&lt;div&gt;&lt;/div&gt;
&lt;div&gt;Gentileza liberar acesso do preposto abaixo para fins de vistoria de carga no armazém.&lt;/div&gt;
&lt;div&gt;Obs: Autorizar acesso com o celular e seus equipamentos de inspeção.&lt;/div&gt;
&lt;div&gt;&lt;/div&gt;
&lt;div&gt;Nome e CPF da pessoa.&lt;/div&gt;
&lt;div&gt;&lt;/div&gt;
&lt;div&gt;Armazém,&lt;/div&gt;
&lt;div&gt;Para conhecimento.&lt;/div&gt;
&lt;div&gt;
&lt;div&gt;
&lt;div&gt;&lt;/div&gt;
&lt;div&gt;Vide Contato interno do ticket &lt;span&gt;#876314.&lt;/span&gt;
&lt;/div&gt;
&lt;div&gt;&lt;span&gt;&lt;/span&gt;&lt;/div&gt;
&lt;div&gt;&lt;span&gt;Questionar se a pessoa possui acesso a Codeba, caso não tenha Luise, Fernanda e Victor tem acesso ao para solicitar a liberação. Se for acesso com veiculo pedir a placa do veiculo.&lt;/span&gt;&lt;/div&gt;
&lt;/div&gt;
&lt;/div&gt;</t>
  </si>
  <si>
    <t>https://wilsonsons.zendesk.com/api/v2/help_center/pt-br/articles/22883722491149.json</t>
  </si>
  <si>
    <t>https://atendimento.teconsvonline.com.br/hc/pt-br/articles/22883722491149-CONSULTAR-CADASTRO-PARA-LIBERA%C3%87%C3%83O-DE-BOOKING-CABOTAGEM</t>
  </si>
  <si>
    <t>CONSULTAR CADASTRO PARA LIBERAÇÃO DE BOOKING - CABOTAGEM</t>
  </si>
  <si>
    <t>['01GPY217SSC5MP9PMEN97RPEVN', '01HK7ZMFPZPYDXW7188WSP0PAW', '01HK7ZMRH3J546RX51MRNV43MR']</t>
  </si>
  <si>
    <t>['CABOTAGEM', 'BOOKING']</t>
  </si>
  <si>
    <t>&lt;p&gt;Pesquisar unidades no Portal em Liberação Documental - Cabotagem - mais filtro cod. CONTAINER.&lt;/p&gt;
&lt;p&gt;Inserir a numeração da unidade ex: CMAU6508400 - Puxará informações referente ao processo da unidade, deve-se analisar se está tudo de acordo. &lt;/p&gt;
&lt;ul&gt;
&lt;li&gt;Consultar unidade no Tecsys &lt;/li&gt;
&lt;li&gt;Verificar se as informações de CTE e VIAGEM DO NAVIO no portal estão de acordo com o sistema.&lt;/li&gt;
&lt;li&gt;Abrir &lt;a href="https://www.cte.fazenda.gov.br/portal/consultaRecaptcha.aspx?tipoConsulta=resumo&amp;amp;tipoConteudo=cktLvUUKqh0="&gt;https://www.cte.fazenda.gov.br/portal/consultaRecaptcha.aspx?tipoConsulta=resumo&amp;amp;tipoConteudo=cktLvUUKqh0=&lt;/a&gt; para consultar a Chave do CTE verificar se é Modal  Aquaviário.
&lt;/li&gt;
&lt;/ul&gt;
&lt;p&gt;Depois de certifica-se que o agendamento está correto de acordo com os pontos acima, contatar Armazenagem para liberação do Booking. &lt;/p&gt;
&lt;p&gt;&lt;img src="https://atendimento.teconsvonline.com.br/hc/article_attachments/22883714530317"/&gt;&lt;/p&gt;
&lt;p&gt;&lt;img src="https://atendimento.teconsvonline.com.br/hc/article_attachments/22883714533517"/&gt;&lt;/p&gt;
&lt;p&gt; &lt;/p&gt;</t>
  </si>
  <si>
    <t>https://wilsonsons.zendesk.com/api/v2/help_center/pt-br/articles/22859736115341.json</t>
  </si>
  <si>
    <t>https://atendimento.teconsvonline.com.br/hc/pt-br/articles/22859736115341-COMUNICAR-AVARIA-DE-ORIGEM</t>
  </si>
  <si>
    <t>COMUNICAR AVARIA DE ORIGEM</t>
  </si>
  <si>
    <t>['AVARIALACRE', 'LACRE', 'ORIGEM']</t>
  </si>
  <si>
    <t>&lt;div&gt;&lt;/div&gt;
&lt;div&gt;A Segurança Patrimonial/Operacional encaminha e-mail informando a Avaria.&lt;/div&gt;
&lt;div&gt;&lt;/div&gt;
&lt;div&gt;O atendimento deve analisar e encaminhar a informação de Avaria para os responsáveis da carga.&lt;/div&gt;
&lt;div&gt;&lt;/div&gt;
&lt;div&gt;1ª Analisar o processo no sistema Tecsys e seguir com comunicação conforme abaixo:&lt;/div&gt;
&lt;ul&gt;
&lt;li&gt;Cabotagem: &lt;/li&gt;
&lt;/ul&gt;
&lt;div&gt;HOUSE TO HOUSE - Porta a Porta: Comunicar a avaria ao  Armador.&lt;/div&gt;
&lt;div&gt;PIER TO PIER - Porto a Porto: Comunicar a avaria ao Cliente.&lt;/div&gt;
&lt;ul&gt;
&lt;li&gt;Importação/ Carga TECON (DI):&lt;/li&gt;
&lt;/ul&gt;
&lt;p&gt; Comunicar a avaria ao Cliente e Despachante.&lt;/p&gt;
&lt;ul&gt;
&lt;li&gt;Recinto (DTC):&lt;/li&gt;
&lt;/ul&gt;
&lt;p&gt;Comunicar a Avaria ao recinto.&lt;/p&gt;
&lt;ul&gt;
&lt;li&gt;Transbordo:&lt;/li&gt;
&lt;/ul&gt;
&lt;p&gt;Comunicar ao Armador.&lt;/p&gt;
&lt;p&gt; &lt;/p&gt;
&lt;p&gt;2ª Analisar o E-mail da Avaria, verificar se as informações estão de acordo; Lacre detalhado no e-mail e na imagem, CNTR do e-mail e da imagem, verificar se as imagens estão legíveis, não enviar o arquivo interno. Enviar somente as imagens.&lt;/p&gt;
&lt;p&gt; &lt;/p&gt;
&lt;p&gt;3ª Formalização da Avaria:&lt;/p&gt;
&lt;p&gt;&lt;span&gt;#879099 - &lt;span&gt;AVARIA LACRE DE ORIGEM&lt;/span&gt;&lt;/span&gt;&lt;/p&gt;
&lt;p&gt; &lt;/p&gt;
&lt;div&gt;
&lt;div&gt;
&lt;div&gt;
&lt;div&gt;
&lt;div&gt;
&lt;div&gt;&lt;/div&gt;
&lt;div&gt;&lt;/div&gt;
&lt;div&gt;&lt;/div&gt;
&lt;/div&gt;
&lt;/div&gt;
&lt;/div&gt;
&lt;/div&gt;
&lt;/div&gt;</t>
  </si>
  <si>
    <t>https://wilsonsons.zendesk.com/api/v2/help_center/pt-br/articles/22718603281805.json</t>
  </si>
  <si>
    <t>https://atendimento.teconsvonline.com.br/hc/pt-br/articles/22718603281805-CARTAS-PROTESTO</t>
  </si>
  <si>
    <t>CARTAS PROTESTO</t>
  </si>
  <si>
    <t>['01HJP68KECPHSJMRW7Y9K1PD87', '01HJP68V1F6NARVJKCQVGBRKTA']</t>
  </si>
  <si>
    <t>['cartaprotesto', 'carta', 'protesto']</t>
  </si>
  <si>
    <t>&lt;p&gt;Ao receber e-mail de Carta Protesto deve aplicar Macro - Pesquisar Resposta e CP: Carta protesto, puxa um modelo de e-mail preenchido com contatos responsáveis: Fernando e Mauricio.&lt;/p&gt;
&lt;p&gt;Clicar em adc comentários do ticket para anexar o e-mail principal e envia.&lt;/p&gt;
&lt;p&gt; &lt;/p&gt;
&lt;p&gt;Responde ao cliente/Despachante: &lt;/p&gt;
&lt;p&gt;Prezados, bom dia!&lt;/p&gt;
&lt;p&gt;Recebido. Nenhuma responsabilidade admitida sem prejuízo ou renúncia a quaisquer direitos.&lt;br/&gt;&lt;br/&gt;Qualquer dúvida, estamos à disposição.&lt;/p&gt;
&lt;p&gt; &lt;/p&gt;
&lt;p&gt;Envia como resolvido.&lt;/p&gt;
&lt;p&gt;Vide Ticket: &lt;span&gt;#876425&lt;/span&gt;&lt;/p&gt;</t>
  </si>
  <si>
    <t>https://wilsonsons.zendesk.com/api/v2/help_center/pt-br/articles/22601750339853.json</t>
  </si>
  <si>
    <t>https://atendimento.teconsvonline.com.br/hc/pt-br/articles/22601750339853-Portaria-n%C2%BA-11-de-26-05-23-Uso-dos-equipamentos-de-inspe%C3%A7%C3%A3o-n%C3%A3o-invasiva-em-SSA</t>
  </si>
  <si>
    <t>Portaria nº 11 de 26/05/23 _Uso dos equipamentos de inspeção não invasiva em SSA</t>
  </si>
  <si>
    <t>['Europa', 'Marrocos', 'Inspeçãonãoinvasiva', 'Africa']</t>
  </si>
  <si>
    <t>&lt;div&gt;Segue destaques que foram incluídos na Portaria nº 11/ 2023, que disciplina o uso do scanner e entrou em vigor em 29/05/23. &lt;/div&gt;
&lt;div&gt;&lt;/div&gt;
&lt;div&gt;Vale ressaltar que, além dos itens relacionados, há outros já atendidos pelo Terminal, que passam apenas a consolidar essa Portaria.&lt;/div&gt;
&lt;div&gt;&lt;/div&gt;
&lt;div&gt;
&lt;strong&gt;Art. 3º - &lt;/strong&gt;Inclusão do destino&lt;span&gt; &lt;/span&gt;&lt;strong&gt;África&lt;/strong&gt;, além de Europa, para exportação (transbordo/ baldeação/destino final). Antes era Europa e Marrocos.&lt;/div&gt;
&lt;div&gt;Resp. Operações&lt;/div&gt;
&lt;div&gt;&lt;/div&gt;
&lt;div&gt;
&lt;strong&gt;Art. 4º - &lt;/strong&gt;inclusão do prazo de escaneamento de exportação até o&lt;span&gt; &lt;/span&gt;&lt;strong&gt;deadline&lt;/strong&gt;&lt;span&gt; &lt;/span&gt;do navio.&lt;/div&gt;
&lt;div&gt;Resp. Operações&lt;/div&gt;
&lt;div&gt;
&lt;div&gt;&lt;/div&gt;
&lt;/div&gt;
&lt;div&gt;
&lt;strong&gt;Art. 6º - &lt;/strong&gt; Adequações de resolução mínima, velocidade e formato de arquivo, conforme Portarias 143/22 e 76/22, incluindo a disponibilização de imagens em outros locais de interesse da fiscalização, que já estamos tratando em Comitê de eficiência TI.&lt;/div&gt;
&lt;div&gt;Resp. TI&lt;/div&gt;
&lt;div&gt;&lt;/div&gt;
&lt;div&gt;
&lt;strong&gt;Art. 11 -&lt;/strong&gt; Embora já estejamos adequados aos prazos de interrupções, por suspeitas de imagens, desde 2018, houve uma alteração importante no item de exportação, que precisaremos retomar com a RFB: &lt;/div&gt;
&lt;div&gt;
&lt;span&gt;II - 4 (quatro) horas&lt;span&gt; &lt;/span&gt;&lt;/span&gt;&lt;font color="#0000ff"&gt;úteis&lt;/font&gt;&lt;font color="#162937"&gt;, no fluxo da exportação;  (anteriormente eram "&lt;em&gt;corridas", vide &lt;/em&gt;anexo)&lt;/font&gt;
&lt;/div&gt;
&lt;div&gt;&lt;span&gt;Resp. Operações&lt;/span&gt;&lt;/div&gt;
&lt;div&gt;
&lt;div&gt;&lt;strong&gt; &lt;/strong&gt;&lt;/div&gt;
&lt;div&gt;
&lt;strong&gt;Art. 13&lt;/strong&gt; - Ratifica a necessidade de scanner para Recintos que operem com desunitização de unidades de carga/ carga solta, conforme Portaria Coana nº 76/22 e  Art. 4º - altera o tratamento prioritário de "linha azul" para "OEA", para habilitados.&lt;/div&gt;
&lt;div&gt;Resp. Comitê Aduaneiro&lt;/div&gt;
&lt;div&gt;&lt;/div&gt;
&lt;div&gt;
&lt;strong&gt;Art. 16 -&lt;/strong&gt; Inclusão do fluxo de envio semestral, de relatórios e documentos referentes à manutenção preventiva e corretiva dos equipamentos de Inspeção.&lt;/div&gt;
&lt;div&gt;Resp.: Manutenção&lt;/div&gt;
&lt;div&gt;&lt;/div&gt;
&lt;div&gt;&lt;/div&gt;
&lt;div&gt;Para os itens de adequação de processo ou sistema, com necessidade de ajuste interno, estou encaminhando com as áreas para alinhamento de prazo, junto à RFB. &lt;/div&gt;
&lt;/div&gt;
&lt;div&gt;&lt;a href="https://www.in.gov.br/en/web/dou/-/portaria-alf/sdr-n-11-de-26-de-maio-de-2023-486248300"&gt;https://www.in.gov.br/en/web/dou/-/portaria-alf/sdr-n-11-de-26-de-maio-de-2023-486248300&lt;/a&gt;&lt;/div&gt;
&lt;div&gt;&lt;/div&gt;</t>
  </si>
  <si>
    <t>https://wilsonsons.zendesk.com/api/v2/help_center/pt-br/articles/22545719006093.json</t>
  </si>
  <si>
    <t>https://atendimento.teconsvonline.com.br/hc/pt-br/articles/22545719006093-Carga-que-entrar%C3%A1-em-Abandono</t>
  </si>
  <si>
    <t>Carga que entrará em Abandono</t>
  </si>
  <si>
    <t>['01H0NPK2X1DJVSBCSB7F18XY6E', '01HJ4FA04EBVJ0JSCM4K5M8G8N']</t>
  </si>
  <si>
    <t>['Prazodepermanencia', 'Abandono']</t>
  </si>
  <si>
    <t>&lt;p&gt;O Setor Armazenagem encaminha um e-mail informando que processo X está completando XX dias no terminal, sem seu devido registro de DI/DTA. &lt;/p&gt;
&lt;p&gt; &lt;/p&gt;
&lt;p&gt;Atendimento deve identificar o Cliente/Despachante do processo e replicar o comunicado sobre o Vencimento de Prazo de Permanência para que os mesmo tenham ciência.&lt;/p&gt;
&lt;p&gt;Ex: &lt;span&gt;#872801&lt;/span&gt;&lt;/p&gt;
&lt;p&gt; &lt;/p&gt;</t>
  </si>
  <si>
    <t>https://wilsonsons.zendesk.com/api/v2/help_center/pt-br/articles/22528858942477.json</t>
  </si>
  <si>
    <t>https://atendimento.teconsvonline.com.br/hc/pt-br/articles/22528858942477-Emails-Suprimentos</t>
  </si>
  <si>
    <t>Emails: Suprimentos</t>
  </si>
  <si>
    <t>['01H4ECZ89JHG3TB0YZYAVW72XV']</t>
  </si>
  <si>
    <t>['emails', 'contatosuprimentos']</t>
  </si>
  <si>
    <t>&lt;p&gt;helder.santos@wilsonsons.com.br,&lt;br/&gt;marcelo.filipe@wilsonsons.com.br,&lt;br/&gt;rafaela.fernandes@wilsonsons.com.br,&lt;br/&gt;luiza.carvalho@wilsonsons.com.br,&lt;br/&gt;ernani.cabanas@wilsonsons.com.br,&lt;/p&gt;</t>
  </si>
  <si>
    <t>https://wilsonsons.zendesk.com/api/v2/help_center/pt-br/articles/22527297395469.json</t>
  </si>
  <si>
    <t>https://atendimento.teconsvonline.com.br/hc/pt-br/articles/22527297395469-Email-Seguran%C3%A7a-Patrimonial</t>
  </si>
  <si>
    <t>Email: Segurança Patrimonial</t>
  </si>
  <si>
    <t>['emails', 'contatossegurançapatrimonial']</t>
  </si>
  <si>
    <t>&lt;p&gt;segurancapatrimonial.tcsv@wilsonsons.com.br,&lt;br/&gt;recepcao.tcsv@wilsonsons.com.br,&lt;br/&gt;fernando.borba@wilsonsons.com.br,&lt;/p&gt;</t>
  </si>
  <si>
    <t>https://wilsonsons.zendesk.com/api/v2/help_center/pt-br/articles/22527023643277.json</t>
  </si>
  <si>
    <t>https://atendimento.teconsvonline.com.br/hc/pt-br/articles/22527023643277-Emails-DHO</t>
  </si>
  <si>
    <t>Emails: DHO</t>
  </si>
  <si>
    <t>['01HJ3KAVJN59Z77V8B4ERMMDK4']</t>
  </si>
  <si>
    <t>['emails', 'contatoDHO']</t>
  </si>
  <si>
    <t>&lt;p&gt;recrutamento.salvador@wilsonsons.com.br,&lt;br/&gt;dho.teconsalvador@wilsonsons.com.br,&lt;/p&gt;</t>
  </si>
  <si>
    <t>https://wilsonsons.zendesk.com/api/v2/help_center/pt-br/articles/22526914045965.json</t>
  </si>
  <si>
    <t>https://atendimento.teconsvonline.com.br/hc/pt-br/articles/22526914045965-Emails-Depot</t>
  </si>
  <si>
    <t>Emails: Depot</t>
  </si>
  <si>
    <t>['emails', 'contatodepot', 'depot']</t>
  </si>
  <si>
    <t>&lt;p&gt;estimators.depot.tcsv@wilsonsons.com.br,&lt;br/&gt;booking.depot.tcsv@wilsonsons.com.br,&lt;br/&gt;aloisio.junior@wilsonsons.com.br,&lt;/p&gt;</t>
  </si>
  <si>
    <t>https://wilsonsons.zendesk.com/api/v2/help_center/pt-br/articles/22526646445837.json</t>
  </si>
  <si>
    <t>https://atendimento.teconsvonline.com.br/hc/pt-br/articles/22526646445837-Emails-Opera%C3%A7%C3%B5es</t>
  </si>
  <si>
    <t>Emails: Operações</t>
  </si>
  <si>
    <t>['emails', 'contatooperaçoes']</t>
  </si>
  <si>
    <t>&lt;p&gt;bookings.tcsv@wilsonsons.com.br,&lt;br/&gt;clearance.tcsv@wilsonsons.com.br,&lt;br/&gt;sop@wilsonsons.com.br,&lt;br/&gt;ceq@wilsonsons.com.br,&lt;br/&gt;planners.tcsv@wilsonsons.com.br,&lt;br/&gt;reefer.tcsv@wilsonsons.com.br,&lt;br/&gt;operation.tcsv@wilsonsons.com.br,&lt;br/&gt;triagem.tcsv@wilsonsons.com.br,&lt;/p&gt;</t>
  </si>
  <si>
    <t>https://wilsonsons.zendesk.com/api/v2/help_center/pt-br/articles/22526541868941.json</t>
  </si>
  <si>
    <t>https://atendimento.teconsvonline.com.br/hc/pt-br/articles/22526541868941-E-mails-Armazem</t>
  </si>
  <si>
    <t>E-mails: Armazem</t>
  </si>
  <si>
    <t>['01H32JT9HQS6WJFWMED6MR765G', '01H4ECZ89JHG3TB0YZYAVW72XV', '01HJ3J7MTMGH5509Q1JPHXP0MG']</t>
  </si>
  <si>
    <t>&lt;p&gt;armazem.tcsv@wilsonsons.com.br,&lt;br/&gt;valdnei.santos@wilsonsons.com.br,&lt;br/&gt;ricardo.monteiro@wilsonsons.com.br,&lt;br/&gt;andre.luis@wilsonsons.com.br,&lt;br/&gt;fabio.santos@wilsonsons.com.br,&lt;br/&gt;vanessa.lima@wilsonsons.com.br,&lt;br/&gt;verena.souza@wilsonsons.com.br,&lt;br/&gt;rafael.ribeiro@wilsonsons.com.br,&lt;br/&gt;renato.cerqueira@wilsonsons.com.br,&lt;/p&gt;</t>
  </si>
  <si>
    <t>https://wilsonsons.zendesk.com/api/v2/help_center/pt-br/articles/22526318397453.json</t>
  </si>
  <si>
    <t>https://atendimento.teconsvonline.com.br/hc/pt-br/articles/22526318397453-Como-solicito-desova-parcial-consolidado-da-MK</t>
  </si>
  <si>
    <t>Como solicito desova parcial consolidado da MK?</t>
  </si>
  <si>
    <t>['desova parcial', 'MK', 'consolidado']</t>
  </si>
  <si>
    <t>&lt;p&gt; &lt;/p&gt;
&lt;p&gt;&lt;strong&gt;Resposta&lt;/strong&gt;:  A desova de consolidado parcial não é realizada no Portal. &lt;/p&gt;
&lt;p&gt;Normalmente, o cliente que pede essa demanda é o MK. &lt;/p&gt;
&lt;p&gt;È necessário enviar uma conversa paralela para os seguintes e-mails do Armazém : xxxxxxxxx&lt;/p&gt;
&lt;p&gt;&lt;strong&gt;Texto sugerido:&lt;/strong&gt;&lt;/p&gt;
&lt;p&gt;Gentileza notar solicitação de desova parcial. &lt;/p&gt;
&lt;p&gt;Sempre enviar com os documentos BL e packlist.&lt;/p&gt;
&lt;p&gt;&lt;strong&gt;Atenção:&lt;/strong&gt;&lt;/p&gt;
&lt;p&gt;Confira os bls que foram solicitados, pois caso a informação seja enviada errada para o Armazém, a desova será realizada incorretamente.&lt;/p&gt;
&lt;p&gt;Se possível, envio o print da solicitação do cliente no e-mail interno com a programação.&lt;/p&gt;
&lt;p&gt;Mantenha o acompanhamento da demanda para informar ao cliente sobre a conclusão. &lt;/p&gt;
&lt;p&gt;Como é desova parcial, parte da carga permanecerá em container e sairá como cheio.&lt;/p&gt;
&lt;p&gt; &lt;/p&gt;
&lt;p&gt;A liberação documental xxxxx&lt;/p&gt;
&lt;p&gt; &lt;/p&gt;
&lt;p&gt; &lt;/p&gt;
&lt;p&gt; &lt;/p&gt;
&lt;p&gt; &lt;/p&gt;</t>
  </si>
  <si>
    <t>https://wilsonsons.zendesk.com/api/v2/help_center/pt-br/articles/22419830133901.json</t>
  </si>
  <si>
    <t>https://atendimento.teconsvonline.com.br/hc/pt-br/articles/22419830133901-MK</t>
  </si>
  <si>
    <t>MK</t>
  </si>
  <si>
    <t>['KCTemplate']</t>
  </si>
  <si>
    <t>&lt;p&gt;&lt;span&gt;Questionamento de faturamento &lt;/span&gt;&lt;/p&gt;
&lt;p&gt;&lt;span&gt;josiane.piza@emondial.com&lt;/span&gt;&lt;span&gt;,&lt;/span&gt;&lt;br/&gt;&lt;span&gt;valeria.campos@emondial.com&lt;/span&gt;&lt;span&gt;,&lt;/span&gt;&lt;br/&gt;&lt;span&gt;cristina.pedreira@emondial.com&lt;/span&gt;&lt;/p&gt;</t>
  </si>
  <si>
    <t>https://wilsonsons.zendesk.com/api/v2/help_center/pt-br/articles/18817200171021.json</t>
  </si>
  <si>
    <t>https://atendimento.teconsvonline.com.br/hc/pt-br/articles/18817200171021-Agendamento-de-devolu%C3%A7%C3%A3o-de-vazios-CLSSA-DEPOT</t>
  </si>
  <si>
    <t>Agendamento de devolução de vazios - CLSSA ( DEPOT)</t>
  </si>
  <si>
    <t>&lt;p&gt;&lt;img alt="Capturar.JPG" src="https://atendimento.teconsvonline.com.br/hc/article_attachments/18817209073549"/&gt;&lt;/p&gt;</t>
  </si>
  <si>
    <t>https://wilsonsons.zendesk.com/api/v2/help_center/pt-br/articles/18727472957581.json</t>
  </si>
  <si>
    <t>https://atendimento.teconsvonline.com.br/hc/pt-br/articles/18727472957581-Regras-para-aplica%C3%A7%C3%A3o-de-dia-adicional-de-Armazenagem</t>
  </si>
  <si>
    <t>Regras para aplicação de dia adicional de Armazenagem.</t>
  </si>
  <si>
    <t>&lt;div&gt;&lt;/div&gt;
&lt;div&gt;&lt;/div&gt;
&lt;div&gt;Aplica-se a regra de adição +1 dia para saída da carga quando:&lt;/div&gt;
&lt;div&gt;
&lt;ol&gt;
&lt;li&gt; Período finaliza aos domingos ou feriados;&lt;/li&gt;
&lt;li&gt; Cliente à vista com pagamento realizado no último de de período;&lt;/li&gt;
&lt;/ol&gt;
&lt;div&gt;Informação confirmada com &lt;a href="mailto:patricia.andrade@wilsonsons.com.br"&gt;@Patricia Tambuque&lt;/a&gt; , que também realizou testes no sistema para confirmar.&lt;/div&gt;
&lt;/div&gt;</t>
  </si>
  <si>
    <t>https://wilsonsons.zendesk.com/api/v2/help_center/pt-br/articles/18665299725581.json</t>
  </si>
  <si>
    <t>https://atendimento.teconsvonline.com.br/hc/pt-br/articles/18665299725581-Entrada-Antecipada</t>
  </si>
  <si>
    <t>Entrada Antecipada</t>
  </si>
  <si>
    <t>&lt;div&gt;&lt;span&gt;&lt;font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span&gt;&lt;/div&gt;
&lt;p&gt;&lt;span&gt;&lt;strong&gt;O que é?&lt;/strong&gt;&lt;/span&gt;&lt;/p&gt;
&lt;p&gt;A solicitação de entrada de container antes da abertura do gate do navio, está disponível no Portal.&lt;/p&gt;
&lt;p&gt;Com a alteração, o serviço pode ser solicitado 24h e com liberação automatizada.&lt;/p&gt;
&lt;p&gt; &lt;/p&gt;
&lt;p&gt;&lt;span&gt;&lt;strong&gt;Veja como funciona:&lt;/strong&gt;&lt;/span&gt;&lt;/p&gt;
&lt;p&gt;1. Acesse o &lt;strong&gt;portal&lt;/strong&gt; : &lt;a href="https://portal.teconsvonline.com.br/"&gt;https://portal.teconsvonline.com.br/&lt;/a&gt;&lt;/p&gt;
&lt;p&gt;2. Menu: Agendamento de Container&lt;/p&gt;
&lt;p&gt;3. Opção: &lt;strong&gt;Entrada Antecipada&lt;/strong&gt; &lt;/p&gt;
&lt;p&gt;&lt;img src="https://atendimento.teconsvonline.com.br/hc/article_attachments/18664625337613"/&gt;&lt;/p&gt;
&lt;p&gt;4. Clicar em "Nova Solicitação" para liberar a entrada antecipada do(s) container(s)&lt;/p&gt;
&lt;p&gt;&lt;img alt="Manual Melhorias Publicadas. (10).jpg" src="https://atendimento.teconsvonline.com.br/hc/article_attachments/18671900442125"/&gt;&lt;/p&gt;
&lt;p&gt; &lt;/p&gt;
&lt;p&gt; &lt;/p&gt;
&lt;p&gt;5. Atenção: aceite o termo de &lt;strong&gt;responsabilidade e custos&lt;/strong&gt;&lt;/p&gt;
&lt;p&gt;&lt;img alt="Manual Melhorias Publicadas. (11).jpg" src="https://atendimento.teconsvonline.com.br/hc/article_attachments/18671932618765"/&gt;&lt;/p&gt;
&lt;p&gt;6. Informe o número do &lt;strong&gt;booking&lt;/strong&gt; e um ou mais &lt;strong&gt;containers &lt;/strong&gt;&lt;br/&gt;7. Relacione o CNPJ para faturamento dos custos gerados para entrada antecipada &lt;/p&gt;
&lt;p&gt; &lt;/p&gt;
&lt;p&gt;&lt;img alt="borrado.PNG" src="https://atendimento.teconsvonline.com.br/hc/article_attachments/18806833625229"/&gt;&lt;/p&gt;
&lt;p&gt;8. Agora é só &lt;strong&gt;confirmar e realizar o agendamento. &lt;/strong&gt;&lt;/p&gt;
&lt;p&gt;&lt;img alt="borrado 2.PNG" src="https://atendimento.teconsvonline.com.br/hc/article_attachments/18806833648781"/&gt;&lt;/p&gt;
&lt;p&gt;9. É possível realizar pesquisas pelo booking e/ou container para verificar a situação da sua solicitação:&lt;/p&gt;
&lt;ul&gt;
&lt;li&gt;Solicitado: entrada Antecipada solicitada e já pode ser agendada&lt;/li&gt;
&lt;li&gt;Agendado: container já foi agendado pelo transportador&lt;/li&gt;
&lt;li&gt;No Terminal: container já está no Terminal&lt;/li&gt;
&lt;/ul&gt;
&lt;p&gt;&lt;img height="326" src="https://atendimento.teconsvonline.com.br/hc/article_attachments/18665224916621" width="821"/&gt;&lt;/p&gt;
&lt;p&gt;Promover uma experiência cada vez melhor é nossa prioridade! 🚀&lt;/p&gt;</t>
  </si>
  <si>
    <t>https://wilsonsons.zendesk.com/api/v2/help_center/pt-br/articles/18664293608461.json</t>
  </si>
  <si>
    <t>https://atendimento.teconsvonline.com.br/hc/pt-br/articles/18664293608461-Consulta-de-navio-associado-ao-booking-no-m%C3%B3dulo-de-agendamento-de-entrada</t>
  </si>
  <si>
    <t>Consulta de navio associado ao booking no módulo de agendamento de entrada</t>
  </si>
  <si>
    <t>&lt;div&gt;&lt;span&gt;&lt;font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span&gt;&lt;/div&gt;
&lt;p&gt; &lt;/p&gt;
&lt;p&gt;&lt;span&gt;&lt;strong&gt;O que é?&lt;/strong&gt;&lt;/span&gt;&lt;/p&gt;
&lt;p&gt;Atendendo as solicitações de alguns transportadores, incluímos na etapa do agendamento a informação do navio  associado, evitando o agendamento de unidades no booking ou navio incorreto.&lt;/p&gt;
&lt;p&gt; &lt;/p&gt;
&lt;p&gt;Tela do agendamento de entrada de container:&lt;/p&gt;
&lt;p&gt;&lt;img src="https://atendimento.teconsvonline.com.br/hc/article_attachments/18664180932749"/&gt;&lt;/p&gt;
&lt;p&gt; &lt;/p&gt;
&lt;p&gt;Promover uma experiência cada vez melhor é nossa prioridade! 🚀&lt;/p&gt;</t>
  </si>
  <si>
    <t>https://wilsonsons.zendesk.com/api/v2/help_center/pt-br/articles/18663428825869.json</t>
  </si>
  <si>
    <t>https://atendimento.teconsvonline.com.br/hc/pt-br/articles/18663428825869-Cadastro-ou-atualiza%C3%A7%C3%A3o-de-e-mails-para-envio-de-faturas</t>
  </si>
  <si>
    <t>Cadastros e Acessos</t>
  </si>
  <si>
    <t>Cadastro ou atualização de e-mails para envio de faturas.</t>
  </si>
  <si>
    <t>&lt;div&gt;&lt;/div&gt;
&lt;div&gt;&lt;/div&gt;
&lt;div&gt;&lt;span&gt;&lt;font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span&gt;&lt;/div&gt;
&lt;p&gt; &lt;/p&gt;
&lt;p&gt;&lt;span&gt;&lt;strong&gt;O que é?&lt;/strong&gt;&lt;/span&gt;&lt;/p&gt;
&lt;p&gt;&lt;span&gt;A melhoria permite que o usuário faça a inclusão ou exclusão dos e-mails para recebimentos dos faturamentos. &lt;/span&gt;&lt;/p&gt;
&lt;p&gt;&lt;span&gt;A ação é atualizada automaticamente com o nosso sistema de expedição de faturas.&lt;/span&gt;&lt;/p&gt;
&lt;p&gt; &lt;/p&gt;
&lt;p&gt;&lt;span&gt;&lt;strong&gt;Veja como funciona:&lt;/strong&gt;&lt;/span&gt;&lt;/p&gt;
&lt;p&gt;1. Acesse o Portal - &lt;a href="https://portal.teconsvonline.com.br"&gt;https://portal.teconsvonline.com.br&lt;/a&gt;&lt;/p&gt;
&lt;p&gt;2. Opção “Meu Tecon”&lt;br/&gt;&lt;br/&gt;&lt;/p&gt;
&lt;p&gt;&lt;span&gt;&lt;strong&gt; &lt;img src="https://atendimento.teconsvonline.com.br/hc/article_attachments/18662922688909"/&gt;&lt;/strong&gt;&lt;/span&gt;&lt;/p&gt;
&lt;p&gt;&lt;span&gt;&lt;strong&gt; &lt;/strong&gt;&lt;/span&gt;&lt;/p&gt;
&lt;p&gt;3. Opção “Atualização Cadastral”&lt;/p&gt;
&lt;p&gt; &lt;/p&gt;
&lt;p&gt;&lt;span&gt;&lt;strong&gt;&lt;img src="https://atendimento.teconsvonline.com.br/hc/article_attachments/18662991571597"/&gt;&lt;/strong&gt;&lt;/span&gt;&lt;/p&gt;
&lt;p&gt; &lt;/p&gt;
&lt;p&gt;4. Selecione a categoria “NFE”&lt;br/&gt;5. Utilize o filtro para encontrar o cliente/ CNPJ&lt;/p&gt;
&lt;p&gt; &lt;/p&gt;
&lt;p&gt;&lt;span&gt;&lt;strong&gt;&lt;img src="https://atendimento.teconsvonline.com.br/hc/article_attachments/18663135826829"/&gt;&lt;/strong&gt;&lt;/span&gt;&lt;/p&gt;
&lt;p&gt; &lt;/p&gt;
&lt;p&gt;6. Clique em: novo e-mail&lt;br/&gt;7. Inclua novos e-mails e salve as alterações&lt;br/&gt;&lt;br/&gt;&lt;/p&gt;
&lt;p&gt; &lt;/p&gt;
&lt;p&gt;&lt;img src="https://atendimento.teconsvonline.com.br/hc/article_attachments/18663203210381"/&gt;&lt;/p&gt;
&lt;p&gt; &lt;/p&gt;
&lt;p&gt;8. Para excluir, use a opção abaixo:&lt;/p&gt;
&lt;p&gt;&lt;img src="https://atendimento.teconsvonline.com.br/hc/article_attachments/18663348080269"/&gt;&lt;/p&gt;
&lt;p&gt;&lt;span&gt;&lt;strong&gt;**Pronto! Você já consegue realizar a gestão completa do seu cadastro de e-mails**&lt;/strong&gt;&lt;/span&gt;&lt;/p&gt;
&lt;p&gt; &lt;/p&gt;
&lt;p&gt;Promover uma experiência cada vez melhor é nossa prioridade! 🚀&lt;/p&gt;
&lt;p&gt; &lt;/p&gt;
&lt;p&gt; &lt;/p&gt;
&lt;p&gt; &lt;/p&gt;
&lt;p&gt; &lt;/p&gt;
&lt;p&gt; &lt;/p&gt;</t>
  </si>
  <si>
    <t>https://wilsonsons.zendesk.com/api/v2/help_center/pt-br/articles/18171266379277.json</t>
  </si>
  <si>
    <t>https://atendimento.teconsvonline.com.br/hc/pt-br/articles/18171266379277-Manual-do-Zendesk-Chat</t>
  </si>
  <si>
    <t>Manual do Zendesk Chat</t>
  </si>
  <si>
    <t>&lt;h2&gt;Antes de Começar -&lt;/h2&gt;
&lt;p&gt;Antes de iniciar a descrição das métricas e consultas calculadas, vamos a alguns conceitos importantes.&lt;/p&gt;
&lt;h2&gt;Conceitos básicos -&lt;/h2&gt;
&lt;h2&gt;Métricas&lt;/h2&gt;
&lt;ul&gt;
&lt;li&gt;
&lt;strong&gt;Métricas&lt;/strong&gt;&lt;span&gt; &lt;/span&gt;são dados&lt;span&gt; &lt;/span&gt;&lt;em&gt;quantitativos&lt;/em&gt;, como o número de tickets ou de chamadas telefônicas.&lt;/li&gt;
&lt;/ul&gt;
&lt;p&gt;Algumas das métricas que serão utilizadas&lt;/p&gt;
&lt;p&gt; &lt;/p&gt;
&lt;table border="1" cellpadding="4" cellspacing="0"&gt;
&lt;span&gt;&lt;span&gt;Tabela 1.&lt;span&gt; &lt;/span&gt;&lt;/span&gt;Métricas do conjunto de dados Engagement&lt;/span&gt;
&lt;tbody&gt;
&lt;tr&gt;
&lt;th&gt;Métrica&lt;/th&gt;
&lt;th&gt;Definição&lt;/th&gt;
&lt;th&gt;Cálculo&lt;/th&gt;
&lt;/tr&gt;
&lt;/tbody&gt;
&lt;tbody&gt;
&lt;tr&gt;
&lt;td&gt;Chats&lt;/td&gt;
&lt;td&gt;O número de sessões de chat.&lt;/td&gt;
&lt;td&gt;IF ([Tipo de chat - sem classificação]!="Offline Message") THEN [ID do chat] ENDIF&lt;/td&gt;
&lt;/tr&gt;
&lt;tr&gt;
&lt;td&gt;Chats atendidos&lt;/td&gt;
&lt;td&gt;O número de sessões de chat atendidas pelos agentes.&lt;/td&gt;
&lt;td&gt;IF ([Tipo de chat - sem classificação]!="Offline Message" AND [Conclusão do chat]!="Missed") THEN [ID do chat] ENDIF&lt;/td&gt;
&lt;/tr&gt;
&lt;tr&gt;
&lt;td&gt;Chats concluídos&lt;/td&gt;
&lt;td&gt;O número de sessões de chat concluídas com êxito pelos agentes (exclui chats abandonados pelo agente e perdidos).&lt;/td&gt;
&lt;td&gt;IF ([Tipo de chat - sem classificação]!="Offline Message" AND [Conclusão do chat]="Completed") THEN [ID do chat] ENDIF&lt;/td&gt;
&lt;/tr&gt;
&lt;tr&gt;
&lt;td&gt;Chats sem conclusão&lt;/td&gt;
&lt;td&gt;O número de sessões de chat abandonadas ou perdidas pelos agentes.&lt;/td&gt;
&lt;td&gt;IF ([Tipo de chat - sem classificação]!="Offline Message" AND [Conclusão do chat]!="Completed") THEN [ID do chat] ENDIF&lt;/td&gt;
&lt;/tr&gt;
&lt;tr&gt;
&lt;td&gt;Chats abandonados pelo agente&lt;/td&gt;
&lt;td&gt;O número de chats aceitos pelo agente ou atribuídos a ele em que o visitante responde a uma mensagem do agente e sai do chat.&lt;/td&gt;
&lt;td&gt;IF ([Tipo de chat - sem classificação]!="Offline Message" AND [Conclusão do chat]="Dropped") THEN [ID do chat] ENDIF&lt;/td&gt;
&lt;/tr&gt;
&lt;tr&gt;
&lt;td&gt;Chats apagados&lt;/td&gt;
&lt;td&gt;O número de sessões de chat que foram apagadas.&lt;/td&gt;
&lt;td&gt;IF ([Tipo de chat - sem classificação]!="Offline Message" AND [Chat apagado]="true") THEN [ID do chat] ENDIF&lt;/td&gt;
&lt;/tr&gt;
&lt;tr&gt;
&lt;td&gt;Chats com correspondência de habilidades&lt;/td&gt;
&lt;td&gt;O número de chats que foram atendidos pelo agente com o conjunto de habilidades necessário.&lt;/td&gt;
&lt;td&gt;IF ([Tipo de chat - sem classificação]!="Offline Message" AND [Habilidades correspondidas do chat]="true") THEN [ID do chat] ENDIF&lt;/td&gt;
&lt;/tr&gt;
&lt;tr&gt;
&lt;td&gt;Chats transferidos&lt;/td&gt;
&lt;td&gt;O número de chats transferidos para outros departamentos ou agentes.&lt;/td&gt;
&lt;td&gt;IF ([Tipo de chat - sem classificação]!="Offline Message" AND [Iniciador da interação]="Transfer") THEN [ID do chat] ENDIF&lt;/td&gt;
&lt;/tr&gt;
&lt;tr&gt;
&lt;td&gt;Chats com gatilho disparado&lt;/td&gt;
&lt;td&gt;O número de chats nos quais o gatilho do sistema foi acionado.&lt;/td&gt;
&lt;td&gt;IF ([Tipo de chat - sem classificação]!="Offline Message" AND [Gatilho disparado no chat]="true") THEN [ID do chat] ENDIF&lt;/td&gt;
&lt;/tr&gt;
&lt;tr&gt;
&lt;td&gt;Mensagens offline&lt;/td&gt;
&lt;td&gt;O número de mensagens offline deixadas quando não havia nenhum agente online.&lt;/td&gt;
&lt;td&gt;IF ([Tipo de chat - sem classificação]="Offline Message") THEN [ID do chat] ENDIF&lt;/td&gt;
&lt;/tr&gt;
&lt;tr&gt;
&lt;td&gt;% de conclusão do chat&lt;/td&gt;
&lt;td&gt;A porcentagem de chats concluídos em relação à quantidade total de chats.&lt;/td&gt;
&lt;td&gt;D_COUNT(Chats concluídos)/D_COUNT(Chats)&lt;/td&gt;
&lt;/tr&gt;
&lt;tr&gt;
&lt;td&gt;% de abandono do chat pelo agente&lt;/td&gt;
&lt;td&gt;A porcentagem de chats abandonados pelos agentes em relação à quantidade total de chats.&lt;/td&gt;
&lt;td&gt;D_COUNT(Chats abandonados pelo agente)/D_COUNT(Chats)&lt;/td&gt;
&lt;/tr&gt;
&lt;tr&gt;
&lt;td&gt;% de correspondência de habilidades do chat&lt;/td&gt;
&lt;td&gt;A porcentagem de chats que foram atendidos pelo agente com o conjunto de habilidades necessário em relação à quantidade total de chats.&lt;/td&gt;
&lt;td&gt;D_COUNT(Chats com correspondência de habilidades)/D_COUNT(Chats)&lt;/td&gt;
&lt;/tr&gt;
&lt;tr&gt;
&lt;td&gt;% de transferência de chats&lt;/td&gt;
&lt;td&gt;A porcentagem de chats que foram transferidos para outros departamentos ou agentes em relação à quantidade total de chats.&lt;/td&gt;
&lt;td&gt;D_COUNT(Chats transferidos)/D_COUNT(Chats)&lt;/td&gt;
&lt;/tr&gt;
&lt;tr&gt;
&lt;td&gt;% de chats com gatilho disparado&lt;/td&gt;
&lt;td&gt;A porcentagem de chats nos quais o gatilho do sistema foi disparado (executado) em relação à quantidade total de chats.&lt;/td&gt;
&lt;td&gt;D_COUNT(Chats com gatilho disparado)/D_COUNT(Chats)&lt;/td&gt;
&lt;/tr&gt;
&lt;tr&gt;
&lt;td&gt;Chats - média diária&lt;/td&gt;
&lt;td&gt;O número médio de chats iniciados por dia.&lt;/td&gt;
&lt;td&gt;D_COUNT(Chats)/DCOUNT_VALUES([Chat iniciado - data])&lt;/td&gt;
&lt;/tr&gt;
&lt;tr&gt;
&lt;td&gt;Chats recebidos&lt;/td&gt;
&lt;td&gt;O número de chats recebidos iniciados pelos visitantes (usuários finais).&lt;/td&gt;
&lt;td&gt;IF ([Tipo de chat - sem classificação]="Inbound") THEN [ID do chat] ENDIF&lt;/td&gt;
&lt;/tr&gt;
&lt;tr&gt;
&lt;td&gt;Chats recebidos concluídos&lt;/td&gt;
&lt;td&gt;O número de chats recebidos concluídos com êxito pelos agentes (exclui os chats abandonados pelo agente e perdidos). As sessões de chats recebidos são iniciadas pelos visitantes (usuários finais).&lt;/td&gt;
&lt;td&gt;IF ([Tipo de chat - sem classificação]="Inbound" AND [Conclusão do chat]="Completed") THEN [ID do chat] ENDIF&lt;/td&gt;
&lt;/tr&gt;
&lt;tr&gt;
&lt;td&gt;Chats recebidos perdidos&lt;/td&gt;
&lt;td&gt;O número de sessões de chat recebidas em que o visitante encerra o chat sem obter uma resposta do agente. As sessões de chats recebidos são iniciadas pelos visitantes (usuários finais).&lt;/td&gt;
&lt;td&gt;IF ([Tipo de chat - sem classificação]="Inbound" AND [Conclusão do chat]="Missed") THEN [ID do chat] ENDIF&lt;/td&gt;
&lt;/tr&gt;
&lt;tr&gt;
&lt;td&gt;Chats recebidos com gatilho disparado&lt;/td&gt;
&lt;td&gt;O número de chats recebidos nos quais o gatilho do sistema foi disparado. As sessões de chats recebidos são iniciadas pelos usuários finais.&lt;/td&gt;
&lt;td&gt;IF ([Tipo de chat - sem classificação]="Inbound" AND [Gatilho disparado no chat]="true") THEN [ID do chat] ENDIF&lt;/td&gt;
&lt;/tr&gt;
&lt;tr&gt;
&lt;td&gt;% de chats recebidos&lt;/td&gt;
&lt;td&gt;Porcentagem de chats iniciados pelos usuários finais em relação ao número total de chats.&lt;/td&gt;
&lt;td&gt;D_COUNT(Chats recebidos)/D_COUNT(Chats)&lt;/td&gt;
&lt;/tr&gt;
&lt;tr&gt;
&lt;td&gt;% de chats perdidos&lt;/td&gt;
&lt;td&gt;A porcentagem de chats perdidos em relação ao número total de chats.&lt;/td&gt;
&lt;td&gt;D_COUNT(Chats recebidos perdidos)/D_COUNT(Chats)&lt;/td&gt;
&lt;/tr&gt;
&lt;tr&gt;
&lt;td&gt;Chats recebidos - média diária&lt;/td&gt;
&lt;td&gt;O número médio de chats recebidos iniciados por dia.&lt;/td&gt;
&lt;td&gt;D_COUNT(Chats recebidos)/DCOUNT_VALUES([Chat iniciado - data])&lt;/td&gt;
&lt;/tr&gt;
&lt;tr&gt;
&lt;td&gt;Chats enviados&lt;/td&gt;
&lt;td&gt;O número de chats enviados iniciados pelos agentes.&lt;/td&gt;
&lt;td&gt;IF ([Tipo de chat - sem classificação]="Outbound") THEN [ID do chat] ENDIF&lt;/td&gt;
&lt;/tr&gt;
&lt;tr&gt;
&lt;td&gt;Chats enviados concluídos&lt;/td&gt;
&lt;td&gt;O número de chats enviados concluídos com êxito pelos agentes (exclui os chats abandonados pelo agente). Os chats enviados são iniciados por agentes.&lt;/td&gt;
&lt;td&gt;IF ([Tipo de chat - sem classificação]="Outbound" AND [Conclusão do chat]="Completed") THEN [ID do chat] ENDIF&lt;/td&gt;
&lt;/tr&gt;
&lt;tr&gt;
&lt;td&gt;Chats enviados sem interação&lt;/td&gt;
&lt;td&gt;O número de chats enviados que foram iniciados por um agente, mas que não tiveram interação com o visitante (usuário final) para iniciar a conversa por chat.&lt;/td&gt;
&lt;td&gt;IF ([Tipo de chat - sem classificação]="Outbound" AND [Conclusão do chat]="Not engaged") THEN [ID do chat] ENDIF&lt;/td&gt;
&lt;/tr&gt;
&lt;tr&gt;
&lt;td&gt;Chats enviados com gatilho disparado&lt;/td&gt;
&lt;td&gt;O número de chats enviados nos quais o gatilho do sistema foi disparado (executado). Os chats enviados são iniciados por agentes.&lt;/td&gt;
&lt;td&gt;IF ([Tipo de chat - sem classificação]="Outbound" AND [Gatilho disparado no chat]="true") THEN [ID do chat]ENDIF&lt;/td&gt;
&lt;/tr&gt;
&lt;tr&gt;
&lt;td&gt;% de chats enviados&lt;/td&gt;
&lt;td&gt;A porcentagem de chats iniciados pelos agentes em relação ao número total de chats.&lt;/td&gt;
&lt;td&gt;D_COUNT(Chats enviados)/D_COUNT(Chats)&lt;/td&gt;
&lt;/tr&gt;
&lt;tr&gt;
&lt;td&gt;Chats enviados - média diária&lt;/td&gt;
&lt;td&gt;O número médio de chats enviados iniciados por dia.&lt;/td&gt;
&lt;td&gt;D_COUNT(Chats enviados)/DCOUNT_VALUES([Chat iniciado - data])&lt;/td&gt;
&lt;/tr&gt;
&lt;tr&gt;
&lt;td&gt;Chats com satisfação boa&lt;/td&gt;
&lt;td&gt;O número de sessões de chat classificadas pelo visitante como "boas".&lt;/td&gt;
&lt;td&gt;IF ([Tipo de chat - sem classificação]!="Offline Message" AND [Índice de satisfação do chat]="Good") THEN [ID do chat] THEN [ID do chat]&lt;/td&gt;
&lt;/tr&gt;
&lt;tr&gt;
&lt;td&gt;Chats com satisfação ruim&lt;/td&gt;
&lt;td&gt;O número de sessões de chat classificadas pelo visitante como "ruins".&lt;/td&gt;
&lt;td&gt;IF ([Tipo de chat - sem classificação]!="Offline Message" AND [Índice de satisfação do chat]="Bad") THEN [ID do chat] ENDIF&lt;/td&gt;
&lt;/tr&gt;
&lt;tr&gt;
&lt;td&gt;Chats com classificação de satisfação&lt;/td&gt;
&lt;td&gt;O número total de sessões de chat classificadas pelo visitante como "boas" ou "ruins".&lt;/td&gt;
&lt;td&gt;IF ([Tipo de chat - sem classificação]!="Offline Message" AND [Índice de satisfação do chat]!=NULL) THEN [ID do chat] ENDIF&lt;/td&gt;
&lt;/tr&gt;
&lt;tr&gt;
&lt;td&gt;% de chats com score de satisfação&lt;/td&gt;
&lt;td&gt;A porcentagem de sessões de chat classificadas pelo visitante como "Boas" em relação ao número total de chats classificados.&lt;/td&gt;
&lt;td&gt;D_COUNT(Chats com satisfação boa)/D_COUNT(Chats com classificação de satisfação)&lt;/td&gt;
&lt;/tr&gt;
&lt;tr&gt;
&lt;td&gt;% de chats com classificação da satisfação&lt;/td&gt;
&lt;td&gt;A porcentagem de sessões de chat classificadas pelo visitante como "Boas" ou "Ruins" em relação ao número total de chats.&lt;/td&gt;
&lt;td&gt;D_COUNT(Chats com classificação de satisfação)/D_COUNT(Chats)&lt;/td&gt;
&lt;/tr&gt;
&lt;tr&gt;
&lt;td&gt;Mensagens de chat&lt;/td&gt;
&lt;td&gt;O número de comentários enviados durante a sessão de chat pelo visitante ou agente.&lt;/td&gt;
&lt;td&gt;(Mensagens de chat)&lt;/td&gt;
&lt;/tr&gt;
&lt;tr&gt;
&lt;td&gt;Mensagens do agente do Chat&lt;/td&gt;
&lt;td&gt;Refere-se ao número de comentários inseridos por um agente durante a sessão de chat.&lt;/td&gt;
&lt;td&gt;(Mensagens do agente do Chat)&lt;/td&gt;
&lt;/tr&gt;
&lt;tr&gt;
&lt;td&gt;Mensagens do visitante do chat&lt;/td&gt;
&lt;td&gt;O número de comentários enviados durante a sessão de chat pelo visitante (usuário final).&lt;/td&gt;
&lt;td&gt;(Mensagens do visitante do chat)&lt;/td&gt;
&lt;/tr&gt;
&lt;tr&gt;
&lt;td&gt;Interações&lt;/td&gt;
&lt;td&gt;O número de interações por chat. Durante uma sessão de chat, o usuário final pode interagir com vários agentes. Cada interação é contada como um engajamento diferente.&lt;/td&gt;
&lt;td&gt;[ID da interação]&lt;/td&gt;
&lt;/tr&gt;
&lt;tr&gt;
&lt;td&gt;Atribuições&lt;/td&gt;
&lt;td&gt;O número total de interações atribuídas aos agentes. Durante uma sessão de chat, o usuário final pode interagir com vários agentes. Cada interação é contada como um engajamento diferente.&lt;/td&gt;
&lt;td&gt;IF ([Atribuição da interação]!="Self-assigned") THEN [ID da interação] ENDIF&lt;/td&gt;
&lt;/tr&gt;
&lt;tr&gt;
&lt;td&gt;Atribuições perdidas&lt;/td&gt;
&lt;td&gt;O número de interações atribuídas ao agente, mas perdidas (nenhuma resposta do agente). Durante uma sessão de chat, o usuário final pode interagir com vários agentes. Cada interação é contada como um engajamento diferente.&lt;/td&gt;
&lt;td&gt;IF ([Atribuição da interação]="Assignment Missed") THEN [ID da interação] ENDIF&lt;/td&gt;
&lt;/tr&gt;
&lt;tr&gt;
&lt;td&gt;Atribuições aceitas&lt;/td&gt;
&lt;td&gt;O número de interações atribuídas a um agente e aceitas. Durante uma sessão de chat, o usuário final pode interagir com vários agentes. Cada interação é contada como um engajamento diferente.&lt;/td&gt;
&lt;td&gt;IF ([Atribuição da interação]="Assignment Accepted") THEN [ID da interação] ENDIF&lt;/td&gt;
&lt;/tr&gt;
&lt;tr&gt;
&lt;td&gt;Atribuições para si&lt;/td&gt;
&lt;td&gt;O número de interações que um agente atribuiu a si mesmo. Durante uma sessão de chat, o usuário final pode interagir com vários agentes. Cada interação é contada como um engajamento diferente.&lt;/td&gt;
&lt;td&gt;IF ([Atribuição da interação]="Self-assigned") THEN [ID da interação] ENDIF&lt;/td&gt;
&lt;/tr&gt;
&lt;tr&gt;
&lt;td&gt;Correspondência de habilidade&lt;/td&gt;
&lt;td&gt;O número de interações por chat atendidas pelo agente com o conjunto de habilidades necessário. Durante uma sessão de chat, o usuário final pode interagir com vários agentes. Cada interação é contada como um engajamento diferente.&lt;/td&gt;
&lt;td&gt;IF ([Habilidades correspondidas da interação]="true") THEN [ID da interação] ENDIF&lt;/td&gt;
&lt;/tr&gt;
&lt;tr&gt;
&lt;td&gt;Transferências&lt;/td&gt;
&lt;td&gt;Número de interações por chat transferidas para outros departamentos ou agentes. Durante uma sessão de chat, o usuário final pode interagir com vários agentes. Cada interação é contada como um engajamento diferente.&lt;/td&gt;
&lt;td&gt;IF ([Iniciador do chat]="Transfer") THEN [ID da interação] ENDIF&lt;/td&gt;
&lt;/tr&gt;
&lt;tr&gt;
&lt;td&gt;% de aceitação da atribuição&lt;/td&gt;
&lt;td&gt;A porcentagem de atribuições designadas e aceitas por um agente em relação ao número total de atribuições de agente.&lt;/td&gt;
&lt;td&gt;D_COUNT(Atribuições aceitas)/D_COUNT(Atribuições)&lt;/td&gt;
&lt;/tr&gt;
&lt;tr&gt;
&lt;td&gt;Interações com satisfação boa&lt;/td&gt;
&lt;td&gt;O número de interações por chat classificadas pelo visitante como "boas". Durante uma sessão de chat, o usuário final pode interagir com vários agentes. Cada interação é contada como um engajamento diferente.&lt;/td&gt;
&lt;td&gt;
&lt;p&gt;IF ([Índice de satisfação da interação]="Good") THEN [ID da interação] ENDIF&lt;/p&gt;
&lt;/td&gt;
&lt;/tr&gt;
&lt;tr&gt;
&lt;td&gt;Interações com satisfação ruim&lt;/td&gt;
&lt;td&gt;O número de interações por chat classificadas pelo visitante como "ruins". Durante uma sessão de chat, o usuário final pode interagir com vários agentes. Cada interação é contada como um engajamento diferente.&lt;/td&gt;
&lt;td&gt;
&lt;p&gt;IF ([Índice de satisfação da interação]="Bad") THEN [ID da interação] ENDIF&lt;/p&gt;
&lt;/td&gt;
&lt;/tr&gt;
&lt;tr&gt;
&lt;td&gt;Interações com classificação de satisfação&lt;/td&gt;
&lt;td&gt;Número total de interações por chat classificadas pelo visitante como "boas" ou "ruins". Durante uma sessão de chat, o usuário final pode interagir com vários agentes. Cada interação é contada como um engajamento diferente.&lt;/td&gt;
&lt;td&gt;
&lt;p&gt;IF ([Índice de satisfação da interação]!=NULL) THEN [ID da interação] ENDIF&lt;/p&gt;
&lt;/td&gt;
&lt;/tr&gt;
&lt;tr&gt;
&lt;td&gt;% de interações com score de satisfação&lt;/td&gt;
&lt;td&gt;A porcentagem de interações por chat avaliadas pelo visitante como "Boas" em relação ao número total de interações avaliadas. Durante uma sessão de chat, o usuário final pode interagir com vários agentes. Cada interação é contada como um engajamento diferente.&lt;/td&gt;
&lt;td&gt;D_COUNT(Interações com satisfação boa)/D_COUNT(Interações com classificação de satisfação)&lt;/td&gt;
&lt;/tr&gt;
&lt;tr&gt;
&lt;td&gt;% de interações com classificação de satisfação&lt;/td&gt;
&lt;td&gt;A porcentagem de interações por chat classificadas pelo visitante como "Boas" ou "Ruins" em relação ao número total interações. Durante uma sessão de chat, o usuário final pode interagir com vários agentes. Cada interação é contada como um engajamento diferente.&lt;/td&gt;
&lt;td&gt;D_COUNT(Interações com classificação de satisfação)/D_COUNT(Interações)&lt;/td&gt;
&lt;/tr&gt;
&lt;tr&gt;
&lt;td&gt;Mensagens da interação&lt;/td&gt;
&lt;td&gt;O número de comentários enviados pelo visitante ou agente durante a interação por chat. Durante uma sessão de chat, o usuário final pode interagir com vários agentes. Cada interação é contada como um engajamento diferente.&lt;/td&gt;
&lt;td&gt;(Mensagens da interação)&lt;/td&gt;
&lt;/tr&gt;
&lt;tr&gt;
&lt;td&gt;Mensagens do agente da interação&lt;/td&gt;
&lt;td&gt;O número de comentários enviados pelo agente durante a interação por chat. Durante uma sessão de chat, o usuário final pode interagir com vários agentes. Cada interação é contada como um engajamento diferente.&lt;/td&gt;
&lt;td&gt;(Mensagens do agente da interação)&lt;/td&gt;
&lt;/tr&gt;
&lt;tr&gt;
&lt;td&gt;Mensagens do visitante da interação&lt;/td&gt;
&lt;td&gt;O número de comentários enviados durante a interação por chat pelo visitante (usuário final). Durante uma sessão de chat, o usuário final pode interagir com vários agentes. Cada interação é contada como um engajamento diferente.&lt;/td&gt;
&lt;td&gt;(Mensagens do visitante da interação)&lt;/td&gt;
&lt;/tr&gt;
&lt;tr&gt;
&lt;td&gt;Duração do chat (s)&lt;/td&gt;
&lt;td&gt;A duração da primeira à última mensagem de chat, em segundos.&lt;/td&gt;
&lt;td&gt;(Duração do chat (s))&lt;/td&gt;
&lt;/tr&gt;
&lt;tr&gt;
&lt;td&gt;Tempo de espera do chat (s)&lt;/td&gt;
&lt;td&gt;O tempo que o usuário final esperou até a primeira resposta do agente. Se o agente não responde, isso retorna o tempo total que o usuário final esperou antes de sair da sessão de chat.&lt;/td&gt;
&lt;td&gt;IF [Conclusão do chat]="Missed" THEN VALUE(Tempo sem resposta do chat (s)) ELSE VALUE(Tempo da primeira resposta do chat (s)) ENDIF&lt;/td&gt;
&lt;/tr&gt;
&lt;tr&gt;
&lt;td&gt;Tempo da primeira resposta do chat (s)&lt;/td&gt;
&lt;td&gt;O tempo, em segundos, entre a entrada do cliente no chat e a primeira resposta do agente.&lt;/td&gt;
&lt;td&gt;(Tempo da primeira resposta do chat (s))&lt;/td&gt;
&lt;/tr&gt;
&lt;tr&gt;
&lt;td&gt;Tempo médio de resposta do chat (s)&lt;/td&gt;
&lt;td&gt;O tempo médio, em segundos, que o agente levou para responder aos comentários do visitante durante a sessão de chat.&lt;/td&gt;
&lt;td&gt;(Tempo médio de resposta do chat (s))&lt;/td&gt;
&lt;/tr&gt;
&lt;tr&gt;
&lt;td&gt;Tempo de resposta mais longo do Chat (s)&lt;/td&gt;
&lt;td&gt;O tempo máximo, em segundos, que o agente levou para responder aos comentários do visitante durante a sessão de chat.&lt;/td&gt;
&lt;td&gt;(Tempo de resposta mais longo do Chat (s))&lt;/td&gt;
&lt;/tr&gt;
&lt;tr&gt;
&lt;td&gt;Tempo sem resposta do chat (s)&lt;/td&gt;
&lt;td&gt;O tempo, em segundos, do último comentário sem resposta do visitante até a saída do visitante da sessão de chat.&lt;/td&gt;
&lt;td&gt;(Tempo sem resposta do chat (s))&lt;/td&gt;
&lt;/tr&gt;
&lt;tr&gt;
&lt;td&gt;Tempo sem resposta do chat perdido (s)&lt;/td&gt;
&lt;td&gt;O tempo desde o último comentário do visitante até o momento em que o visitante sai da sessão de chat sem obter uma resposta do agente.&lt;/td&gt;
&lt;td&gt;IF [Conclusão do chat]="Missed" THEN VALUE(Tempo sem resposta do chat (s)) ENDIF&lt;/td&gt;
&lt;/tr&gt;
&lt;tr&gt;
&lt;td&gt;Tempo sem resposta do chat abandonado (s)&lt;/td&gt;
&lt;td&gt;O tempo desde o último comentário do usuário final até o momento em que o usuário final sai da sessão de chat sem obter uma resposta.&lt;/td&gt;
&lt;td&gt;IF [Conclusão do chat]="Dropped" THEN VALUE(Tempo sem resposta do chat (s)) ENDIF&lt;/td&gt;
&lt;/tr&gt;
&lt;tr&gt;
&lt;td&gt;Duração do chat (min)&lt;/td&gt;
&lt;td&gt;A duração da primeira à última mensagem de chat, em horas.&lt;/td&gt;
&lt;td&gt;VALUE(Duração do chat (s))/60&lt;/td&gt;
&lt;/tr&gt;
&lt;tr&gt;
&lt;td&gt;Tempo de espera do chat (min)&lt;/td&gt;
&lt;td&gt;O tempo que o usuário final esperou até a primeira resposta do agente. Se o agente não responde, isso retorna o tempo total que o usuário final esperou antes de sair da sessão de chat.&lt;/td&gt;
&lt;td&gt;IF [Conclusão do chat]="Missed" THEN VALUE(Tempo sem resposta do chat (s))/60 ELSE VALUE(Tempo da primeira resposta do chat (s))/60 ENDIF&lt;/td&gt;
&lt;/tr&gt;
&lt;tr&gt;
&lt;td&gt;Tempo da primeira resposta do chat (min)&lt;/td&gt;
&lt;td&gt;O tempo, em minutos, entre a entrada do cliente no chat e a primeira resposta do agente.&lt;/td&gt;
&lt;td&gt;VALUE(Tempo da primeira resposta do chat (s))/60&lt;/td&gt;
&lt;/tr&gt;
&lt;tr&gt;
&lt;td&gt;Tempo médio de resposta do chat (min)&lt;/td&gt;
&lt;td&gt;O tempo médio, em minutos, que o agente levou para responder aos comentários do visitante durante a sessão de chat.&lt;/td&gt;
&lt;td&gt;VALUE(Tempo médio de resposta do chat (s))/60&lt;/td&gt;
&lt;/tr&gt;
&lt;tr&gt;
&lt;td&gt;Tempo de resposta mais longo do Chat (min)&lt;/td&gt;
&lt;td&gt;O tempo máximo, em minutos, que o agente levou para responder aos comentários do visitante durante a sessão de chat.&lt;/td&gt;
&lt;td&gt;VALUE(Tempo de resposta mais longo do Chat (s))/60&lt;/td&gt;
&lt;/tr&gt;
&lt;tr&gt;
&lt;td&gt;Tempo sem resposta do chat (min)&lt;/td&gt;
&lt;td&gt;O tempo, em segundos, do último comentário sem resposta do visitante até a saída do visitante da sessão de chat.&lt;/td&gt;
&lt;td&gt;VALUE(Tempo sem resposta do chat (s))/60&lt;/td&gt;
&lt;/tr&gt;
&lt;tr&gt;
&lt;td&gt;Tempo sem resposta do chat perdido (min)&lt;/td&gt;
&lt;td&gt;O tempo desde o último comentário do visitante até o momento em que o visitante sai da sessão de chat sem obter uma resposta do agente.&lt;/td&gt;
&lt;td&gt;IF [Conclusão do chat]="Missed" THEN VALUE(Tempo sem resposta do chat (s))/60 ENDIF&lt;/td&gt;
&lt;/tr&gt;
&lt;tr&gt;
&lt;td&gt;Tempo sem resposta do chat abandonado (min)&lt;/td&gt;
&lt;td&gt;O tempo desde o último comentário do usuário final até o momento em que o usuário final sai da sessão de chat sem obter uma resposta.&lt;/td&gt;
&lt;td&gt;IF [Conclusão do chat]="Dropped" THEN VALUE(Tempo sem resposta do chat (s))/60 ENDIF&lt;/td&gt;
&lt;/tr&gt;
&lt;tr&gt;
&lt;td&gt;Duração do chat (h)&lt;/td&gt;
&lt;td&gt;A duração da primeira à última mensagem de chat, em horas.&lt;/td&gt;
&lt;td&gt;VALUE(Duração do chat (s))/60/60&lt;/td&gt;
&lt;/tr&gt;
&lt;tr&gt;
&lt;td&gt;Tempo de espera do chat (h)&lt;/td&gt;
&lt;td&gt;O tempo que o usuário final esperou até a primeira resposta do agente. Se o agente não responde, isso retorna o tempo total que o usuário final esperou antes de sair da sessão de chat.&lt;/td&gt;
&lt;td&gt;IF [Conclusão do chat]="Missed" THEN VALUE(Tempo sem resposta do chat (s))/60/60 ELSE VALUE(Tempo da primeira resposta do chat (s))/60/60 ENDIF&lt;/td&gt;
&lt;/tr&gt;
&lt;tr&gt;
&lt;td&gt;Tempo da primeira resposta do chat (h)&lt;/td&gt;
&lt;td&gt;O tempo, em horas, entre a entrada do cliente no chat e a primeira resposta do agente.&lt;/td&gt;
&lt;td&gt;VALUE(Tempo da primeira resposta do chat (s))/60/60&lt;/td&gt;
&lt;/tr&gt;
&lt;tr&gt;
&lt;td&gt;Tempo médio de resposta do chat (h)&lt;/td&gt;
&lt;td&gt;O tempo médio, em minutos, que o agente levou para responder aos comentários do visitante durante a sessão de chat.&lt;/td&gt;
&lt;td&gt;VALUE(Tempo médio de resposta do chat (s))/60/60&lt;/td&gt;
&lt;/tr&gt;
&lt;tr&gt;
&lt;td&gt;Tempo de resposta mais longo do Chat (h)&lt;/td&gt;
&lt;td&gt;O tempo máximo, em minutos, que o agente levou para responder aos comentários do visitante durante a sessão de chat.&lt;/td&gt;
&lt;td&gt;VALUE(Tempo de resposta mais longo do Chat (s))/60/60&lt;/td&gt;
&lt;/tr&gt;
&lt;tr&gt;
&lt;td&gt;Tempo sem resposta do chat (h)&lt;/td&gt;
&lt;td&gt;O tempo, em segundos, do último comentário sem resposta do visitante até a saída do visitante da sessão de chat.&lt;/td&gt;
&lt;td&gt;VALUE(Tempo sem resposta do chat (s))/60/60&lt;/td&gt;
&lt;/tr&gt;
&lt;tr&gt;
&lt;td&gt;Tempo sem resposta do chat perdido (h)&lt;/td&gt;
&lt;td&gt;O tempo desde o último comentário do visitante até o momento em que o visitante sai da sessão de chat sem obter uma resposta do agente.&lt;/td&gt;
&lt;td&gt;IF [Conclusão do chat]="Missed" THEN VALUE(Tempo sem resposta do chat (s))/60/60 ENDIF&lt;/td&gt;
&lt;/tr&gt;
&lt;tr&gt;
&lt;td&gt;Tempo sem resposta do chat abandonado (h)&lt;/td&gt;
&lt;td&gt;O tempo desde o último comentário do usuário final até o momento em que o usuário final sai da sessão de chat sem obter uma resposta.&lt;/td&gt;
&lt;td&gt;IF [Conclusão do chat]="Dropped" THEN VALUE(Tempo sem resposta do chat (s))/60/60 ENDIF&lt;/td&gt;
&lt;/tr&gt;
&lt;tr&gt;
&lt;td&gt;Duração da interação (s)&lt;/td&gt;
&lt;td&gt;O tempo em segundos desde a entrada do agente no chat até o momento em que o visitante ou agente sai do chat, o que ocorrer primeiro. Durante uma sessão de chat, o usuário final pode interagir com vários agentes. Cada interação é contada como um engajamento diferente.&lt;/td&gt;
&lt;td&gt;Duração da interação (s)&lt;/td&gt;
&lt;/tr&gt;
&lt;tr&gt;
&lt;td&gt;Tempo da primeira resposta da interação (s)&lt;/td&gt;
&lt;td&gt;Durante uma sessão de chat, o usuário final pode interagir com vários agentes. Cada interação é contada como um engajamento diferente.
&lt;p&gt;Para o modo de encaminhamento de atribuição, ela corresponde ao tempo, em segundos, entre o tempo de atribuição do agente para o chat e a primeira resposta do agente.&lt;/p&gt;
&lt;p&gt;Para o modo de encaminhamento de transmissão, ela corresponde ao tempo, em segundos, entre a primeira mensagem sem resposta do visitante e a primeira resposta do agente.&lt;/p&gt;
&lt;/td&gt;
&lt;td&gt;Tempo da primeira resposta da interação (s)&lt;/td&gt;
&lt;/tr&gt;
&lt;tr&gt;
&lt;td&gt;Tempo médio de resposta da interação (s)&lt;/td&gt;
&lt;td&gt;O tempo médio que o agente levou para responder a cada mensagem do visitante na interação.&lt;/td&gt;
&lt;td&gt;Tempo médio de resposta da interação (s)&lt;/td&gt;
&lt;/tr&gt;
&lt;tr&gt;
&lt;td&gt;Tempo de resposta mais longo da interação (s)&lt;/td&gt;
&lt;td&gt;O tempo máximo que o agente levou para responder ao comentário de um visitante durante a interação por chat.&lt;/td&gt;
&lt;td&gt;Tempo de resposta mais longo da interação (s)&lt;/td&gt;
&lt;/tr&gt;
&lt;tr&gt;
&lt;td&gt;Duração da interação (min)&lt;/td&gt;
&lt;td&gt;O tempo em minutos desde a entrada do agente no chat até o momento em que o visitante ou agente sai do chat, o que ocorrer primeiro. Durante uma sessão de chat, o usuário final pode interagir com vários agentes. Cada interação é contada como um engajamento diferente.&lt;/td&gt;
&lt;td&gt;VALUE(Duração da interação (s))/60&lt;/td&gt;
&lt;/tr&gt;
&lt;tr&gt;
&lt;td&gt;Tempo da primeira resposta da interação (min)&lt;/td&gt;
&lt;td&gt;Durante uma sessão de chat, o usuário final pode interagir com vários agentes. Cada interação é contada como um engajamento diferente.
&lt;p&gt;Para o modo de encaminhamento de atribuição, ela corresponde ao tempo, em minutos, entre o tempo de atribuição do agente para o chat e a primeira resposta do agente.&lt;/p&gt;
&lt;p&gt;Para o modo de encaminhamento de transmissão, ela corresponde ao tempo, em minutos, entre a primeira mensagem sem resposta do visitante e a primeira resposta do agente.&lt;/p&gt;
&lt;/td&gt;
&lt;td&gt;VALUE(Tempo da primeira resposta da interação (s))/60&lt;/td&gt;
&lt;/tr&gt;
&lt;tr&gt;
&lt;td&gt;Tempo médio de resposta da interação (min)&lt;/td&gt;
&lt;td&gt;O tempo médio que o agente levou para responder a cada mensagem do visitante na interação.&lt;/td&gt;
&lt;td&gt;VALUE(Tempo médio de resposta da interação (s))/60&lt;/td&gt;
&lt;/tr&gt;
&lt;tr&gt;
&lt;td&gt;Tempo de resposta mais longo da interação (min)&lt;/td&gt;
&lt;td&gt;O tempo máximo que o agente levou para responder ao comentário de um visitante durante a interação por chat.&lt;/td&gt;
&lt;td&gt;VALUE(Tempo de resposta mais longo da interação (s))/60&lt;/td&gt;
&lt;/tr&gt;
&lt;tr&gt;
&lt;td&gt;Duração da interação (h)&lt;/td&gt;
&lt;td&gt;O tempo em horas desde a entrada do agente no chat até o momento em que o visitante ou agente sai do chat, o que ocorrer primeiro. Durante uma sessão de chat, o usuário final pode interagir com vários agentes. Cada interação é contada como um engajamento diferente.&lt;/td&gt;
&lt;td&gt;VALUE(Duração da interação (s))/60/60&lt;/td&gt;
&lt;/tr&gt;
&lt;tr&gt;
&lt;td&gt;Tempo da primeira resposta da interação (h)&lt;/td&gt;
&lt;td&gt;Durante uma sessão de chat, o usuário final pode interagir com vários agentes. Cada interação é contada como um engajamento diferente.
&lt;p&gt;Para o modo de encaminhamento de atribuição, ela corresponde ao tempo, em horas, entre o tempo de atribuição do agente para o chat e a primeira resposta do agente.&lt;/p&gt;
&lt;p&gt;Para o modo de encaminhamento de transmissão, ela corresponde ao tempo, em horas, entre a primeira mensagem sem resposta do visitante e a primeira resposta do agente.&lt;/p&gt;
&lt;/td&gt;
&lt;td&gt;VALUE(Tempo da primeira resposta da interação (s))/60/60&lt;/td&gt;
&lt;/tr&gt;
&lt;tr&gt;
&lt;td&gt;Tempo médio de resposta da interação (h)&lt;/td&gt;
&lt;td&gt;O tempo médio que o agente levou para responder a cada mensagem do visitante na interação.&lt;/td&gt;
&lt;td&gt;VALUE(Tempo médio de resposta da interação (s))/60/60&lt;/td&gt;
&lt;/tr&gt;
&lt;tr&gt;
&lt;td&gt;Tempo de resposta mais longo da interação (h)&lt;/td&gt;
&lt;td&gt;O tempo máximo que o agente levou para responder ao comentário de um vi&lt;/td&gt;
&lt;/tr&gt;
&lt;/tbody&gt;
&lt;/table&gt;</t>
  </si>
  <si>
    <t>https://wilsonsons.zendesk.com/api/v2/help_center/pt-br/articles/16171823237901.json</t>
  </si>
  <si>
    <t>https://atendimento.teconsvonline.com.br/hc/pt-br/articles/16171823237901-VGM-SOLAS</t>
  </si>
  <si>
    <t>VGM</t>
  </si>
  <si>
    <t>VGM - SOLAS</t>
  </si>
  <si>
    <t>&lt;p&gt; &lt;/p&gt;
&lt;div&gt;&lt;font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&lt;p&gt; &lt;/p&gt;
&lt;p&gt;&lt;strong&gt;O que é "VGM"?&lt;/strong&gt;&lt;/p&gt;
&lt;p&gt;VGM (Verified Gross Mass / Peso Bruto Verificado)" é uma nova exigência estabelecida por meio de uma emenda do comitê SOLAS (Salvaguarda da Vida Humana no Mar) da IMO (Organização Marítima Internacional). A regra exige que os armadores solicitem dos embarcadores o VGM de cada container enviado para embarque,&lt;span&gt; &lt;/span&gt;por meio de um documento apresentado antes do carregamento no navio.&lt;/p&gt;
&lt;p&gt; &lt;/p&gt;
&lt;p&gt;&lt;strong&gt;É obrigatório ou voluntário o envio do VGM?&lt;/strong&gt;&lt;/p&gt;
&lt;p&gt;Para atender ao novo regulamento, os armadores declararam uma política de "sem VGM, não se embarca o container", sendo assim é obrigatório, porém pode ser emitido em outro local. O nosso Terminal ´´e&lt;/p&gt;
&lt;p&gt;apenas uma das opções do cliente. &lt;/p&gt;
&lt;p&gt; &lt;/p&gt;
&lt;p&gt;&lt;strong&gt;Quais tipos de VGM?&lt;/strong&gt;&lt;/p&gt;
&lt;p&gt;&lt;strong&gt;Antecipado: &lt;/strong&gt;o VGM é coletado na passagem da unidade no gate, sem necessidade de novos movimentos e o certificado é enviado automaticamente para o Portal.&lt;/p&gt;
&lt;p&gt;&lt;strong&gt;Postecipado: &lt;/strong&gt;trata-se do envio do certificado posterior a entrada da unidade, o sistema coleta a pesagem de entrada e disponibiliza o certificado para o cliente.  Exceto o bitrem, que tem a necessidade de nova pesagem para cada container e entra na rotina de pesagem operacional.&lt;/p&gt;
&lt;p&gt;&lt;span&gt;&lt;strong&gt;**Notar que a pesagem postecipada é mais cara que a pesagem antecipada**&lt;/strong&gt;&lt;/span&gt;&lt;/p&gt;
&lt;p&gt; &lt;/p&gt;
&lt;p&gt;&lt;strong&gt;Onde realizo o agendamento do VGM?&lt;/strong&gt;&lt;/p&gt;
&lt;p&gt;Sempre no Portal do cliente, seguindo as regras abaixo:&lt;/p&gt;
&lt;p&gt;Para agendamento de VGM antecipada a unidade precisa estar com entrada agendada, após entrada da unidade não é possível solicitar VGM antecipado.&lt;/p&gt;
&lt;p&gt;Para agendamento postecipado: Em qualquer tempo, e para atender solicitações de VGM para as carretas bi-trem.&lt;/p&gt;
&lt;p&gt; &lt;/p&gt;
&lt;p&gt;&lt;strong&gt;Quais são as consequências de atraso no envio dos VGMs?&lt;/strong&gt;&lt;/p&gt;
&lt;p&gt;Perda de embarque do cliente&lt;strong&gt;.&lt;/strong&gt;&lt;/p&gt;
&lt;p&gt; &lt;/p&gt;
&lt;p&gt;&lt;strong&gt;Quem é o responsável pelo pagamento do VGM?&lt;/strong&gt;&lt;/p&gt;
&lt;p&gt;O CNPJ registrada na entrada do container - Exportador&lt;/p&gt;
&lt;p&gt; &lt;/p&gt;
&lt;p&gt;&lt;strong&gt;VGM é apenas na exportação?&lt;/strong&gt;&lt;/p&gt;
&lt;p&gt;Sim, para todos embarques!&lt;/p&gt;
&lt;p&gt; &lt;/p&gt;
&lt;p&gt;&lt;strong&gt;Caso o cliente informe que o peso está divergente, o que devo fazer?&lt;/strong&gt;&lt;/p&gt;
&lt;p&gt;Verificar o % de diferença, e caso seja superior a 5% solicitar a repesagem o time operacional. &lt;/p&gt;
&lt;p&gt;Para repesagem , devem solicitar a abertura de OS e o cliente deve estar ciente que caso o peso seja confirmado, podemos emitir a cobrança para ele. &lt;/p&gt;
&lt;p&gt;No geral, sempre isentamos, pois normalmente a divergência é evidenciada. &lt;/p&gt;
&lt;p&gt;Quando for solicitar a abertura da OS, sempre solicitar que a conciliação coloque o bloqueio para não faturar automático.  &lt;/p&gt;
&lt;p&gt; &lt;/p&gt;
&lt;p&gt;&lt;strong&gt;Saber mais sobre VGM:&lt;/strong&gt;&lt;/p&gt;
&lt;p&gt;&lt;a href="https://www.guiamaritimo.com.br/noticias/direito-normas-legislacao/perguntas-mais-frequentes-sobre-a-nova-regra-solas-vgm" target="_blank"&gt;&lt;strong&gt;https://www.guiamaritimo.com.br/noticias/direito-normas-legislacao/perguntas-mais-frequentes-sobre-a-nova-regra-solas-vgm&lt;/strong&gt;&lt;/a&gt;&lt;/p&gt;
&lt;p&gt; &lt;/p&gt;
&lt;p&gt; &lt;/p&gt;
&lt;p&gt; &lt;/p&gt;
&lt;p&gt; &lt;/p&gt;</t>
  </si>
  <si>
    <t>https://wilsonsons.zendesk.com/api/v2/help_center/pt-br/articles/10516074299277.json</t>
  </si>
  <si>
    <t>https://atendimento.teconsvonline.com.br/hc/pt-br/articles/10516074299277-Libera%C3%A7%C3%A3o-de-carga-com-comprovante-de-pagamento</t>
  </si>
  <si>
    <t>Liberação de carga com comprovante de pagamento</t>
  </si>
  <si>
    <t>&lt;p&gt; &lt;/p&gt;
&lt;p&gt;Pessoal, &lt;/p&gt;
&lt;p&gt; &lt;/p&gt;
&lt;p&gt;Para evitar erros no processo de faturamento, as liberações com comprovante de pagamento não devem ser realizadas, exceto para os casos de DTA recinto ou extrema urgência.&lt;/p&gt;
&lt;p&gt;Gentileza sempre verificar e ressaltar com o cliente que ele possui um dia para retirada sem custo, pois é o prazo de compensação bancária.&lt;/p&gt;
&lt;p&gt; &lt;/p&gt;
&lt;p&gt;Caso seja realmente urgente,  solicitar aprovação usando o seguinte texto:&lt;/p&gt;
&lt;p&gt; &lt;/p&gt;
&lt;p&gt;Gentileza colocar como posterior devido a urgência xxxxxx, alinhada com a gestão.&lt;/p&gt;
&lt;p&gt; &lt;/p&gt;
&lt;p&gt;Cadastro, &lt;/p&gt;
&lt;p&gt;Favor seguir com a solicitação.&lt;/p&gt;
&lt;p&gt; &lt;/p&gt;
&lt;p&gt;Atenção:&lt;/p&gt;
&lt;p&gt;Não esquecer de aplicar a TAG de pré faturamento. &lt;/p&gt;
&lt;p&gt; &lt;/p&gt;
&lt;p&gt;Agradeço! &lt;/p&gt;</t>
  </si>
  <si>
    <t>https://wilsonsons.zendesk.com/api/v2/help_center/pt-br/articles/10205136927501.json</t>
  </si>
  <si>
    <t>https://atendimento.teconsvonline.com.br/hc/pt-br/articles/10205136927501-Solicita%C3%A7%C3%A3o-de-desova-para-o-armaz%C3%A9m</t>
  </si>
  <si>
    <t>Solicitação de desova para o armazém</t>
  </si>
  <si>
    <t>&lt;p&gt; &lt;/p&gt;
&lt;p&gt;&lt;strong&gt;A solicitação de desova retornou para o Portal, com novidades!&lt;/strong&gt;&lt;/p&gt;
&lt;p&gt; &lt;/p&gt;
&lt;p&gt;A desova para o armazém continua no mesmo atalho, apenas disponibilizamos um novo status para acompanhamento dos processos em fila de desova. &lt;/p&gt;
&lt;p&gt;Ao realizar a solicitação, será necessário aceitar a informação sobre disponibilidade de espaço e possível espera para conclusão do serviço.&lt;/p&gt;
&lt;p&gt;Ao concluir a solicitação, o status que será apresentado é  de &lt;span&gt;"FILA DE DESOVA"&lt;/span&gt;, após disponibilidade de espaço e análise interna, o status será alterado para &lt;span&gt;"AGENDADO"&lt;/span&gt; e a previsão de finalização da desova será enviada para o e-mail do usuário do Portal e ficará disponível na tela de acompanhamento de serviço.&lt;/p&gt;
&lt;p&gt;  &lt;/p&gt;
&lt;p&gt;&lt;img alt="mceclip1.png" src="https://atendimento.teconsvonline.com.br/hc/article_attachments/10192484214157"/&gt;&lt;/p&gt;
&lt;p&gt; &lt;/p&gt;
&lt;p&gt;&lt;img alt="mceclip0.png" src="https://atendimento.teconsvonline.com.br/hc/article_attachments/10192177785229"/&gt;&lt;/p&gt;
&lt;p&gt; &lt;/p&gt;
&lt;p&gt;Lembretes:&lt;/p&gt;
&lt;p&gt;A solicitação de desova de carga consolidada, permanece através do e-mail: &lt;a href="mailto:atendimento.tcsv@wilsonsons.com.br"&gt;atendimento.tcsv@wilsonsons.com.br&lt;/a&gt;&lt;/p&gt;
&lt;p&gt;A tela de acompanhamento de serviços,  permite acompanhar desde a previsão de atendimento até conclusão.&lt;/p&gt;
&lt;p&gt; &lt;/p&gt;
&lt;p&gt; &lt;/p&gt;</t>
  </si>
  <si>
    <t>https://wilsonsons.zendesk.com/api/v2/help_center/pt-br/articles/8840845251597.json</t>
  </si>
  <si>
    <t>https://atendimento.teconsvonline.com.br/hc/pt-br/articles/8840845251597-Como-solicito-o-cancelamento-de-um-nota-fiscal</t>
  </si>
  <si>
    <t>Como solicito o cancelamento de um nota fiscal?</t>
  </si>
  <si>
    <t>&lt;p&gt;&lt;span&gt;Caso realmente não seja possível evitar o cancelamento da nota, formalize a solicitação e a justificativa para o e-mail &lt;a href="mailto:atendimento.tcsv@wilsonsons.com.br"&gt;atendimento.tcsv@wilsonsons.com.br&lt;/a&gt;. &lt;/span&gt;&lt;/p&gt;
&lt;p&gt;&lt;span&gt;Será cobrado um serviço adicional para a emissão de nova nota fiscal por nota emitida, sempre que a nota fiscal original for cancelada por erro ou omissões nas informações prestadas pelo consignatário da carga.&lt;/span&gt;&lt;/p&gt;
&lt;p&gt;&lt;font color="#000000" size="4"&gt;O valor do serviço adicional pode ser consultado através da página 11 em nossa &lt;a href="https://www.wilsonsons.com.br/pt-br/teconsalvador/servicos/servicos-e-precos/"&gt;&lt;span&gt;tabela pública&lt;/span&gt;.&lt;/a&gt;&lt;/font&gt;&lt;/p&gt;
&lt;p&gt; &lt;/p&gt;
&lt;p&gt;&lt;font color="#000000" size="4"&gt;Obs: Os valores em nossa tabela são líquidos de tributos, portanto, não constituem o preço final de cada um dos&lt;br/&gt;serviços relacionados, pois não estão inclusos os valores correspondentes aos impostos e contribuições&lt;br/&gt;incidentes sobre os serviços e sobre o faturamento, que serão lançados conforme legislação vigente, exceto&lt;br/&gt;para os itens referentes ao inciso XIV da cláusula 24ª do Contrato de Arrendamento n° 012/2000 e ISPS Code. &lt;/font&gt;&lt;/p&gt;</t>
  </si>
  <si>
    <t>https://wilsonsons.zendesk.com/api/v2/help_center/pt-br/articles/8472874606349.json</t>
  </si>
  <si>
    <t>https://atendimento.teconsvonline.com.br/hc/pt-br/articles/8472874606349-Por-que-recebi-uma-cobran%C3%A7a-de-armazenagem-de-cabotagem-descarga-Qual-o-free-time-dias-livres</t>
  </si>
  <si>
    <t>Por que recebi uma cobrança de armazenagem de cabotagem descarga? Qual o free time (dias livres)?</t>
  </si>
  <si>
    <t>&lt;p&gt;&lt;span&gt;Para a descarga de contêineres cheios de cabotagem é concedido um período livre de armazenagem de &lt;strong&gt;10 dias&lt;/strong&gt; a partir da atracação do navio.&lt;/span&gt;&lt;/p&gt;
&lt;p&gt;&lt;span&gt;Se você recebeu uma cobrança de armazenagem, significa que o container não foi removido dentro do free time. &lt;/span&gt;&lt;/p&gt;
&lt;p&gt;&lt;span&gt;Os contêineres não removidos do terminal no período livre estão sujeitos à incidência de cobrança de armazenagem, &lt;strong&gt;retroagindo a contagem do período à data da atracação.&lt;/strong&gt;&lt;/span&gt;&lt;/p&gt;
&lt;p&gt;&lt;span&gt;Para maiores informações entre em contato com o  &lt;a href="https://atendimento.teconsvonline.com.br/hc/pt-br/articles/360048127531"&gt;Atendimento ao Cliente.&lt;/a&gt;&lt;/span&gt;&lt;/p&gt;</t>
  </si>
  <si>
    <t>https://wilsonsons.zendesk.com/api/v2/help_center/pt-br/articles/8472814179981.json</t>
  </si>
  <si>
    <t>https://atendimento.teconsvonline.com.br/hc/pt-br/articles/8472814179981-Como-funciona-a-aplica%C3%A7%C3%A3o-do-dia-de-porta</t>
  </si>
  <si>
    <t>Como funciona a aplicação do dia de porta?</t>
  </si>
  <si>
    <t>&lt;p&gt;&lt;span&gt;&lt;strong&gt;Dia de porta - &lt;/strong&gt;São dias adicionais ao período de armazenagem de acordo com a negociação comercial.&lt;/span&gt;&lt;/p&gt;
&lt;p&gt;&lt;span&gt; O dia de porta é acrescentado ao último período de armazenagem e todos os containers devem ser retirados até o fim da porta. Caso o processo não seja finalizado até a porta, incidirá cobrança de um novo período de armazenagem. &lt;/span&gt;&lt;/p&gt;
&lt;p&gt;&lt;span&gt;&lt;span&gt;Para maiores informações entre em contato com o&lt;/span&gt;  &lt;span&gt;&lt;a href="https://atendimento.teconsvonline.com.br/hc/pt-br/articles/360048127531" target="_self"&gt;Atendimento ao Cliente.&lt;/a&gt;&lt;/span&gt;&lt;/span&gt;&lt;/p&gt;</t>
  </si>
  <si>
    <t>https://wilsonsons.zendesk.com/api/v2/help_center/pt-br/articles/8472516540045.json</t>
  </si>
  <si>
    <t>https://atendimento.teconsvonline.com.br/hc/pt-br/articles/8472516540045-Quais-os-impostos-incidem-sobre-o-servi%C3%A7os-e-qual-a-al%C3%ADquota</t>
  </si>
  <si>
    <t>Quais os impostos incidem sobre o serviços e qual a alíquota?</t>
  </si>
  <si>
    <t>Usuários conectados</t>
  </si>
  <si>
    <t>196528.0</t>
  </si>
  <si>
    <t>&lt;p&gt;Serão acrescidos de ISS, PIS e COFINS aos valores informados na  sua tabela conforme legislação vigente.&lt;/p&gt;
&lt;p&gt;Alíquotas: &lt;/p&gt;
&lt;ul&gt;
&lt;li&gt;
&lt;span&gt;PIS&lt;/span&gt;&lt;em&gt;:&lt;/em&gt;&lt;span&gt;1,65%&lt;/span&gt;
&lt;/li&gt;
&lt;li&gt;COFINS: &lt;span&gt;7,6% &lt;/span&gt;
&lt;/li&gt;
&lt;li&gt;&lt;span&gt;ISS: 5,0%&lt;/span&gt;&lt;/li&gt;
&lt;/ul&gt;
&lt;p&gt;&lt;span&gt;Se ainda restarem dúvidas, entre em contato com a nossa equipe de &lt;a href="https://atendimento.teconsvonline.com.br/hc/pt-br/articles/360048127531" target="_blank"&gt;Atendimento ao Cliente.&lt;/a&gt;&lt;/span&gt;&lt;/p&gt;</t>
  </si>
  <si>
    <t>[196528]</t>
  </si>
  <si>
    <t>https://wilsonsons.zendesk.com/api/v2/help_center/pt-br/articles/8472312195085.json</t>
  </si>
  <si>
    <t>https://atendimento.teconsvonline.com.br/hc/pt-br/articles/8472312195085-Exporta%C3%A7%C3%A3o-Recep%C3%A7%C3%A3o-de-carga-foi-faturada-com-um-valor-menor-Saiba-o-porqu%C3%AA</t>
  </si>
  <si>
    <t>Exportação - Recepção de carga foi faturada com um valor menor? Saiba o porquê.</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</si>
  <si>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&lt;div&gt;&lt;/div&gt;
&lt;div&gt;Apesar do valor do serviço operacional para desembaraço aduaneiro, presença/recepção de carga custar R$ 270,32, em nossa tabela publica, por concessão do terminal o valor praticado é R$ 50,00/DUE.&lt;/div&gt;
&lt;div&gt;&lt;/div&gt;
&lt;div&gt;&lt;span&gt;Se ainda restarem dúvidas, entre em contato com a nossa equipe de &lt;a href="https://atendimento.teconsvonline.com.br/hc/pt-br/articles/360048127531" target="_blank"&gt;Atendimento ao Cliente.&lt;/a&gt;&lt;/span&gt;&lt;/div&gt;</t>
  </si>
  <si>
    <t>https://wilsonsons.zendesk.com/api/v2/help_center/pt-br/articles/8472214549133.json</t>
  </si>
  <si>
    <t>https://atendimento.teconsvonline.com.br/hc/pt-br/articles/8472214549133-Exporta%C3%A7%C3%A3o-A-fatura-armazenagem-possui-mais-dias-que-deveria-Entenda-como-%C3%A9-faturado-a-Armz-Exp</t>
  </si>
  <si>
    <t>Exportação - A fatura armazenagem possui mais dias que deveria? Entenda como é faturado a Armz Exp.</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</si>
  <si>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&lt;div&gt;&lt;/div&gt;
&lt;div&gt;Conforme tabela publica, armazenagem de exportação é faturada em períodos de 05 dias ou fração.&lt;/div&gt;
&lt;div&gt;&lt;/div&gt;
&lt;div&gt;Os valores de cada período podem ser consultados nossa &lt;a href="https://www.wilsonsons.com.br/pt-br/teconsalvador/servicos/servicos-e-precos/" target="_self"&gt;tabela publica&lt;/a&gt;, item B.1 a B.3.&lt;/div&gt;
&lt;div&gt;&lt;/div&gt;
&lt;div&gt;
&lt;span&gt;Se ainda restarem dúvidas, entre em contato com a nossa equipe de &lt;a href="https://atendimento.teconsvonline.com.br/hc/pt-br/articles/360048127531" target="_blank"&gt;Atendimento a Clientes&lt;/a&gt;&lt;/span&gt; &lt;/div&gt;</t>
  </si>
  <si>
    <t>https://wilsonsons.zendesk.com/api/v2/help_center/pt-br/articles/8472058613261.json</t>
  </si>
  <si>
    <t>https://atendimento.teconsvonline.com.br/hc/pt-br/articles/8472058613261-Recebi-uma-cobran%C3%A7a-de-armazenagem-de-exporta%C3%A7%C3%A3o-Qual-o-motivo</t>
  </si>
  <si>
    <t>Recebi uma cobrança de armazenagem de exportação. Qual o motivo?</t>
  </si>
  <si>
    <t>&lt;div&gt;
&lt;p&gt;&lt;span&gt;Para o embarque de contêineres cheios é concedido um período livre de armazenagem de &lt;strong&gt;07 dias&lt;/strong&gt; anteriores à previsão de atracação dos navios.&lt;/span&gt;&lt;/p&gt;
&lt;p&gt;&lt;span&gt;Os contêineres não embarcados no período livre estão sujeitos à incidência de cobrança de armazenagem, retroagindo a contagem do período à data do recebimento.&lt;/span&gt;&lt;/p&gt;
&lt;p&gt;&lt;span&gt;Principais motivos de cobrança de armazenagem e transferência de navio:&lt;/span&gt;&lt;/p&gt;
&lt;p&gt;&lt;span&gt; &lt;/span&gt;&lt;/p&gt;
&lt;p&gt;&lt;span&gt;&lt;strong&gt;1° opção:&lt;/strong&gt; seu container entrou no terminal antes da abertura do gate (entrada antecipada);&lt;/span&gt;&lt;/p&gt;
&lt;p&gt;&lt;span&gt;&lt;strong&gt;2° opção:&lt;/strong&gt; não atendeu ao deadline de liberação documental e teve o embarque cancelado pelo Armador;&lt;/span&gt;&lt;/p&gt;
&lt;p&gt;&lt;span&gt;&lt;strong&gt;3° opção:&lt;/strong&gt; Armador solicitou transferência de navio a pedido/ custo do cliente. &lt;/span&gt;&lt;/p&gt;
&lt;p&gt; &lt;/p&gt;
&lt;p&gt;&lt;span&gt;Para maiores informações entre em contato com o  &lt;a href="https://atendimento.teconsvonline.com.br/hc/pt-br/articles/360048127531"&gt;Atendimento ao Cliente.&lt;/a&gt;&lt;/span&gt;&lt;/p&gt;
&lt;/div&gt;
&lt;div&gt;&lt;span&gt;&lt;/span&gt;&lt;/div&gt;
&lt;div&gt;&lt;/div&gt;
&lt;div&gt;&lt;span&gt;&lt;/span&gt;&lt;/div&gt;
&lt;div&gt;&lt;/div&gt;</t>
  </si>
  <si>
    <t>https://wilsonsons.zendesk.com/api/v2/help_center/pt-br/articles/8390753642381.json</t>
  </si>
  <si>
    <t>https://atendimento.teconsvonline.com.br/hc/pt-br/articles/8390753642381-Recebi-o-faturamento-por%C3%A9m-os-valores-n%C3%A3o-conferem-com-a-proposta</t>
  </si>
  <si>
    <t>Recebi o faturamento, porém os valores não conferem com a proposta. </t>
  </si>
  <si>
    <t>&lt;p&gt;&lt;span&gt;&lt;strong&gt;1° opção:&lt;/strong&gt;&lt;/span&gt;&lt;/p&gt;
&lt;p&gt;&lt;span&gt;Observe nas normas de aplicação da proposta, se existe a condição de pagamento com incidência de impostos.&lt;/span&gt;&lt;/p&gt;
&lt;p&gt;&lt;img alt="mceclip0.png" src="https://atendimento.teconsvonline.com.br/hc/article_attachments/8389573051917/mceclip0.png"/&gt;&lt;/p&gt;
&lt;p&gt;&lt;span&gt;* exemplo &lt;a href="chrome-extension://efaidnbmnnnibpcajpcglclefindmkaj/https://www.wilsonsons.com.br/wp-content/uploads/2022/07/TabelaPublicaTCSV20222023_OK_v3.pdf" target="_self"&gt;tabela pública&lt;/a&gt; &lt;/span&gt;&lt;/p&gt;
&lt;p&gt; &lt;/p&gt;
&lt;ul&gt;
&lt;li&gt;&lt;span&gt;&lt;strong&gt;Como realizo o cálculo dos impostos?&lt;/strong&gt;&lt;/span&gt;&lt;/li&gt;
&lt;/ul&gt;
&lt;p&gt;&lt;img alt="image__99_.png" src="https://atendimento.teconsvonline.com.br/hc/article_attachments/8390734180877/image__99_.png"/&gt;&lt;/p&gt;
&lt;p&gt; &lt;/p&gt;
&lt;p&gt;&lt;span&gt;&lt;strong&gt;2° opção:&lt;/strong&gt;&lt;/span&gt;&lt;/p&gt;
&lt;p&gt;&lt;span&gt;Verifique a vigência da sua proposta comercial, caso esteja vencida os valores foram cobrados pela &lt;a href="chrome-extension://efaidnbmnnnibpcajpcglclefindmkaj/https://www.wilsonsons.com.br/wp-content/uploads/2022/07/TabelaPublicaTCSV20222023_OK_v3.pdf" target="_self"&gt;tabela pública&lt;/a&gt; de serviços. &lt;/span&gt;&lt;/p&gt;
&lt;p&gt;&lt;span&gt;Acione o seu executivo de vendas para regularização.&lt;/span&gt;&lt;/p&gt;
&lt;p&gt;&lt;span&gt;&lt;strong&gt;3° opção:&lt;/strong&gt;&lt;/span&gt;&lt;/p&gt;
&lt;p&gt;&lt;span&gt;Entre em contato com a nossa equipe de &lt;a href="https://atendimento.teconsvonline.com.br/hc/pt-br/articles/360048127531"&gt;Atendimento ao Cliente&lt;/a&gt; para realização da conferência da cobrança. &lt;/span&gt;&lt;/p&gt;
&lt;p&gt; &lt;/p&gt;
&lt;p&gt; &lt;/p&gt;
&lt;p&gt; &lt;/p&gt;
&lt;p&gt; &lt;/p&gt;</t>
  </si>
  <si>
    <t>https://wilsonsons.zendesk.com/api/v2/help_center/pt-br/articles/4652559260557.json</t>
  </si>
  <si>
    <t>https://atendimento.teconsvonline.com.br/hc/pt-br/articles/4652559260557-Manual-do-Zendesk-explore</t>
  </si>
  <si>
    <t>Manual do Zendesk explore</t>
  </si>
  <si>
    <t>&lt;h2&gt;Antes de Começar -&lt;/h2&gt;
&lt;p&gt;Antes de iniciar a descrição das métricas e consultas calculadas, vamos a alguns conceitos importantes.&lt;/p&gt;
&lt;h2&gt;Conceitos básicos -&lt;/h2&gt;
&lt;h2&gt;Métricas&lt;/h2&gt;
&lt;ul&gt;
&lt;li&gt;
&lt;strong&gt;Métricas&lt;/strong&gt;&lt;span&gt; &lt;/span&gt;são dados&lt;span&gt; &lt;/span&gt;&lt;em&gt;quantitativos&lt;/em&gt;, como o número de tickets ou de chamadas telefônicas.&lt;/li&gt;
&lt;/ul&gt;
&lt;p&gt;Algumas das métricas que serão utilizadas.&lt;/p&gt;
&lt;table border="1" cellpadding="0" cellspacing="0"&gt;
&lt;tbody&gt;
&lt;tr&gt;
&lt;td&gt;Tempo da primeira resposta (h)&lt;/td&gt;
&lt;td&gt;A duração, em horas, entre a criação do ticket e a primeira resposta pública do agente no ticket.&lt;/td&gt;
&lt;td&gt;VALUE(Tempo da primeira resposta (h))/60&lt;/td&gt;
&lt;/tr&gt;
&lt;tr&gt;
&lt;td&gt;Tempo da primeira resolução (h)&lt;/td&gt;
&lt;td&gt;O número de horas entre a criação do ticket e a primeira resolução dele.&lt;/td&gt;
&lt;td&gt;VALUE(Tempo da primeira resolução (h))/60&lt;/td&gt;
&lt;/tr&gt;
&lt;tr&gt;
&lt;td&gt;Tempo total de resolução (h)&lt;/td&gt;
&lt;td&gt;A duração, em horas, da criação do ticket à resolução mais recente dele.&lt;/td&gt;
&lt;td&gt;VALUE(Tempo total de resolução (min))/60&lt;/td&gt;
&lt;/tr&gt;
&lt;tr&gt;
&lt;td&gt;Tempo de espera do solicitante (h)&lt;/td&gt;
&lt;td&gt;
&lt;a href="https://support.zendesk.com/hc/pt-br/articles/4408834848154-About-native-Support-time-duration-metrics#h_fd75857f-1dc5-4aa4-bb9c-b58ba2078617" target="_blank"&gt;&lt;span&gt;O número de horas que um ticket passa com os status "Novo", "Aberto" e "Em espera". Esse número é medido apenas após o status de um ticket mudar de "Novo"/"Aberto"/"Em espera" para "Pendente"/"Resolvido"/"Fechado". Para obter mais explicações a respeito, consulte &lt;/span&gt;&lt;span&gt;&lt;/span&gt;&lt;/a&gt;&lt;a href="https://support.zendesk.com/hc/pt-br/articles/4408834848154-About-native-Support-time-duration-metrics#h_fd75857f-1dc5-4aa4-bb9c-b58ba2078617" target="_blank"&gt;Tempo de espera do solicitante&lt;/a&gt;&lt;span&gt;.&lt;/span&gt;
&lt;/td&gt;
&lt;td&gt;VALUE(Tempo de espera do solicitante (min))/60&lt;/td&gt;
&lt;/tr&gt;
&lt;tr&gt;
&lt;td&gt;Tempo da primeira resposta - horário de operação (min)&lt;/td&gt;
&lt;td&gt;A duração, em minutos, entre a criação do ticket e a primeira resposta pública do agente no ticket durante o horário de operação.&lt;/td&gt;
&lt;td&gt;
&lt;div&gt;
&lt;div&gt;(Tempo da primeira resposta - horário de operação (min))&lt;/div&gt;
&lt;/div&gt;
&lt;/td&gt;
&lt;/tr&gt;
&lt;tr&gt;
&lt;td&gt;Tempo da primeira resolução - horário de operação (min)&lt;/td&gt;
&lt;td&gt;A duração, em minutos, entre a criação do ticket e a primeira resolução dele durante o horário de operação.&lt;/td&gt;
&lt;td&gt;
&lt;div&gt;
&lt;div&gt;(Tempo da primeira resolução - horário de operação (min))&lt;/div&gt;
&lt;/div&gt;
&lt;/td&gt;
&lt;/tr&gt;
&lt;tr&gt;
&lt;td&gt;Tempo total de resolução - horário de operação (min)&lt;/td&gt;
&lt;td&gt;A duração, em minutos, entre a criação do ticket e a resolução mais recente dele durante o horário de operação.&lt;/td&gt;
&lt;td&gt;
&lt;div&gt;
&lt;div&gt;(Tempo total de resolução - horário de operação (min))&lt;/div&gt;
&lt;/div&gt;
&lt;/td&gt;
&lt;/tr&gt;
&lt;tr&gt;
&lt;td&gt;Tempo de espera do solicitante - horário de operação (min)&lt;/td&gt;
&lt;td&gt;
&lt;a href="https://support.zendesk.com/hc/pt-br/articles/4408834848154-About-native-Support-time-duration-metrics#h_fd75857f-1dc5-4aa4-bb9c-b58ba2078617" target="_blank"&gt;&lt;span&gt;O número de minutos que um ticket passa com os status "Novo", "Aberto" e "Em espera" durante o horário de operação. Esse número é medido apenas após o status de um ticket mudar de "Novo"/"Aberto"/"Em espera" para "Pendente"/"Resolvido"/"Fechado". Para obter mais explicações a respeito, consulte &lt;/span&gt;&lt;span&gt;&lt;/span&gt;&lt;/a&gt;&lt;a href="https://support.zendesk.com/hc/pt-br/articles/4408834848154-About-native-Support-time-duration-metrics#h_fd75857f-1dc5-4aa4-bb9c-b58ba2078617" target="_blank"&gt;Tempo de espera do solicitante&lt;/a&gt;&lt;span&gt;.&lt;/span&gt;
&lt;/td&gt;
&lt;td&gt;
&lt;div&gt;
&lt;div&gt;(Tempo de espera do solicitante - horário de operação (min))&lt;/div&gt;
&lt;/div&gt;
&lt;/td&gt;
&lt;/tr&gt;
&lt;tr&gt;
&lt;td&gt;Tempo de espera do agente - horário de operação (min)&lt;/td&gt;
&lt;td&gt;O tempo total combinado, em minutos, durante o qual o ticket permaneceu no status "Pendente" no horário de operação. Mede quanto tempo os agentes esperaram pelas respostas do cliente durante o horário de operação.&lt;/td&gt;
&lt;td&gt;
&lt;div&gt;
&lt;div&gt;(Tempo de espera do agente - horário de operação (min))&lt;/div&gt;
&lt;/div&gt;
&lt;/td&gt;
&lt;/tr&gt;
&lt;tr&gt;
&lt;td&gt;Tempo em espera - horário de operação (min)&lt;/td&gt;
&lt;td&gt;O tempo total combinado, em minutos, durante o qual o ticket permaneceu no status "Em espera" no horário de operação.&lt;/td&gt;
&lt;td&gt;Tempo em espera - horário de operação (min)&lt;/td&gt;
&lt;/tr&gt;
&lt;tr&gt;
&lt;td&gt;Tempo da primeira resposta - horário de operação (h)&lt;/td&gt;
&lt;td&gt;A duração, em horas, entre a criação do ticket e a primeira resposta pública do agente no ticket dentro do horário de operação.&lt;/td&gt;
&lt;td&gt;
&lt;div&gt;
&lt;div&gt;VALUE(Tempo da primeira resposta - horário de operação (min))/60&lt;/div&gt;
&lt;/div&gt;
&lt;/td&gt;
&lt;/tr&gt;
&lt;tr&gt;
&lt;td&gt;Tempo da primeira resolução - horário de operação (h)&lt;/td&gt;
&lt;td&gt;A duração, em horas, entre a criação do ticket e a primeira resolução dele durante o horário de operação.&lt;/td&gt;
&lt;td&gt;
&lt;div&gt;
&lt;div&gt;VALUE(Tempo da primeira resolução - horário de operação (min))/60&lt;/div&gt;
&lt;/div&gt;
&lt;/td&gt;
&lt;/tr&gt;
&lt;tr&gt;
&lt;td&gt;Tempo total de resolução - horário de operação (h)&lt;/td&gt;
&lt;td&gt;A duração, em horas, entre a criação do ticket e a resolução mais recente dele durante o horário de operação.&lt;/td&gt;
&lt;td&gt;
&lt;div&gt;
&lt;div&gt;VALUE(Tempo total de resolução - horário de operação (min))/60&lt;/div&gt;
&lt;/div&gt;
&lt;/td&gt;
&lt;/tr&gt;
&lt;tr&gt;
&lt;td&gt;Tempo de espera do solicitante - horário de operação (h)&lt;/td&gt;
&lt;td&gt;
&lt;a href="https://support.zendesk.com/hc/pt-br/articles/4408834848154-About-native-Support-time-duration-metrics#h_fd75857f-1dc5-4aa4-bb9c-b58ba2078617" target="_blank"&gt;&lt;span&gt;O número de horas que um ticket passa com os status "Novo", "Aberto" e "Em espera" durante o horário de operação. Esse número é medido apenas após o status de um ticket mudar de "Novo"/"Aberto"/"Em espera" para "Pendente"/"Resolvido"/"Fechado". Para obter mais explicações a respeito, consulte &lt;/span&gt;&lt;span&gt;&lt;/span&gt;&lt;/a&gt;&lt;a href="https://support.zendesk.com/hc/pt-br/articles/4408834848154-About-native-Support-time-duration-metrics#h_fd75857f-1dc5-4aa4-bb9c-b58ba2078617" target="_blank"&gt;Tempo de espera do solicitante&lt;/a&gt;&lt;span&gt;.&lt;/span&gt;
&lt;/td&gt;
&lt;td&gt;
&lt;div&gt;
&lt;div&gt;VALUE(Tempo de espera do solicitante - horário de operação (min))/60&lt;/div&gt;
&lt;/div&gt;
&lt;/td&gt;
&lt;/tr&gt;
&lt;tr&gt;
&lt;td&gt;Tempo de espera do agente - horário de operação (h)&lt;/td&gt;
&lt;td&gt;O tempo total combinado, em horas, durante o qual o ticket permaneceu no status "Pendente" no horário de operação. Mede quanto tempo os agentes esperaram pelas respostas do cliente durante o horário de operação.&lt;/td&gt;
&lt;td&gt;
&lt;div&gt;
&lt;div&gt;VALUE(Tempo de espera do agente - horário de operação (min))/60&lt;/div&gt;
&lt;/div&gt;
&lt;/td&gt;
&lt;/tr&gt;
&lt;tr&gt;
&lt;td&gt;Tempo em espera - horário de operação (h)&lt;/td&gt;
&lt;td&gt;O tempo total combinado, em horas, durante o qual o ticket permaneceu no status "Em espera" no horário de operação.&lt;/td&gt;
&lt;td&gt;
&lt;div&gt;
&lt;div&gt;VALUE(Tempo em espera - horário de operação (min))/60&lt;/div&gt;
&lt;/div&gt;
&lt;/td&gt;
&lt;/tr&gt;
&lt;/tbody&gt;
&lt;/table&gt;
&lt;h2&gt; &lt;/h2&gt;
&lt;h2&gt;Atributos&lt;/h2&gt;
&lt;ul&gt;
&lt;li&gt;
&lt;strong&gt;Atributos&lt;/strong&gt;&lt;span&gt; &lt;/span&gt;são dados&lt;span&gt; &lt;/span&gt;&lt;em&gt;qualitativos&lt;/em&gt;&lt;span&gt; &lt;/span&gt;como nomes de agentes e canais do ticket. Quando você adiciona um atributo a uma consulta, isso divide seus resultados para torná-los mais úteis.&lt;/li&gt;
&lt;/ul&gt;
&lt;h2&gt;Consultas&lt;/h2&gt;
&lt;div&gt;
&lt;ul&gt;
&lt;li&gt;
&lt;strong&gt;Consultas &lt;/strong&gt;é uma pergunta que você faz sobre informações armazenadas no Zendesk. A &lt;em&gt;métrica&lt;/em&gt; é a informação em relação ao que você deseja mensurar, normalmente trata-se de algo quantitativo, como o número de tickets ou o número de respostas ao ticket. O &lt;em&gt;atributo&lt;/em&gt; divide o resultado da sua métrica por dados qualitativos como datas, grupos e tags.&lt;/li&gt;
&lt;/ul&gt;
&lt;h2&gt;Filtros&lt;/h2&gt;
&lt;ul&gt;
&lt;li&gt;
&lt;strong&gt;Filtros &lt;/strong&gt;Opção que tem como  objetivo é selecionar apenas parcela dos dados para auxiliar na utilização dos dados na gestão e tomada de decisão. &lt;/li&gt;
&lt;/ul&gt;
&lt;/div&gt;
&lt;p&gt; &lt;/p&gt;
&lt;table border="1" cellpadding="4" cellspacing="0"&gt;
&lt;tbody&gt;
&lt;tr&gt;
&lt;th&gt;Agregador&lt;/th&gt;
&lt;th&gt;Descrição&lt;/th&gt;
&lt;th&gt;Quando usar&lt;/th&gt;
&lt;/tr&gt;
&lt;/tbody&gt;
&lt;tbody&gt;
&lt;tr&gt;
&lt;td&gt;&lt;strong&gt;COUNT&lt;/strong&gt;&lt;/td&gt;
&lt;td&gt;
&lt;p&gt;Conta todos os valores de um atributo. Se o mesmo valor é registrado mais de uma vez, todas as ocorrências são contadas.&lt;/p&gt;
&lt;/td&gt;
&lt;td&gt;
&lt;p&gt;Usado para fazer a contagem de objetos como tickets, chamadas, chats, usuários, organizações etc.&lt;/p&gt;
&lt;/td&gt;
&lt;/tr&gt;
&lt;tr&gt;
&lt;td&gt;
&lt;strong&gt;D_COUNT&lt;/strong&gt;
&lt;p&gt;(contagem distinta)&lt;/p&gt;
&lt;/td&gt;
&lt;td&gt;
&lt;p&gt;Conta o número de valores (exclusivos) diferentes. Os valores registrados mais de uma vez são contados apenas uma vez.&lt;/p&gt;
&lt;/td&gt;
&lt;td&gt;
&lt;p&gt;Usado para fazer a contagem distinta de objetos como tickets, chamadas, chats, usuários, organizações etc.&lt;/p&gt;
&lt;/td&gt;
&lt;/tr&gt;
&lt;tr&gt;
&lt;td&gt;&lt;strong&gt;SUM&lt;/strong&gt;&lt;/td&gt;
&lt;td&gt;
&lt;p&gt;Adiciona todos os valores numéricos.&lt;/p&gt;
&lt;/td&gt;
&lt;td&gt;
&lt;p&gt;Usado para as métricas calculadas do banco de dados, da operação aritmética e da duração de tempo como Mensagens de Chat, % de score de satisfação e Tempo de resolução.&lt;/p&gt;
&lt;/td&gt;
&lt;/tr&gt;
&lt;tr&gt;
&lt;td&gt;
&lt;strong&gt;AVG&lt;/strong&gt;
&lt;p&gt;(média)&lt;/p&gt;
&lt;/td&gt;
&lt;td&gt;
&lt;p&gt;Calcula a média aritmética de valores numéricos.&lt;/p&gt;
&lt;/td&gt;
&lt;td&gt;
&lt;p&gt;Usado para as métricas contadas do banco de dados e de duração de tempo como tempo de resolução e mensagens do Chat.&lt;/p&gt;
&lt;/td&gt;
&lt;/tr&gt;
&lt;tr&gt;
&lt;td&gt;
&lt;strong&gt;MED&lt;/strong&gt;
&lt;p&gt;(mediano)&lt;/p&gt;
&lt;/td&gt;
&lt;td&gt;
&lt;p&gt;Identifica o valor numérico que separa a metade mais alta dos valores da metade mais baixa.&lt;/p&gt;
&lt;/td&gt;
&lt;td&gt;
&lt;p&gt;Usado para as métricas contadas do banco de dados e de duração de tempo como tempo de resolução e mensagens do Chat.&lt;/p&gt;
&lt;/td&gt;
&lt;/tr&gt;
&lt;tr&gt;
&lt;td&gt;
&lt;strong&gt;MIN&lt;/strong&gt;
&lt;p&gt;(mínimo)&lt;/p&gt;
&lt;/td&gt;
&lt;td&gt;
&lt;p&gt;Identifica o menor valor numérico.&lt;/p&gt;
&lt;/td&gt;
&lt;td&gt;
&lt;p&gt;Usado para as métricas contadas do banco de dados e de duração de tempo como tempo de resolução e mensagens do Chat.&lt;/p&gt;
&lt;/td&gt;
&lt;/tr&gt;
&lt;tr&gt;
&lt;td&gt;
&lt;strong&gt;MAX&lt;/strong&gt;
&lt;p&gt;(máximo)&lt;/p&gt;
&lt;/td&gt;
&lt;td&gt;
&lt;p&gt;Identifica o maior valor numérico.&lt;/p&gt;
&lt;/td&gt;
&lt;td&gt;
&lt;p&gt;Usado para as métricas contadas do banco de dados e de duração de tempo como tempo de resolução e mensagens do Chat.&lt;/p&gt;
&lt;/td&gt;
&lt;/tr&gt;
&lt;tr&gt;
&lt;td&gt;
&lt;p&gt;&lt;strong&gt;VARIANCE&lt;/strong&gt;&lt;/p&gt;
&lt;p&gt;&lt;strong&gt;STD_DEV&lt;/strong&gt;&lt;/p&gt;
&lt;p&gt;(desvio padrão)&lt;/p&gt;
&lt;/td&gt;
&lt;td&gt;
&lt;p&gt;Mede o quanto os valores padrão estão distantes do valor médio. Se ele estiver baixo, isso significa que os valores numéricos estão próximos da média. Se ele estiver alto, isso significa que os valores numéricos estão distantes.&lt;/p&gt;
&lt;/td&gt;
&lt;td&gt;
&lt;p&gt;Usado para as métricas contadas do banco de dados e de duração de tempo como tempo de resolução e mensagens do Chat.&lt;/p&gt;
&lt;/td&gt;
&lt;/tr&gt;
&lt;/tbody&gt;
&lt;/table&gt;
&lt;p&gt;i&lt;/p&gt;
&lt;p&gt; &lt;/p&gt;
&lt;p&gt; &lt;/p&gt;
&lt;h2&gt;Painel Indicadores Atendimento -&lt;/h2&gt;
&lt;h3&gt;    Aba Geral -&lt;/h3&gt;
&lt;p&gt;_____________________________________________________________________________&lt;/p&gt;
&lt;h4&gt; Filtros Utilizados:&lt;/h4&gt;
&lt;ul&gt;
&lt;li&gt;Clientes - Opção permite realizar filtro do campo Cliente List.&lt;/li&gt;
&lt;/ul&gt;
&lt;p&gt;Obs - A opção Null referem-se a Chats RG, tickets fundidos, tickets com status Aberto, Pendente, Em Espera e Novo.&lt;/p&gt;
&lt;ul&gt;
&lt;li&gt;Categoria dúvida - Opção realizar filtro do campo Categoria dúvida&lt;/li&gt;
&lt;/ul&gt;
&lt;p&gt;Obs - A opção Null referem-se a Tickets fundidos, tickets com status Aberto, Pendente, Em Espera e Novo, Ticket de outra categoria (Reclamação SV, Solicitação SV, Elogio SV).  &lt;/p&gt;
&lt;ul&gt;
&lt;li&gt;Semana do Ano - Opção realizar filtro do campo Categoria dúvida&lt;/li&gt;
&lt;li&gt;Formulário do Ticket - Opção realizar filtro do campo formulário ticket&lt;/li&gt;
&lt;/ul&gt;
&lt;p&gt;_____________________________________________________________________________&lt;/p&gt;
&lt;p&gt;Consultas - &lt;/p&gt;
&lt;p&gt;Obs - Todas os dados possuem delay de aproximadamente 1h para migrar do Zendesk Support ao Zendesk explore.&lt;/p&gt;
&lt;p&gt; &lt;/p&gt;
&lt;h4&gt;Tickets Resolvidos - Conta tickets resolvidos.&lt;/h4&gt;
&lt;p&gt;Métrica - &lt;strong&gt;COUNT &lt;/strong&gt;tickets&lt;/p&gt;
&lt;p&gt;Parâmetros:&lt;/p&gt;
&lt;ul&gt;
&lt;li&gt;Ano de criação do ticket - 2022&lt;/li&gt;
&lt;li&gt;Grupo do ticket - Salvador atendimento&lt;/li&gt;
&lt;li&gt;Status do ticket - Fechado e Resolvido&lt;/li&gt;
&lt;/ul&gt;
&lt;h4&gt;Tickets Novos- Conta tickets novos.&lt;/h4&gt;
&lt;p&gt;Métrica - &lt;strong&gt;COUNT &lt;/strong&gt;tickets&lt;/p&gt;
&lt;p&gt;Parâmetros:&lt;/p&gt;
&lt;ul&gt;
&lt;li&gt;Ano de criação do ticket - 2022&lt;/li&gt;
&lt;li&gt;Grupo do ticket - Salvador atendimento&lt;/li&gt;
&lt;li&gt;Status do ticket - Aberto&lt;/li&gt;
&lt;/ul&gt;
&lt;h4&gt;Tickets Abertos - Conta tickets Abertos.&lt;/h4&gt;
&lt;p&gt;Métrica - &lt;strong&gt;COUNT&lt;/strong&gt; tickets&lt;/p&gt;
&lt;p&gt;Parâmetros:&lt;/p&gt;
&lt;ul&gt;
&lt;li&gt;Ano de criação do ticket - 2022&lt;/li&gt;
&lt;li&gt;Grupo do ticket - Salvador atendimento&lt;/li&gt;
&lt;li&gt;Status do ticket - Aberto&lt;/li&gt;
&lt;/ul&gt;
&lt;h4&gt;Tickets Pendentes- Conta tickets Pendentes.&lt;/h4&gt;
&lt;p&gt;Métrica - &lt;strong&gt;COUNT &lt;/strong&gt;tickets&lt;/p&gt;
&lt;p&gt;Parâmetros:&lt;/p&gt;
&lt;ul&gt;
&lt;li&gt;Ano de criação do ticket - 2022&lt;/li&gt;
&lt;li&gt;Grupo do ticket - Salvador atendimento&lt;/li&gt;
&lt;li&gt;Status do ticket - Pendente&lt;/li&gt;
&lt;/ul&gt;
&lt;h4&gt;Tickets Em Espera - Conta tickets Em Espera.&lt;/h4&gt;
&lt;p&gt;Métrica - &lt;strong&gt;COUNT &lt;/strong&gt;tickets&lt;/p&gt;
&lt;p&gt;Parâmetros:&lt;/p&gt;
&lt;ul&gt;
&lt;li&gt;Ano de criação do ticket - 2022&lt;/li&gt;
&lt;li&gt;Grupo do ticket - Salvador atendimento&lt;/li&gt;
&lt;li&gt;Status do ticket - Em Espera&lt;/li&gt;
&lt;/ul&gt;
&lt;p&gt;&lt;img alt="mceclip0.png" height="100" src="https://atendimento.teconsvonline.com.br/hc/article_attachments/4654425288845/mceclip0.png" width="795"/&gt;&lt;/p&gt;
&lt;p&gt; &lt;/p&gt;
&lt;h4&gt;Tickets Mensais - Conta tickets Criados por Mês.&lt;/h4&gt;
&lt;p&gt;Métrica - &lt;strong&gt;COUNT &lt;/strong&gt;tickets&lt;/p&gt;
&lt;p&gt;Coluna- Mês da Criação de tickets&lt;/p&gt;
&lt;p&gt;Parâmetros:&lt;/p&gt;
&lt;ul&gt;
&lt;li&gt;Ano de criação do ticket - 2022&lt;/li&gt;
&lt;li&gt;Grupo do ticket - Salvador atendimento&lt;/li&gt;
&lt;/ul&gt;
&lt;p&gt;&lt;img alt="mceclip1.png" src="https://atendimento.teconsvonline.com.br/hc/article_attachments/4654289001613/mceclip1.png"/&gt;&lt;/p&gt;
&lt;p&gt; &lt;/p&gt;
&lt;h4&gt;Tickets x Canal - Conta tickets Criados por Mês.&lt;/h4&gt;
&lt;p&gt;Métrica - &lt;strong&gt;COUNT &lt;/strong&gt;tickets&lt;/p&gt;
&lt;p&gt;Coluna- Canal do Ticket&lt;/p&gt;
&lt;p&gt;Parâmetros:&lt;/p&gt;
&lt;ul&gt;
&lt;li&gt;Ano de criação do ticket - 2022&lt;/li&gt;
&lt;li&gt;Grupo do ticket - Salvador atendimento&lt;/li&gt;
&lt;/ul&gt;
&lt;p&gt;Obs - Any Channel = WPP&lt;/p&gt;
&lt;p&gt;&lt;img alt="mceclip2.png" src="https://atendimento.teconsvonline.com.br/hc/article_attachments/4654292018573/mceclip2.png"/&gt;&lt;/p&gt;
&lt;p&gt; &lt;/p&gt;
&lt;h4&gt;QTD Tickets Semanais x Canal - Conta Tickets semanais por canal de atendimento&lt;/h4&gt;
&lt;p&gt;Métrica - &lt;strong&gt;COUNT &lt;/strong&gt;tickets&lt;/p&gt;
&lt;p&gt;              -&lt;strong&gt;COUNT &lt;/strong&gt;tickets Resolvidos&lt;/p&gt;
&lt;p&gt;Coluna - Semana de Criação do ticket&lt;/p&gt;
&lt;p&gt;Linha - Canal do ticket&lt;/p&gt;
&lt;p&gt;Parâmetros:&lt;/p&gt;
&lt;ul&gt;
&lt;li&gt;Ano de criação do ticket - 2022&lt;/li&gt;
&lt;li&gt;Grupo do ticket - Salvador atendimento&lt;/li&gt;
&lt;/ul&gt;
&lt;p&gt;Obs - Any Channel = WPP&lt;/p&gt;
&lt;p&gt; &lt;/p&gt;
&lt;p&gt;&lt;img alt="mceclip4.png" height="148" src="https://atendimento.teconsvonline.com.br/hc/article_attachments/4654806663565/mceclip4.png" width="745"/&gt;&lt;/p&gt;
&lt;h4&gt; &lt;/h4&gt;
&lt;h4&gt;QTD Tickets Mensais x Anos - Conta criados por ano.&lt;/h4&gt;
&lt;p&gt;Métrica - &lt;strong&gt;COUNT &lt;/strong&gt;tickets&lt;/p&gt;
&lt;p&gt;              -&lt;strong&gt;COUNT &lt;/strong&gt;tickets Resolvidos&lt;/p&gt;
&lt;p&gt;Coluna - Mês de Criação do ticket&lt;/p&gt;
&lt;p&gt;Linha - Anos de Criação do ticket&lt;/p&gt;
&lt;p&gt;Parâmetros:&lt;/p&gt;
&lt;ul&gt;
&lt;li&gt;Ano de criação do ticket - 2022&lt;/li&gt;
&lt;li&gt;Grupo do ticket - Salvador atendimento&lt;/li&gt;
&lt;/ul&gt;
&lt;p&gt;&lt;img alt="mceclip5.png" src="https://atendimento.teconsvonline.com.br/hc/article_attachments/4654861115405/mceclip5.png"/&gt;&lt;/p&gt;
&lt;p&gt; &lt;/p&gt;
&lt;h4&gt;Tickets Semanais&lt;/h4&gt;
&lt;p&gt;Métrica - &lt;strong&gt;COUNT &lt;/strong&gt;tickets&lt;/p&gt;
&lt;p&gt;Coluna - Semana de Criação do ticket&lt;/p&gt;
&lt;p&gt;Parâmetros:&lt;/p&gt;
&lt;ul&gt;
&lt;li&gt;Ano de criação do ticket - 2022&lt;/li&gt;
&lt;li&gt;Grupo do ticket - Salvador atendimento&lt;/li&gt;
&lt;/ul&gt;
&lt;p&gt;&lt;img alt="mceclip6.png" src="https://atendimento.teconsvonline.com.br/hc/article_attachments/4654904582925/mceclip6.png"/&gt;&lt;/p&gt;
&lt;p&gt; &lt;/p&gt;
&lt;h4&gt;Relação de tickets da semana atual&lt;/h4&gt;
&lt;p&gt;Métrica - &lt;strong&gt;AVG &lt;/strong&gt;(Tempo de primeira resposta horário de operação)&lt;/p&gt;
&lt;p&gt;             - &lt;strong&gt;AVG &lt;/strong&gt;(Tempo de primeira resolução horário de operação) &lt;/p&gt;
&lt;p&gt; &lt;/p&gt;
&lt;p&gt;Linha - Anos de Criação do ticket&lt;/p&gt;
&lt;p&gt;         - ID do Ticket&lt;/p&gt;
&lt;p&gt;         - Status do Ticket&lt;/p&gt;
&lt;p&gt;         - Nome do Atribuído&lt;/p&gt;
&lt;p&gt;         - Cliente&lt;/p&gt;
&lt;p&gt;         - Nome do solicitante&lt;/p&gt;
&lt;p&gt;         - Organização&lt;/p&gt;
&lt;p&gt;         - Canal do ticket&lt;/p&gt;
&lt;p&gt;         - Criação do ticket &lt;/p&gt;
&lt;p&gt; &lt;/p&gt;
&lt;p&gt;Parâmetros:&lt;/p&gt;
&lt;ul&gt;
&lt;li&gt;Ano de criação do ticket - 2022 (está semana)&lt;/li&gt;
&lt;li&gt;Grupo do ticket - Salvador atendimento&lt;/li&gt;
&lt;/ul&gt;
&lt;p&gt;&lt;img alt="mceclip7.png" src="https://atendimento.teconsvonline.com.br/hc/article_attachments/4655129936141/mceclip7.png"/&gt;&lt;/p&gt;
&lt;p&gt;_____________________________________________________________________________&lt;/p&gt;
&lt;h3&gt;   &lt;/h3&gt;
&lt;h3&gt;Aba Satisfação -&lt;/h3&gt;
&lt;p&gt;Dados extraídos através da nossa pesquisa Csat.&lt;/p&gt;
&lt;p&gt; &lt;/p&gt;
&lt;h4&gt;Satisfações Positivas -&lt;/h4&gt;
&lt;p&gt;Métrica - &lt;strong&gt;COUNT &lt;/strong&gt;(Tickets com Satisfação Boa)&lt;/p&gt;
&lt;p&gt;Parâmetros:&lt;/p&gt;
&lt;ul&gt;
&lt;li&gt;Ano de criação do ticket - 2022&lt;/li&gt;
&lt;li&gt;Grupo do ticket - Salvador atendimento&lt;/li&gt;
&lt;/ul&gt;
&lt;h4&gt;Satisfações Negativa -&lt;/h4&gt;
&lt;p&gt;Métrica - &lt;strong&gt;COUNT &lt;/strong&gt;(Tickets com Satisfação Ruim)&lt;/p&gt;
&lt;p&gt;Parâmetros:&lt;/p&gt;
&lt;ul&gt;
&lt;li&gt;Ano de criação do ticket - 2022&lt;/li&gt;
&lt;li&gt;Grupo do ticket - Salvador atendimento&lt;/li&gt;
&lt;/ul&gt;
&lt;h4&gt;Índice de Satisfação  -&lt;/h4&gt;
&lt;p&gt;Métrica - &lt;strong&gt;SUM &lt;/strong&gt;(% do Score de Satisfação)&lt;/p&gt;
&lt;p&gt;Cálculo - COUNT(Tickets com satisfação boa)/COUNT(Tickets com classificação de satisfação)&lt;/p&gt;
&lt;p&gt;Parâmetros:&lt;/p&gt;
&lt;ul&gt;
&lt;li&gt;Ano de criação do ticket - 2022&lt;/li&gt;
&lt;li&gt;Grupo do ticket - Salvador atendimento&lt;/li&gt;
&lt;/ul&gt;
&lt;h4&gt;Taxa de Adesão  -&lt;/h4&gt;
&lt;p&gt;Métrica - &lt;strong&gt;SUM &lt;/strong&gt;(% Índice de Satisfação)&lt;/p&gt;
&lt;p&gt;Cálculo - COUNT(Tickets com classificação de satisfação)/COUNT(Tickets com pesquisa de satisfação)&lt;/p&gt;
&lt;p&gt;Parâmetros:&lt;/p&gt;
&lt;ul&gt;
&lt;li&gt;Ano de criação do ticket - 2022&lt;/li&gt;
&lt;li&gt;Grupo do ticket - Salvador atendimento&lt;/li&gt;
&lt;/ul&gt;
&lt;p&gt;&lt;img alt="mceclip8.png" src="https://atendimento.teconsvonline.com.br/hc/article_attachments/4656595414925/mceclip8.png"/&gt;&lt;/p&gt;
&lt;p&gt; &lt;/p&gt;
&lt;h4&gt;Avaliações Semanais -&lt;/h4&gt;
&lt;p&gt;Métrica - &lt;strong&gt;COUNT &lt;/strong&gt;(Tickets com Satisfação Boa)&lt;/p&gt;
&lt;p&gt;              - &lt;strong&gt;COUNT &lt;/strong&gt;(Tickets com Satisfação Ruim)&lt;/p&gt;
&lt;p&gt;Coluna - Semana da resolução ticket&lt;/p&gt;
&lt;p&gt;Parâmetros:&lt;/p&gt;
&lt;ul&gt;
&lt;li&gt;Ano de criação do ticket - 2022&lt;/li&gt;
&lt;li&gt;Grupo do ticket - Salvador atendimento&lt;/li&gt;
&lt;/ul&gt;
&lt;p&gt;&lt;img alt="mceclip9.png" src="https://atendimento.teconsvonline.com.br/hc/article_attachments/4656619648525/mceclip9.png"/&gt;&lt;/p&gt;
&lt;h4&gt; &lt;/h4&gt;
&lt;h4&gt;Satisfação Mensal x Canal-&lt;/h4&gt;
&lt;p&gt;Métrica - &lt;strong&gt;COUNT &lt;/strong&gt;(Tickets com Satisfação Boa)&lt;/p&gt;
&lt;p&gt;Coluna - Semana da Criação ticket&lt;/p&gt;
&lt;p&gt;Linhas - Canal do Ticket&lt;/p&gt;
&lt;p&gt;Parâmetros:&lt;/p&gt;
&lt;ul&gt;
&lt;li&gt;Ano de criação do ticket - 2022&lt;/li&gt;
&lt;li&gt;Grupo do ticket - Salvador atendimento&lt;/li&gt;
&lt;/ul&gt;
&lt;p&gt;&lt;img alt="mceclip10.png" src="https://atendimento.teconsvonline.com.br/hc/article_attachments/4657064471309/mceclip10.png"/&gt;&lt;/p&gt;
&lt;p&gt; &lt;/p&gt;
&lt;h4&gt;Satisfação por Agente-&lt;/h4&gt;
&lt;p&gt;Métrica - &lt;strong&gt;COUNT &lt;/strong&gt;(Tickets com Satisfação Boa)&lt;/p&gt;
&lt;p&gt;              - &lt;strong&gt;COUNT &lt;/strong&gt;(Tickets com Satisfação Ruim)&lt;/p&gt;
&lt;p&gt;Linhas - Agente&lt;/p&gt;
&lt;p&gt;Parâmetros:&lt;/p&gt;
&lt;ul&gt;
&lt;li&gt;Ano de criação do ticket - 2022&lt;/li&gt;
&lt;li&gt;Grupo do ticket - Salvador atendimento&lt;/li&gt;
&lt;/ul&gt;
&lt;p&gt;&lt;img alt="mceclip11.png" height="311" src="https://atendimento.teconsvonline.com.br/hc/article_attachments/4657075937549/mceclip11.png" width="548"/&gt;&lt;/p&gt;
&lt;p&gt; &lt;/p&gt;
&lt;h4&gt;Satisfação por Canal de Atendimento-&lt;/h4&gt;
&lt;p&gt;Métrica - &lt;strong&gt;COUNT &lt;/strong&gt;(Tickets com Satisfação Boa)&lt;/p&gt;
&lt;p&gt;Linhas - Canal do ticket&lt;/p&gt;
&lt;p&gt;Parâmetros:&lt;/p&gt;
&lt;ul&gt;
&lt;li&gt;Ano de criação do ticket - 2022&lt;/li&gt;
&lt;li&gt;Grupo do ticket - Salvador atendimento&lt;/li&gt;
&lt;/ul&gt;
&lt;p&gt;&lt;img alt="mceclip12.png" src="https://atendimento.teconsvonline.com.br/hc/article_attachments/4657326360589/mceclip12.png"/&gt;&lt;/p&gt;
&lt;p&gt; &lt;/p&gt;
&lt;h4&gt;Satisfação positiva por organização-&lt;/h4&gt;
&lt;p&gt;Métrica - &lt;strong&gt;COUNT &lt;/strong&gt;(Tickets com Satisfação Boa)&lt;/p&gt;
&lt;p&gt;Linhas - Organização&lt;/p&gt;
&lt;p&gt;Parâmetros:&lt;/p&gt;
&lt;ul&gt;
&lt;li&gt;Ano de criação do ticket - 2022&lt;/li&gt;
&lt;li&gt;Grupo do ticket - Salvador atendimento&lt;/li&gt;
&lt;/ul&gt;
&lt;h4&gt;Satisfação positiva por Cliente-&lt;/h4&gt;
&lt;p&gt;Métrica - &lt;strong&gt;COUNT &lt;/strong&gt;(Tickets com Satisfação Boa)&lt;/p&gt;
&lt;p&gt;Linhas - Cliente&lt;/p&gt;
&lt;p&gt;Parâmetros:&lt;/p&gt;
&lt;ul&gt;
&lt;li&gt;Ano de criação do ticket - 2022&lt;/li&gt;
&lt;li&gt;Grupo do ticket - Salvador atendimento&lt;/li&gt;
&lt;/ul&gt;
&lt;p&gt;&lt;img alt="mceclip13.png" src="https://atendimento.teconsvonline.com.br/hc/article_attachments/4657455779725/mceclip13.png"/&gt;&lt;/p&gt;
&lt;p&gt; &lt;/p&gt;
&lt;h4&gt;Satisfação Negativa por organização-&lt;/h4&gt;
&lt;p&gt;Métrica - &lt;strong&gt;COUNT &lt;/strong&gt;(Tickets com Satisfação Ruim)&lt;/p&gt;
&lt;p&gt;Linhas - Organização&lt;/p&gt;
&lt;p&gt;Parâmetros:&lt;/p&gt;
&lt;ul&gt;
&lt;li&gt;Ano de criação do ticket - 2022&lt;/li&gt;
&lt;li&gt;Grupo do ticket - Salvador atendimento&lt;/li&gt;
&lt;/ul&gt;
&lt;h4&gt;Satisfação positiva por Cliente-&lt;/h4&gt;
&lt;p&gt;Métrica - &lt;strong&gt;COUNT &lt;/strong&gt;(Tickets com Satisfação Ruim)&lt;/p&gt;
&lt;p&gt;Linhas - Cliente&lt;/p&gt;
&lt;p&gt;Parâmetros:&lt;/p&gt;
&lt;ul&gt;
&lt;li&gt;Ano de criação do ticket - 2022&lt;/li&gt;
&lt;li&gt;Grupo do ticket - Salvador atendimento&lt;/li&gt;
&lt;/ul&gt;
&lt;p&gt;&lt;img alt="mceclip14.png" src="https://atendimento.teconsvonline.com.br/hc/article_attachments/4657514220685/mceclip14.png"/&gt;&lt;/p&gt;
&lt;p&gt; &lt;/p&gt;
&lt;h4&gt;Relação de tickets com Satisfação boa e comentário&lt;/h4&gt;
&lt;p&gt;Métrica - &lt;strong&gt;COUNT &lt;/strong&gt;(Tickets com Satisfação Boa com Comentário)&lt;/p&gt;
&lt;p&gt;     &lt;/p&gt;
&lt;p&gt;Linha -&lt;/p&gt;
&lt;p&gt;         - ID do Ticket&lt;/p&gt;
&lt;p&gt;         - Nome do Atribuído&lt;/p&gt;
&lt;p&gt;         - Nome do solicitante&lt;/p&gt;
&lt;p&gt;         - Organização&lt;/p&gt;
&lt;p&gt;         - Comentário&lt;/p&gt;
&lt;p&gt;Parâmetros:&lt;/p&gt;
&lt;ul&gt;
&lt;li&gt;Ano de criação do ticket - 2022 (está semana)&lt;/li&gt;
&lt;li&gt;Grupo do ticket - Salvador atendimento&lt;/li&gt;
&lt;/ul&gt;
&lt;p&gt;&lt;img alt="mceclip15.png" src="https://atendimento.teconsvonline.com.br/hc/article_attachments/4657669850125/mceclip15.png"/&gt;&lt;/p&gt;
&lt;p&gt; &lt;/p&gt;
&lt;h3&gt;  Aba Produtividade -&lt;/h3&gt;
&lt;p&gt;_____________________________________________________________________________&lt;/p&gt;
&lt;h4&gt; &lt;/h4&gt;
&lt;h4&gt;Média de Tempo de Primeira Resposta-&lt;/h4&gt;
&lt;p&gt;Métrica - &lt;strong&gt;AVG &lt;/strong&gt;(Tempo de primeira Resposta operação em Min)&lt;/p&gt;
&lt;p&gt; &lt;/p&gt;
&lt;p&gt;Parâmetros:&lt;/p&gt;
&lt;ul&gt;
&lt;li&gt;Ano de criação do ticket - 2022&lt;/li&gt;
&lt;li&gt;Grupo do ticket - Salvador atendimento&lt;/li&gt;
&lt;li&gt;Status do ticket - Fechado e Resolvido&lt;/li&gt;
&lt;/ul&gt;
&lt;h4&gt; &lt;/h4&gt;
&lt;h4&gt;Média de Tempo de Primeira Resolução-&lt;/h4&gt;
&lt;p&gt;Métrica - &lt;strong&gt;AVG &lt;/strong&gt;(Tempo de primeira Resolução operação em Min)&lt;/p&gt;
&lt;p&gt;Parâmetros:&lt;/p&gt;
&lt;ul&gt;
&lt;li&gt;Ano de criação do ticket - 2022&lt;/li&gt;
&lt;li&gt;Grupo do ticket - Salvador atendimento&lt;/li&gt;
&lt;li&gt;Status do ticket - Fechado e Resolvido&lt;/li&gt;
&lt;/ul&gt;
&lt;p&gt; &lt;/p&gt;
&lt;h4&gt;Média de Tempo de Resolução Completa-&lt;/h4&gt;
&lt;p&gt;Métrica - &lt;strong&gt;AVG &lt;/strong&gt;(Tempo total de Resolução - horário de operação operação em Min)&lt;/p&gt;
&lt;p&gt;Parâmetros:&lt;/p&gt;
&lt;ul&gt;
&lt;li&gt;Ano de criação do ticket - 2022&lt;/li&gt;
&lt;li&gt;Grupo do ticket - Salvador atendimento&lt;/li&gt;
&lt;li&gt;Status do ticket - Fechado e Resolvido&lt;/li&gt;
&lt;/ul&gt;
&lt;p&gt; &lt;/p&gt;
&lt;h4&gt;Tickets Resolvido no primeiro contato -&lt;/h4&gt;
&lt;p&gt;Métrica - &lt;strong&gt;SUM &lt;/strong&gt;(%Tickets Resolvidos no primeiro contato)&lt;/p&gt;
&lt;p&gt;Parâmetros:&lt;/p&gt;
&lt;ul&gt;
&lt;li&gt;Ano de criação do ticket - 2022&lt;/li&gt;
&lt;li&gt;Grupo do ticket - Salvador atendimento&lt;/li&gt;
&lt;li&gt;Status do ticket - Fechado e Resolvido&lt;/li&gt;
&lt;/ul&gt;
&lt;h4&gt;Tickets Resolvido no Segundo contato -&lt;/h4&gt;
&lt;p&gt;Métrica - &lt;strong&gt;SUM &lt;/strong&gt;(%Tickets Resolvidos no segundo contato)&lt;/p&gt;
&lt;p&gt;Parâmetros:&lt;/p&gt;
&lt;ul&gt;
&lt;li&gt;Ano de criação do ticket - 2022&lt;/li&gt;
&lt;li&gt;Grupo do ticket - Salvador atendimento&lt;/li&gt;
&lt;li&gt;Status do ticket - Fechado e Resolvido&lt;/li&gt;
&lt;/ul&gt;
&lt;p&gt; &lt;/p&gt;
&lt;p&gt;&lt;img alt="mceclip0.png" height="95" src="https://atendimento.teconsvonline.com.br/hc/article_attachments/4663623770125/mceclip0.png" width="1108"/&gt;&lt;/p&gt;
&lt;h4&gt;SLA 2 h&lt;/h4&gt;
&lt;p&gt;Métrica - &lt;strong&gt;COUNT &lt;/strong&gt;tickets&lt;/p&gt;
&lt;p&gt;              -&lt;strong&gt;COUNT &lt;/strong&gt;tickets Resolvidos&lt;/p&gt;
&lt;p&gt;Linhas - [TCSV] Faixa de Tempo de Resposta (Hrs Operacionais) - SLA 2h&lt;/p&gt;
&lt;p&gt;Parâmetros:&lt;/p&gt;
&lt;ul&gt;
&lt;li&gt;Ano de criação do ticket - 2022&lt;/li&gt;
&lt;li&gt;Grupo do ticket - Salvador atendimento&lt;/li&gt;
&lt;li&gt;Status do ticket - Fechado e Resolvido&lt;/li&gt;
&lt;/ul&gt;
&lt;p&gt; &lt;/p&gt;
&lt;h4&gt;SLA 6 h&lt;/h4&gt;
&lt;p&gt;Métrica - &lt;strong&gt;COUNT &lt;/strong&gt;tickets&lt;/p&gt;
&lt;p&gt;              -&lt;strong&gt;COUNT &lt;/strong&gt;tickets Resolvidos&lt;/p&gt;
&lt;p&gt;Linhas - [TCSV] Faixa de Tempo de Resolução (Hrs Operacionais) - SLA 6h&lt;/p&gt;
&lt;p&gt;Parâmetros:&lt;/p&gt;
&lt;ul&gt;
&lt;li&gt;
&lt;ul&gt;
&lt;li&gt;Ano de criação do ticket - 2022&lt;/li&gt;
&lt;li&gt;Grupo do ticket - Salvador atendimento&lt;/li&gt;
&lt;li&gt;Status do ticket - Fechado e Resolvido&lt;/li&gt;
&lt;/ul&gt;
&lt;/li&gt;
&lt;/ul&gt;
&lt;p&gt; &lt;/p&gt;
&lt;p&gt;&lt;img alt="mceclip1.png" src="https://atendimento.teconsvonline.com.br/hc/article_attachments/4663650835981/mceclip1.png"/&gt;&lt;/p&gt;
&lt;p&gt; &lt;/p&gt;
&lt;h4&gt;Produtividade por categoria dúvida SV&lt;/h4&gt;
&lt;p&gt;Métrica  - &lt;strong&gt;COUNT &lt;/strong&gt;tickets Resolvidos&lt;/p&gt;
&lt;p&gt;             - &lt;strong&gt;AVG &lt;/strong&gt;(Tempo total de resposta horário de operação)&lt;/p&gt;
&lt;p&gt;             - &lt;strong&gt;AVG &lt;/strong&gt;(Tempo total de resolução horário de operação)&lt;/p&gt;
&lt;p&gt;             - &lt;strong&gt;AVG &lt;/strong&gt;(Tempo de espera do solicitante)&lt;/p&gt;
&lt;p&gt;             - &lt;strong&gt;SUM &lt;/strong&gt;(%Score de Satisfação)&lt;/p&gt;
&lt;p&gt;&lt;span&gt;             - &lt;/span&gt;&lt;strong&gt;SUM &lt;/strong&gt;(%Tickets resolvidos em 1 contato)&lt;/p&gt;
&lt;p&gt;Linhas - Categoria Dúvida SV&lt;/p&gt;
&lt;p&gt;Parâmetros:&lt;/p&gt;
&lt;ul&gt;
&lt;li&gt;
&lt;ul&gt;
&lt;li&gt;Ano de criação do ticket - 2022&lt;/li&gt;
&lt;li&gt;Grupo do ticket - Salvador atendimento&lt;/li&gt;
&lt;/ul&gt;
&lt;/li&gt;
&lt;/ul&gt;
&lt;p&gt;&lt;img alt="mceclip0.png" src="https://atendimento.teconsvonline.com.br/hc/article_attachments/4683353503629/mceclip0.png"/&gt;&lt;/p&gt;
&lt;p&gt; &lt;/p&gt;
&lt;h4&gt;Produtividade por Cliente&lt;/h4&gt;
&lt;p&gt;Métrica  - &lt;strong&gt;COUNT &lt;/strong&gt;tickets Resolvidos&lt;/p&gt;
&lt;p&gt;             - &lt;strong&gt;AVG &lt;/strong&gt;(Tempo total de resposta horário de operação)&lt;/p&gt;
&lt;p&gt;             - &lt;strong&gt;AVG &lt;/strong&gt;(Tempo total de resolução horário de operação)&lt;/p&gt;
&lt;p&gt;             - &lt;strong&gt;AVG &lt;/strong&gt;(Tempo de espera do solicitante)&lt;/p&gt;
&lt;p&gt;             - &lt;strong&gt;SUM &lt;/strong&gt;(%Score de Satisfação)&lt;/p&gt;
&lt;p&gt;&lt;span&gt;             - &lt;/span&gt;&lt;strong&gt;SUM &lt;/strong&gt;(%Tickets resolvidos em 1 contato)&lt;/p&gt;
&lt;p&gt;Linhas - Cliente List&lt;/p&gt;
&lt;p&gt;Parâmetros:&lt;/p&gt;
&lt;ul&gt;
&lt;li&gt;
&lt;ul&gt;
&lt;li&gt;Ano de criação do ticket - 2022&lt;/li&gt;
&lt;li&gt;Grupo do ticket - Salvador atendimento&lt;/li&gt;
&lt;/ul&gt;
&lt;/li&gt;
&lt;/ul&gt;
&lt;p&gt; &lt;/p&gt;
&lt;p&gt;&lt;img alt="mceclip1.png" src="https://atendimento.teconsvonline.com.br/hc/article_attachments/4683465249421/mceclip1.png"/&gt;&lt;/p&gt;
&lt;p&gt; &lt;/p&gt;
&lt;h4&gt;Produtividade por Agente&lt;/h4&gt;
&lt;p&gt;Métrica  - &lt;strong&gt;COUNT &lt;/strong&gt;tickets Resolvidos&lt;/p&gt;
&lt;p&gt;             - &lt;strong&gt;AVG &lt;/strong&gt;(Tempo total de resposta horário de operação)&lt;/p&gt;
&lt;p&gt;             - &lt;strong&gt;AVG &lt;/strong&gt;(Tempo total de resolução horário de operação)&lt;/p&gt;
&lt;p&gt;             - &lt;strong&gt;AVG &lt;/strong&gt;(Tempo de espera do solicitante)&lt;/p&gt;
&lt;p&gt;             - &lt;strong&gt;SUM &lt;/strong&gt;(%Score de Satisfação)&lt;/p&gt;
&lt;p&gt;&lt;span&gt;             - &lt;/span&gt;&lt;strong&gt;SUM &lt;/strong&gt;(%Tickets resolvidos em 1 contato)&lt;/p&gt;
&lt;p&gt;Linhas -Agente&lt;/p&gt;
&lt;p&gt;Parâmetros:&lt;/p&gt;
&lt;ul&gt;
&lt;li&gt;
&lt;ul&gt;
&lt;li&gt;Ano de criação do ticket - 2022&lt;/li&gt;
&lt;li&gt;Grupo do ticket - Salvador atendimento&lt;/li&gt;
&lt;/ul&gt;
&lt;/li&gt;
&lt;/ul&gt;
&lt;p&gt;&lt;img alt="mceclip2.png" src="https://atendimento.teconsvonline.com.br/hc/article_attachments/4683487944333/mceclip2.png"/&gt;&lt;/p&gt;
&lt;p&gt; &lt;/p&gt;
&lt;h3&gt;Aba Agente-&lt;/h3&gt;
&lt;p&gt;_____________________________________________________________________________&lt;/p&gt;
&lt;p&gt; &lt;/p&gt;
&lt;h4&gt;Produtividade por Agente Individual&lt;/h4&gt;
&lt;p&gt;Métrica  - &lt;strong&gt;COUNT &lt;/strong&gt;tickets Resolvidos&lt;/p&gt;
&lt;p&gt;             - &lt;strong&gt;AVG &lt;/strong&gt;(Tempo total de resposta horário de operação)&lt;/p&gt;
&lt;p&gt;             - &lt;strong&gt;AVG &lt;/strong&gt;(Tempo total de resolução horário de operação)&lt;/p&gt;
&lt;p&gt;             - &lt;strong&gt;AVG &lt;/strong&gt;(Tempo de espera do solicitante)&lt;/p&gt;
&lt;p&gt;             - &lt;strong&gt;SUM &lt;/strong&gt;(%Score de Satisfação)&lt;/p&gt;
&lt;p&gt;&lt;span&gt;             - &lt;/span&gt;&lt;strong&gt;SUM &lt;/strong&gt;(%Tickets resolvidos em 1 contato)&lt;/p&gt;
&lt;p&gt;Linhas - Categoria dúvida SV&lt;/p&gt;
&lt;p&gt;Parâmetros:&lt;/p&gt;
&lt;ul&gt;
&lt;li&gt;
&lt;ul&gt;
&lt;li&gt;Ano de criação do ticket - 2022&lt;/li&gt;
&lt;li&gt;Grupo do ticket - Salvador atendimento&lt;/li&gt;
&lt;li&gt;Agente -&lt;/li&gt;
&lt;/ul&gt;
&lt;/li&gt;
&lt;/ul&gt;
&lt;p&gt;&lt;img alt="mceclip3.png" src="https://atendimento.teconsvonline.com.br/hc/article_attachments/4683542545549/mceclip3.png"/&gt;&lt;/p&gt;
&lt;p&gt; &lt;/p&gt;
&lt;h3&gt;Aba Subcategorias-&lt;/h3&gt;
&lt;p&gt;_____________________________________________________________________________&lt;/p&gt;
&lt;h4&gt;Produtividade por Subcategoria&lt;/h4&gt;
&lt;p&gt;Métrica  - &lt;strong&gt;COUNT &lt;/strong&gt;tickets Resolvidos&lt;/p&gt;
&lt;p&gt;             - &lt;strong&gt;AVG &lt;/strong&gt;(Tempo total de resposta horário de operação)&lt;/p&gt;
&lt;p&gt;             - &lt;strong&gt;AVG &lt;/strong&gt;(Tempo total de resolução horário de operação)&lt;/p&gt;
&lt;p&gt;             - &lt;strong&gt;AVG &lt;/strong&gt;(Tempo de espera do solicitante)&lt;/p&gt;
&lt;p&gt;             - &lt;strong&gt;SUM &lt;/strong&gt;(%Score de Satisfação)&lt;/p&gt;
&lt;p&gt;&lt;span&gt;             - &lt;/span&gt;&lt;strong&gt;SUM &lt;/strong&gt;(%Tickets resolvidos em 1 contato)&lt;/p&gt;
&lt;p&gt;Linhas - Subcategoria TCSV ... &lt;/p&gt;
&lt;p&gt;Parâmetros:&lt;/p&gt;
&lt;ul&gt;
&lt;li&gt;
&lt;ul&gt;
&lt;li&gt;Ano de criação do ticket - 2022&lt;/li&gt;
&lt;li&gt;Grupo do ticket - Salvador atendimento&lt;/li&gt;
&lt;li&gt;Agente -&lt;/li&gt;
&lt;/ul&gt;
&lt;/li&gt;
&lt;/ul&gt;
&lt;p&gt; &lt;/p&gt;
&lt;h3&gt;Aba Chat-&lt;/h3&gt;
&lt;p&gt;_____________________________________________________________________________&lt;/p&gt;
&lt;p&gt; &lt;/p&gt;
&lt;h4&gt;Chats Recebidos&lt;/h4&gt;
&lt;p&gt;Métrica  - &lt;strong&gt;COUNT &lt;/strong&gt;tickets &lt;/p&gt;
&lt;p&gt;Parâmetros:&lt;/p&gt;
&lt;ul&gt;
&lt;li&gt;
&lt;ul&gt;
&lt;li&gt;Ano de criação do ticket - 2022&lt;/li&gt;
&lt;li&gt;Grupo do ticket - Salvador atendimento&lt;/li&gt;
&lt;li&gt;Canal - Chat&lt;/li&gt;
&lt;/ul&gt;
&lt;/li&gt;
&lt;/ul&gt;
&lt;p&gt; &lt;/p&gt;
&lt;p&gt;Duração média Chat&lt;/p&gt;
&lt;p&gt;Métrica  - &lt;strong&gt;AVG &lt;/strong&gt;(Duração chat min)&lt;/p&gt;
&lt;p&gt;Parâmetros:&lt;/p&gt;
&lt;ul&gt;
&lt;li&gt;
&lt;ul&gt;
&lt;li&gt;Ano de criação do ticket - 2022&lt;/li&gt;
&lt;li&gt;Grupo do ticket - Salvador atendimento&lt;/li&gt;
&lt;/ul&gt;
&lt;/li&gt;
&lt;/ul&gt;
&lt;p&gt;Chat Perdidos&lt;/p&gt;
&lt;p&gt;Métrica  - &lt;strong&gt;AVG &lt;/strong&gt;(Duração chat min)&lt;/p&gt;
&lt;p&gt;Parâmetros:&lt;/p&gt;
&lt;ul&gt;
&lt;li&gt;
&lt;ul&gt;
&lt;li&gt;Ano de criação do ticket - 2022&lt;/li&gt;
&lt;li&gt;Grupo do ticket - Salvador atendimento&lt;/li&gt;
&lt;li&gt;Formulário do Ticket - Reclamação SV, Duvida SV, Solicitação SV Elogio SV&lt;/li&gt;
&lt;/ul&gt;
&lt;/li&gt;
&lt;/ul&gt;
&lt;p&gt;&lt;img alt="mceclip0.png" src="https://atendimento.teconsvonline.com.br/hc/article_attachments/4686135518733/mceclip0.png"/&gt;&lt;/p&gt;
&lt;p&gt; &lt;/p&gt;
&lt;p&gt;Chats Atendidos x Perdidos&lt;/p&gt;
&lt;p&gt;Métrica  - &lt;strong&gt;COUNT &lt;/strong&gt;(Chats Atendidos)&lt;/p&gt;
&lt;p&gt;              - &lt;strong&gt;COUNT &lt;/strong&gt;(Chats Perdidos)&lt;/p&gt;
&lt;p&gt;Coluna - Hora da criação chat&lt;/p&gt;
&lt;p&gt;Parâmetros:&lt;/p&gt;
&lt;ul&gt;
&lt;li&gt;
&lt;ul&gt;
&lt;li&gt;Ano de criação do ticket - 2022&lt;/li&gt;
&lt;li&gt;Grupo do ticket - Salvador atendimento&lt;/li&gt;
&lt;/ul&gt;
&lt;/li&gt;
&lt;/ul&gt;
&lt;p&gt;&lt;img alt="mceclip1.png" src="https://atendimento.teconsvonline.com.br/hc/article_attachments/4686204292749/mceclip1.png"/&gt;&lt;/p&gt;
&lt;p&gt; &lt;/p&gt;
&lt;p&gt;Chats por dia&lt;/p&gt;
&lt;p&gt;Métrica  - &lt;strong&gt;COUNT &lt;/strong&gt;(Tickets)     &lt;/p&gt;
&lt;p&gt;Coluna - Dia da Criação do ticket&lt;/p&gt;
&lt;p&gt;Parâmetros:&lt;/p&gt;
&lt;ul&gt;
&lt;li&gt;
&lt;ul&gt;
&lt;li&gt;Ano de criação do ticket - 2022&lt;/li&gt;
&lt;li&gt;Grupo do ticket - Salvador atendimento&lt;/li&gt;
&lt;li&gt;Canal - Chat&lt;/li&gt;
&lt;/ul&gt;
&lt;/li&gt;
&lt;/ul&gt;
&lt;p&gt;&lt;img alt="mceclip7.png" src="https://atendimento.teconsvonline.com.br/hc/article_attachments/4686484687373/mceclip7.png"/&gt;&lt;/p&gt;
&lt;h4&gt; &lt;/h4&gt;
&lt;h4&gt;QTD Tickets Chat x Anos -&lt;/h4&gt;
&lt;p&gt;Métrica - &lt;strong&gt;COUNT &lt;/strong&gt;tickets&lt;/p&gt;
&lt;p&gt;              -&lt;strong&gt;COUNT &lt;/strong&gt;tickets Resolvidos&lt;/p&gt;
&lt;p&gt;Coluna - Mês de Criação do ticket&lt;/p&gt;
&lt;p&gt;Linha - Anos de Criação do ticket&lt;/p&gt;
&lt;p&gt;Parâmetros:&lt;/p&gt;
&lt;ul&gt;
&lt;li&gt;Ano de criação do ticket - 2022&lt;/li&gt;
&lt;li&gt;Grupo do ticket - Salvador atendimento&lt;/li&gt;
&lt;li&gt;Canal -Chat&lt;/li&gt;
&lt;/ul&gt;
&lt;p&gt;&lt;img alt="mceclip2.png" src="https://atendimento.teconsvonline.com.br/hc/article_attachments/4686220154637/mceclip2.png"/&gt;&lt;/p&gt;
&lt;p&gt; &lt;/p&gt;
&lt;h4&gt;Chats por Categoria dúvida SV&lt;/h4&gt;
&lt;p&gt;Métrica  - &lt;strong&gt;COUNT &lt;/strong&gt;tickets &lt;/p&gt;
&lt;p&gt;Linha - Categoria dúvida&lt;/p&gt;
&lt;p&gt;Parâmetros:&lt;/p&gt;
&lt;ul&gt;
&lt;li&gt;
&lt;ul&gt;
&lt;li&gt;Ano de criação do ticket - 2022&lt;/li&gt;
&lt;li&gt;Grupo do ticket - Salvador atendimento&lt;/li&gt;
&lt;li&gt;Canal - Chat&lt;/li&gt;
&lt;/ul&gt;
&lt;/li&gt;
&lt;/ul&gt;
&lt;p&gt; &lt;/p&gt;
&lt;h4&gt;Chats por Agente&lt;/h4&gt;
&lt;p&gt;Métrica  - &lt;strong&gt;COUNT &lt;/strong&gt;tickets &lt;/p&gt;
&lt;p&gt;Linha - Agente&lt;/p&gt;
&lt;p&gt;Parâmetros:&lt;/p&gt;
&lt;ul&gt;
&lt;li&gt;
&lt;ul&gt;
&lt;li&gt;Ano de criação do ticket - 2022&lt;/li&gt;
&lt;li&gt;Grupo do ticket - Salvador atendimento&lt;/li&gt;
&lt;li&gt;Canal - Chat&lt;/li&gt;
&lt;/ul&gt;
&lt;/li&gt;
&lt;/ul&gt;
&lt;p&gt; &lt;/p&gt;
&lt;p&gt;&lt;img alt="mceclip3.png" src="https://atendimento.teconsvonline.com.br/hc/article_attachments/4686258778765/mceclip3.png"/&gt;&lt;/p&gt;
&lt;p&gt; &lt;/p&gt;
&lt;p&gt; &lt;/p&gt;
&lt;h4&gt;Chats principais SubCategorias dúvida SV&lt;/h4&gt;
&lt;p&gt;Métrica  - &lt;strong&gt;COUNT &lt;/strong&gt;tickets &lt;/p&gt;
&lt;p&gt;Linha - Subcategoria dúvida&lt;/p&gt;
&lt;p&gt;Parâmetros:&lt;/p&gt;
&lt;ul&gt;
&lt;li&gt;
&lt;ul&gt;
&lt;li&gt;Ano de criação do ticket - 2022&lt;/li&gt;
&lt;li&gt;Grupo do ticket - Salvador atendimento&lt;/li&gt;
&lt;li&gt;Canal - Chat&lt;/li&gt;
&lt;/ul&gt;
&lt;/li&gt;
&lt;/ul&gt;
&lt;p&gt; &lt;/p&gt;
&lt;p&gt;&lt;img alt="mceclip4.png" src="https://atendimento.teconsvonline.com.br/hc/article_attachments/4686269651213/mceclip4.png"/&gt;&lt;/p&gt;
&lt;p&gt; &lt;/p&gt;
&lt;p&gt; &lt;/p&gt;
&lt;h3&gt;Aba WPP-&lt;/h3&gt;
&lt;p&gt;_____________________________________________________________________________&lt;/p&gt;
&lt;h4&gt;Chats Recebidos&lt;/h4&gt;
&lt;p&gt;Métrica  - &lt;strong&gt;COUNT &lt;/strong&gt;tickets &lt;/p&gt;
&lt;p&gt;Parâmetros:&lt;/p&gt;
&lt;ul&gt;
&lt;li&gt;
&lt;ul&gt;
&lt;li&gt;Ano de criação do ticket - 2022&lt;/li&gt;
&lt;li&gt;Grupo do ticket - Salvador atendimento&lt;/li&gt;
&lt;li&gt;Canal - Any Channel&lt;/li&gt;
&lt;/ul&gt;
&lt;/li&gt;
&lt;/ul&gt;
&lt;p&gt; &lt;/p&gt;
&lt;p&gt;&lt;img alt="mceclip5.png" src="https://atendimento.teconsvonline.com.br/hc/article_attachments/4686317398157/mceclip5.png"/&gt;&lt;/p&gt;
&lt;p&gt; &lt;/p&gt;
&lt;p&gt;Chats Atendidos x Perdidos&lt;/p&gt;
&lt;p&gt;Métrica  - &lt;strong&gt;COUNT &lt;/strong&gt;(Tickets)&lt;/p&gt;
&lt;p&gt;              &lt;/p&gt;
&lt;p&gt;Coluna - Hora da criação chat&lt;/p&gt;
&lt;p&gt;Parâmetros:&lt;/p&gt;
&lt;ul&gt;
&lt;li&gt;
&lt;ul&gt;
&lt;li&gt;Ano de criação do ticket - 2022&lt;/li&gt;
&lt;li&gt;Grupo do ticket - Salvador atendimento&lt;/li&gt;
&lt;li&gt;Canal - Any Channel&lt;/li&gt;
&lt;/ul&gt;
&lt;/li&gt;
&lt;/ul&gt;
&lt;p&gt;&lt;img alt="mceclip6.png" src="https://atendimento.teconsvonline.com.br/hc/article_attachments/4686408740877/mceclip6.png"/&gt;&lt;/p&gt;
&lt;p&gt; &lt;/p&gt;
&lt;p&gt;Wpp por dia&lt;/p&gt;
&lt;p&gt;Métrica  - &lt;strong&gt;COUNT &lt;/strong&gt;(Tickets)     &lt;/p&gt;
&lt;p&gt;Coluna - Dia da Criação do ticket&lt;/p&gt;
&lt;p&gt;Parâmetros:&lt;/p&gt;
&lt;ul&gt;
&lt;li&gt;
&lt;ul&gt;
&lt;li&gt;Ano de criação do ticket - 2022&lt;/li&gt;
&lt;li&gt;Grupo do ticket - Salvador atendimento&lt;/li&gt;
&lt;li&gt;Canal - Any Channel&lt;/li&gt;
&lt;/ul&gt;
&lt;/li&gt;
&lt;/ul&gt;
&lt;p&gt;&lt;img alt="mceclip8.png" src="https://atendimento.teconsvonline.com.br/hc/article_attachments/4686488691853/mceclip8.png"/&gt;&lt;/p&gt;
&lt;h4&gt;QTD Tickets Wpp x Anos -&lt;/h4&gt;
&lt;p&gt;Métrica - &lt;strong&gt;COUNT &lt;/strong&gt;tickets&lt;/p&gt;
&lt;p&gt;              -&lt;strong&gt;COUNT &lt;/strong&gt;tickets Resolvidos&lt;/p&gt;
&lt;p&gt;Coluna - Mês de Criação do ticket&lt;/p&gt;
&lt;p&gt;Linha - Anos de Criação do ticket&lt;/p&gt;
&lt;p&gt;Parâmetros:&lt;/p&gt;
&lt;ul&gt;
&lt;li&gt;Ano de criação do ticket - 2022&lt;/li&gt;
&lt;li&gt;Grupo do ticket - Salvador atendimento&lt;/li&gt;
&lt;li&gt;Canal -Any channel&lt;/li&gt;
&lt;/ul&gt;
&lt;p&gt;&lt;img alt="mceclip9.png" src="https://atendimento.teconsvonline.com.br/hc/article_attachments/4686545093517/mceclip9.png"/&gt;&lt;/p&gt;
&lt;h4&gt;Chats por Categoria dúvida SV&lt;/h4&gt;
&lt;p&gt;Métrica  - &lt;strong&gt;COUNT &lt;/strong&gt;tickets &lt;/p&gt;
&lt;p&gt;Linha - Categoria dúvida&lt;/p&gt;
&lt;p&gt;Parâmetros:&lt;/p&gt;
&lt;ul&gt;
&lt;li&gt;
&lt;ul&gt;
&lt;li&gt;Ano de criação do ticket - 2022&lt;/li&gt;
&lt;li&gt;Grupo do ticket - Salvador atendimento&lt;/li&gt;
&lt;li&gt;Canal - Any channel&lt;/li&gt;
&lt;/ul&gt;
&lt;/li&gt;
&lt;/ul&gt;
&lt;p&gt; &lt;/p&gt;
&lt;h4&gt;Chats por Agente&lt;/h4&gt;
&lt;p&gt;Métrica  - &lt;strong&gt;COUNT &lt;/strong&gt;tickets &lt;/p&gt;
&lt;p&gt;Linha - Agente&lt;/p&gt;
&lt;p&gt;Parâmetros:&lt;/p&gt;
&lt;ul&gt;
&lt;li&gt;
&lt;ul&gt;
&lt;li&gt;Ano de criação do ticket - 2022&lt;/li&gt;
&lt;li&gt;Grupo do ticket - Salvador atendimento&lt;/li&gt;
&lt;li&gt;Canal - Any channel&lt;/li&gt;
&lt;/ul&gt;
&lt;/li&gt;
&lt;/ul&gt;
&lt;p&gt; &lt;/p&gt;
&lt;p&gt; &lt;/p&gt;
&lt;p&gt;&lt;img alt="mceclip10.png" src="https://atendimento.teconsvonline.com.br/hc/article_attachments/4686580140685/mceclip10.png"/&gt;&lt;/p&gt;
&lt;p&gt; &lt;/p&gt;
&lt;p&gt; &lt;/p&gt;
&lt;h4&gt;Chats principais SubCategorias dúvida SV&lt;/h4&gt;
&lt;p&gt;Métrica  - &lt;strong&gt;COUNT &lt;/strong&gt;tickets &lt;/p&gt;
&lt;p&gt;Linha - Subcategoria dúvida&lt;/p&gt;
&lt;p&gt;Parâmetros:&lt;/p&gt;
&lt;ul&gt;
&lt;li&gt;
&lt;ul&gt;
&lt;li&gt;Ano de criação do ticket - 2022&lt;/li&gt;
&lt;li&gt;Grupo do ticket - Salvador atendimento&lt;/li&gt;
&lt;li&gt;Canal - Any Channel&lt;/li&gt;
&lt;/ul&gt;
&lt;/li&gt;
&lt;/ul&gt;
&lt;p&gt; &lt;/p&gt;
&lt;p&gt;&lt;img alt="mceclip12.png" src="https://atendimento.teconsvonline.com.br/hc/article_attachments/4686624715661/mceclip12.png"/&gt;&lt;/p&gt;
&lt;p&gt; &lt;/p&gt;
&lt;p&gt; &lt;/p&gt;
&lt;p&gt; &lt;/p&gt;
&lt;p&gt; &lt;/p&gt;</t>
  </si>
  <si>
    <t>https://wilsonsons.zendesk.com/api/v2/help_center/pt-br/articles/4422919758861.json</t>
  </si>
  <si>
    <t>https://atendimento.teconsvonline.com.br/hc/pt-br/articles/4422919758861-VGM-SOLAS</t>
  </si>
  <si>
    <t>['vgm']</t>
  </si>
  <si>
    <t>https://wilsonsons.zendesk.com/api/v2/help_center/pt-br/articles/360060364071.json</t>
  </si>
  <si>
    <t>https://atendimento.teconsvonline.com.br/hc/pt-br/articles/360060364071-Como-agendar-entrada-de-container-cheio</t>
  </si>
  <si>
    <t>Como agendar entrada de container cheio</t>
  </si>
  <si>
    <t>&lt;div&gt;
&lt;div&gt;&lt;font face="arial, sans-serif"&gt;&lt;u&gt;                                                                                                                                                                    &lt;/u&gt;&lt;/font&gt;&lt;/div&gt;
&lt;/div&gt;
&lt;div&gt;A solicitação é através do &lt;a href="http://portal.teconsvonline.com.br" target="_blank"&gt;Portal do cliente&lt;/a&gt;, no módulo de &lt;strong&gt;Agendamento de Container&lt;/strong&gt;.&lt;/div&gt;
&lt;div&gt;.&lt;/div&gt;
&lt;div&gt;Após solicitação, acompanhe o andamento do serviço, no menu &lt;strong&gt;Acompanhamento de container.&lt;/strong&gt;
&lt;/div&gt;
&lt;div&gt;&lt;/div&gt;
&lt;div&gt;&lt;/div&gt;
&lt;div&gt;&lt;strong&gt;1. No menu lateral, acesse a opção &lt;a href="http://portal.teconsvonline.com.br/" target="_blank"&gt;Agendamento de container &lt;/a&gt;e selecione Novo Agendamento&lt;/strong&gt;&lt;/div&gt;
&lt;div&gt;&lt;/div&gt;
&lt;div&gt;&lt;strong&gt;&lt;img alt="1.png" src="https://atendimento.teconsvonline.com.br/hc/article_attachments/360093485271/1.png"/&gt;&lt;/strong&gt;&lt;/div&gt;
&lt;div&gt;&lt;/div&gt;
&lt;div&gt;&lt;/div&gt;
&lt;div&gt;&lt;strong&gt;2. Selecione a categoria e o tipo de agendamento "Entrada de Cheio", e preencha as informações solicitadas.&lt;/strong&gt;&lt;/div&gt;
&lt;div&gt;&lt;/div&gt;
&lt;div&gt;&lt;strong&gt;&lt;img alt="2.png" src="https://atendimento.teconsvonline.com.br/hc/article_attachments/360093514012/2.png"/&gt;&lt;/strong&gt;&lt;/div&gt;
&lt;div&gt;&lt;/div&gt;
&lt;div&gt;&lt;strong&gt;3. Após preencher as informações da unidade, selecione data horário e finalize o agendamento.&lt;/strong&gt;&lt;/div&gt;
&lt;div&gt;&lt;/div&gt;
&lt;div&gt;&lt;strong&gt;&lt;img alt="3.png" src="https://atendimento.teconsvonline.com.br/hc/article_attachments/360093514032/3.png"/&gt;&lt;/strong&gt;&lt;/div&gt;
&lt;div&gt;&lt;/div&gt;
&lt;div&gt;&lt;strong&gt;Para acompanhar o andamento, acesse o menu Agendamento de Container.&lt;br/&gt;&lt;/strong&gt;&lt;/div&gt;
&lt;div&gt;&lt;/div&gt;
&lt;div&gt;&lt;/div&gt;
&lt;div&gt;&lt;strong&gt; &lt;/strong&gt;&lt;/div&gt;</t>
  </si>
  <si>
    <t>https://wilsonsons.zendesk.com/api/v2/help_center/pt-br/articles/360059921652.json</t>
  </si>
  <si>
    <t>https://atendimento.teconsvonline.com.br/hc/pt-br/articles/360059921652-Como-agendar-retirada-de-container-vazio-do-Centro-Log%C3%ADstico-Salvador</t>
  </si>
  <si>
    <t>Como agendar retirada de container vazio do Centro Logístico Salvador?</t>
  </si>
  <si>
    <t>&lt;p&gt;&lt;span&gt;Visando maior comodidade para os nossos clientes através da prestação de serviço ágil, com segurança e planejamento, a partir de 22/03 a retirada de contêineres dry no &lt;/span&gt;&lt;strong&gt;Centro Logistico Salvador&lt;/strong&gt;&lt;span&gt; passará a ser realizada exclusivamente através de agendamento no &lt;/span&gt;&lt;a href="http://portal.teconsvonline.com.br/agendamento-container" target="_blank"&gt;Portal&lt;/a&gt;&lt;span&gt;.&lt;/span&gt;&lt;/p&gt;</t>
  </si>
  <si>
    <t>https://wilsonsons.zendesk.com/api/v2/help_center/pt-br/articles/360059919672.json</t>
  </si>
  <si>
    <t>https://atendimento.teconsvonline.com.br/hc/pt-br/articles/360059919672-Depositei-os-containers-no-Porto-mas-a-Du-e-n%C3%A3o-desembara%C3%A7ou-o-que-fazer</t>
  </si>
  <si>
    <t>Depositei os containers no Porto, mas a Du-e não desembaraçou. o que fazer?</t>
  </si>
  <si>
    <t>['erro due', 'não recepcionou', 'nota errada']</t>
  </si>
  <si>
    <t>&lt;p&gt; &lt;/p&gt;
&lt;div&gt;&lt;font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&lt;p&gt;1. Confira se as notas fiscais de entrada, foram devidamente cadastradas para cada unidade.&lt;/p&gt;
&lt;p&gt;2. Verifique se todos os containers foram depositados;&lt;/p&gt;
&lt;p&gt;3. Acione a nossa equipe de &lt;a href="https://atendimento.teconsvonline.com.br/hc/pt-br/articles/360048127531" target="_blank"&gt;Atendimento a Clientes&lt;/a&gt; para regularização.&lt;/p&gt;</t>
  </si>
  <si>
    <t>https://wilsonsons.zendesk.com/api/v2/help_center/pt-br/articles/360060360031.json</t>
  </si>
  <si>
    <t>https://atendimento.teconsvonline.com.br/hc/pt-br/articles/360060360031-teste</t>
  </si>
  <si>
    <t>teste</t>
  </si>
  <si>
    <t>&lt;p&gt;teste&lt;/p&gt;</t>
  </si>
  <si>
    <t>https://wilsonsons.zendesk.com/api/v2/help_center/pt-br/articles/360060359971.json</t>
  </si>
  <si>
    <t>https://atendimento.teconsvonline.com.br/hc/pt-br/articles/360060359971-Unidades-de-exporta%C3%A7%C3%A3o-s%C3%A3o-escaneadas</t>
  </si>
  <si>
    <t>Unidades de exportação são escaneadas?</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</si>
  <si>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&lt;p&gt;&lt;span&gt;Sim. Conforme comunicado da Receita Federal, as cargas com destino ao baldeação Europa ou África, devem ser escaneadas após entrada no Terminal de embarque.&lt;/span&gt;&lt;/p&gt;
&lt;p&gt; &lt;/p&gt;</t>
  </si>
  <si>
    <t>https://wilsonsons.zendesk.com/api/v2/help_center/pt-br/articles/360060359871.json</t>
  </si>
  <si>
    <t>https://atendimento.teconsvonline.com.br/hc/pt-br/articles/360060359871-Quais-s%C3%A3o-os-custos-envolvidos-no-processo-de-exporta%C3%A7%C3%A3o</t>
  </si>
  <si>
    <t>Quais são os custos envolvidos no processo de exportação?</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</si>
  <si>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&lt;div&gt;&lt;/div&gt;
&lt;div&gt;
&lt;table border="1"&gt;
&lt;tbody&gt;
&lt;tr&gt;
&lt;td colspan="2"&gt;
&lt;p&gt;&lt;span&gt;*Custos convencionais&lt;/span&gt;&lt;/p&gt;
&lt;/td&gt;
&lt;/tr&gt;
&lt;tr&gt;
&lt;td&gt;*Armazenagem &lt;/td&gt;
&lt;td&gt;Embarque após free time ou entrada antecipada&lt;/td&gt;
&lt;/tr&gt;
&lt;tr&gt;
&lt;td&gt;Presença de carga &lt;/td&gt;
&lt;td&gt;Todos os embarque de exportação&lt;/td&gt;
&lt;/tr&gt;
&lt;tr&gt;
&lt;td&gt;Scanner &lt;/td&gt;
&lt;td&gt;Embarques com destino ou baldeação na Europa, África ou solicitação da RFB &lt;/td&gt;
&lt;/tr&gt;
&lt;tr&gt;
&lt;td&gt;Transferência de lote &lt;/td&gt;
&lt;td&gt;Solicitação de rolagem de carga para outro navio&lt;/td&gt;
&lt;/tr&gt;
&lt;tr&gt;
&lt;td&gt;Fornecimento e monitoramento de energia &lt;/td&gt;
&lt;td&gt;Unidades refrigeradas&lt;/td&gt;
&lt;/tr&gt;
&lt;tr&gt;
&lt;td&gt;
&lt;div&gt;Manuseios / Posicionamento&lt;/div&gt;
&lt;/td&gt;
&lt;td&gt;
&lt;div&gt;Vistoria Canal vermelho e/ou outras &lt;/div&gt;
&lt;/td&gt;
&lt;/tr&gt;
&lt;/tbody&gt;
&lt;/table&gt;
&lt;/div&gt;
&lt;div&gt;&lt;/div&gt;
&lt;div&gt;*Para a embarque de contêineres cheios é concedido um período livre de armazenagem de 07 dias anteriores à previsão de atracação dos navios.&lt;br/&gt;Para contêineres vazios é concedido um período livre de armazenagem de 48 horas anteriores à previsão&lt;br/&gt;de atracação dos navios.&lt;br/&gt;Os contêineres não embarcados no período livre estão sujeitos à incidência de cobrança de armazenagem, retroagindo a contagem do período à data do recebimento.&lt;/div&gt;
&lt;div&gt;&lt;/div&gt;
&lt;div&gt;*Segue link da &lt;a href="https://www.wilsonsons.com.br/pt/teconsalvador/conteudo/tabela-pre%C3%A7os" target="_blank"&gt;tabela pública&lt;/a&gt; para consultar as demais normas de aplicação para os serviços.&lt;/div&gt;</t>
  </si>
  <si>
    <t>https://wilsonsons.zendesk.com/api/v2/help_center/pt-br/articles/360060359551.json</t>
  </si>
  <si>
    <t>https://atendimento.teconsvonline.com.br/hc/pt-br/articles/360060359551-N%C3%A3o-tenho-o-XML-da-NF-Posso-realizar-agendamento-de-entrada-de-container</t>
  </si>
  <si>
    <t>Não tenho o XML da NF. Posso realizar agendamento de entrada de container?</t>
  </si>
  <si>
    <t>&lt;p&gt; &lt;/p&gt;
&lt;div&gt;&lt;font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&lt;p&gt;Sim, pode realizar o agendamento.&lt;/p&gt;
&lt;p&gt;&lt;strong&gt;Entrada de cabotagem:&lt;/strong&gt; incluir os dados da NF manualmente ou inserir o XML do CTE multimodal.&lt;/p&gt;
&lt;p&gt;&lt;strong&gt;Entrada de Exportação:&lt;/strong&gt; incluir manualmente os dados da NF de entrada, dispensando a inclusão do XML.&lt;/p&gt;
&lt;p&gt;&lt;span&gt;Orientações de cadastro&lt;/span&gt;&lt;/p&gt;
&lt;p&gt; &lt;/p&gt;
&lt;p&gt;Acesse o menu:  &lt;a href='&amp;lt;a%20href="http://portal.teconsvonline.com.br/agendamento-container"%20target="_blank"%20rel="noopener"&amp;gt;Agendamento%20de%20Servi%C3%A7o&amp;lt;/a&amp;gt;' target="_blank"&gt;Agendamento de Container - Notas Fiscais&lt;/a&gt;&lt;/p&gt;
&lt;div&gt;Escolha a opção de cadastro e preencha as informações solicitadas.&lt;/div&gt;
&lt;div&gt;&lt;/div&gt;
&lt;div&gt;&lt;span&gt;&lt;img alt="mceclip1.png" height="52" src="https://atendimento.teconsvonline.com.br/hc/article_attachments/360093472171/mceclip1.png" width="443"/&gt;&lt;/span&gt;&lt;/div&gt;
&lt;div&gt;&lt;span&gt;&lt;/span&gt;&lt;/div&gt;
&lt;div&gt;
&lt;img height="34" src="https://lh6.googleusercontent.com/z4XpxR1U542a3eZjIgJbKRClgm9PRaTV2gYZ8jjDEBtQNJ1t6NE1gUAfBcAzz2mxz-NSriE8UlFmgVJAjV7bDilM6dikgFDK5Qi0UimDeeKsDNKgruo6-cQvfCZaAriA3c61NERDOV0" width="31"/&gt; Atenção aos dados inseridos, para evitar inconsistências e/ou problemas no embarque. &lt;/div&gt;</t>
  </si>
  <si>
    <t>https://wilsonsons.zendesk.com/api/v2/help_center/pt-br/articles/360060359511.json</t>
  </si>
  <si>
    <t>https://atendimento.teconsvonline.com.br/hc/pt-br/articles/360060359511-Meu-motorista-ainda-n%C3%A3o-tem-cadastro-Com-proceder</t>
  </si>
  <si>
    <t>Meu motorista ainda não tem cadastro. Com proceder?</t>
  </si>
  <si>
    <t>https://wilsonsons.zendesk.com/api/v2/help_center/pt-br/articles/360059919412.json</t>
  </si>
  <si>
    <t>https://atendimento.teconsvonline.com.br/hc/pt-br/articles/360059919412-Meu-motorista-foi-bloqueado-como-verificar-a-informa%C3%A7%C3%A3o</t>
  </si>
  <si>
    <t>Meu motorista foi bloqueado, como verificar a informação?</t>
  </si>
  <si>
    <t>https://wilsonsons.zendesk.com/api/v2/help_center/pt-br/articles/360059919392.json</t>
  </si>
  <si>
    <t>https://atendimento.teconsvonline.com.br/hc/pt-br/articles/360059919392-Qual-hor%C3%A1rio-de-funcionamento-Porto</t>
  </si>
  <si>
    <t>Qual horário de funcionamento Porto?</t>
  </si>
  <si>
    <t>https://wilsonsons.zendesk.com/api/v2/help_center/pt-br/articles/360060359471.json</t>
  </si>
  <si>
    <t>https://atendimento.teconsvonline.com.br/hc/pt-br/articles/360060359471-Como-verificar-a-quantidade-janelas-dispon%C3%ADveis-para-agendamento-de-container</t>
  </si>
  <si>
    <t>Como verificar a quantidade janelas disponíveis para agendamento de container?</t>
  </si>
  <si>
    <t>https://wilsonsons.zendesk.com/api/v2/help_center/pt-br/articles/360059919332.json</t>
  </si>
  <si>
    <t>https://atendimento.teconsvonline.com.br/hc/pt-br/articles/360059919332-Como-agendar-a-retira-de-carga-solta-ou-crossdocking</t>
  </si>
  <si>
    <t>Como agendar a retira de carga solta ou crossdocking?</t>
  </si>
  <si>
    <t>https://wilsonsons.zendesk.com/api/v2/help_center/pt-br/articles/360060359431.json</t>
  </si>
  <si>
    <t>https://atendimento.teconsvonline.com.br/hc/pt-br/articles/360060359431-Como-agendar-a-retirada-de-um-container</t>
  </si>
  <si>
    <t>Como agendar a retirada de um container?</t>
  </si>
  <si>
    <t>https://wilsonsons.zendesk.com/api/v2/help_center/pt-br/articles/360059919312.json</t>
  </si>
  <si>
    <t>https://atendimento.teconsvonline.com.br/hc/pt-br/articles/360059919312-Como-agendar-a-entrada-de-um-container</t>
  </si>
  <si>
    <t>Como agendar a entrada de um container?</t>
  </si>
  <si>
    <t>https://wilsonsons.zendesk.com/api/v2/help_center/pt-br/articles/360059918512.json</t>
  </si>
  <si>
    <t>https://atendimento.teconsvonline.com.br/hc/pt-br/articles/360059918512-Como-solicitar-posicionamento-de-container-para-vistorias-canal-vermelho-e-outros</t>
  </si>
  <si>
    <t>Como solicitar posicionamento de container para vistorias, canal vermelho e outros?</t>
  </si>
  <si>
    <t>['desova', 'posicionamento', 'canal vermelho', 'vistoria', 'manuseio']</t>
  </si>
  <si>
    <t>&lt;div&gt;
&lt;div&gt;&lt;font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&lt;/div&gt;
&lt;div&gt;A solicitação é através do &lt;a href="http://portal.teconsvonline.com.br" target="_blank"&gt;Portal do cliente&lt;/a&gt;, no módulo de &lt;strong&gt;Agendamento de Serviços&lt;/strong&gt;. Basta escolher a categoria (IMP ou EXP) e o tipo de vistoria que será realizado.&lt;/div&gt;
&lt;div&gt;Após solicitação, acompanhe o andamento do serviço, no menu &lt;strong&gt;Acompanhamento de Serviços.&lt;/strong&gt;
&lt;/div&gt;
&lt;div&gt;&lt;/div&gt;
&lt;div&gt;&lt;span&gt;Orientações de solicitação&lt;br/&gt;&lt;/span&gt;&lt;/div&gt;
&lt;div&gt;&lt;span&gt;&lt;/span&gt;&lt;/div&gt;
&lt;div&gt;1. No menu lateral, acesse a opção &lt;a href="http://portal.teconsvonline.com.br/" target="_blank"&gt;Agendamento de serviços &lt;/a&gt;e selecione &lt;strong&gt;Novo Agendamento&lt;/strong&gt;
&lt;/div&gt;
&lt;div&gt;
&lt;span&gt;&lt;/span&gt;                                                                                                                               &lt;img alt="mceclip0.png" src="https://atendimento.teconsvonline.com.br/hc/article_attachments/360093500872/mceclip0.png"/&gt;
&lt;/div&gt;
&lt;div&gt;&lt;img alt="mceclip6.png" src="https://atendimento.teconsvonline.com.br/hc/article_attachments/360093500952/mceclip6.png"/&gt;&lt;/div&gt;
&lt;div&gt;&lt;/div&gt;
&lt;div&gt;2. Selecione a categoria e o tipo de manuseio para vistoria&lt;/div&gt;
&lt;div&gt;&lt;span&gt;&lt;/span&gt;&lt;/div&gt;
&lt;div&gt;&lt;span&gt;&lt;img alt="mceclip7.png" src="https://atendimento.teconsvonline.com.br/hc/article_attachments/360093471571/mceclip7.png"/&gt;&lt;/span&gt;&lt;/div&gt;
&lt;div&gt;&lt;span&gt;&lt;/span&gt;&lt;/div&gt;
&lt;div&gt;&lt;/div&gt;
&lt;div&gt;&lt;/div&gt;
&lt;div&gt;3. Preencha as informações solicitadas, e finalize o agendamento.&lt;/div&gt;
&lt;div&gt;&lt;/div&gt;
&lt;div&gt;&lt;img alt="mceclip8.png" src="https://atendimento.teconsvonline.com.br/hc/article_attachments/360093471591/mceclip8.png"/&gt;&lt;/div&gt;
&lt;div&gt;&lt;/div&gt;
&lt;div&gt;
&lt;p&gt;Após finalizar o agendamento, receberá uma notificação com a previsão de finalização do serviço, no e-mail cadastrado no login do Portal.&lt;/p&gt;
&lt;p&gt;&lt;img alt="mceclip9.png" height="147" src="https://atendimento.teconsvonline.com.br/hc/article_attachments/360093501212/mceclip9.png" width="850"/&gt; &lt;/p&gt;
&lt;p&gt;Para acompanhar o andamento, acesse o menu &lt;strong&gt;Acompanhamento de Serviços.&lt;/strong&gt;&lt;/p&gt;
&lt;/div&gt;</t>
  </si>
  <si>
    <t>https://wilsonsons.zendesk.com/api/v2/help_center/pt-br/articles/360060358151.json</t>
  </si>
  <si>
    <t>https://atendimento.teconsvonline.com.br/hc/pt-br/articles/360060358151-Esqueci-minha-senha-do-Portal-do-Cliente-o-que-devo-fazer</t>
  </si>
  <si>
    <t>Esqueci minha senha do Portal do Cliente. o que devo fazer?</t>
  </si>
  <si>
    <t>['portal', 'esqueci a senha', 'senha expirada', 'exipou', 'não estou conseguindo acessar']</t>
  </si>
  <si>
    <t>&lt;div&gt;&lt;/div&gt;
&lt;div&gt;
&lt;div&gt;&lt;font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&lt;/div&gt;
&lt;div&gt;Pronto! Clique em &lt;strong&gt;Esqueceu a senha, &lt;/strong&gt;informe o e-mail e receberá uma notificação com a nova senha de acesso.&lt;/div&gt;
&lt;div&gt;&lt;/div&gt;
&lt;div&gt;&lt;img alt="mceclip0.png" src="https://atendimento.teconsvonline.com.br/hc/article_attachments/360093500572/mceclip0.png"/&gt;&lt;/div&gt;
&lt;div&gt;&lt;/div&gt;
&lt;div&gt;Qualquer dúvida, entre em contato com equipe de &lt;a href="https://atendimento.teconsvonline.com.br/hc/pt-br/articles/360048127531" target="_blank"&gt;Atendimento ao Cliente&lt;/a&gt;. &lt;/div&gt;</t>
  </si>
  <si>
    <t>https://wilsonsons.zendesk.com/api/v2/help_center/pt-br/articles/360059917992.json</t>
  </si>
  <si>
    <t>https://atendimento.teconsvonline.com.br/hc/pt-br/articles/360059917992-Minha-senha-do-Portal-do-Cliente-expirou-O-que-devo-fazer</t>
  </si>
  <si>
    <t>Minha senha do Portal do Cliente expirou. O que devo fazer?</t>
  </si>
  <si>
    <t>['senha', 'expirou']</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</si>
  <si>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&lt;div&gt;Pronto! Clique em &lt;strong&gt;Esqueceu a senha, &lt;/strong&gt;informe o e-mail e receberá uma notificação com a nova senha de acesso.&lt;/div&gt;
&lt;div&gt;&lt;/div&gt;
&lt;div&gt;&lt;img alt="mceclip0.png" src="https://atendimento.teconsvonline.com.br/hc/article_attachments/360093500572/mceclip0.png"/&gt;&lt;/div&gt;
&lt;div&gt;&lt;/div&gt;
&lt;div&gt;Qualquer dúvida, entre em contato com equipe de &lt;a href="https://atendimento.teconsvonline.com.br/hc/pt-br/articles/360048127531" target="_blank"&gt;Atendimento ao Cliente&lt;/a&gt;. &lt;/div&gt;
&lt;div&gt;&lt;/div&gt;</t>
  </si>
  <si>
    <t>https://wilsonsons.zendesk.com/api/v2/help_center/pt-br/articles/360059917872.json</t>
  </si>
  <si>
    <t>https://atendimento.teconsvonline.com.br/hc/pt-br/articles/360059917872-Como-acessar-esse-Portal-de-Atendimento-Qual-meu-login-e-senha</t>
  </si>
  <si>
    <t>Como acessar esse Portal de Atendimento? Qual meu login e senha?</t>
  </si>
  <si>
    <t>['senha', 'portal de atendimento']</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</si>
  <si>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&lt;div&gt;
&lt;span&gt;Novo usuário em Wilsons Sons - Tecon SV?&lt;/span&gt; Clique em &lt;a href="https://atendimento.teconsvonline.com.br/auth/v2/login/registration?auth_origin=2087827%2Ctrue%2Ctrue&amp;amp;brand_id=2087827&amp;amp;theme=hc" target="_blank"&gt;Cadastre-se&lt;/a&gt;
&lt;/div&gt;
&lt;div&gt;
&lt;p&gt;&lt;span&gt;Já enviou algum e-mail para nossa equipe de Atendimento?&lt;/span&gt;&lt;span&gt;  Clique em &lt;/span&gt;&lt;a href="https://atendimento.teconsvonline.com.br/hc/pt-br" target="_blank"&gt;Obtenha uma senha&lt;/a&gt;&lt;/p&gt;
&lt;p&gt;Se você já entrou em contato com nossa equipe de suporte por e-mail anteriormente, já está registrado.&lt;span&gt; &lt;/span&gt;No entanto, é provável que você ainda não tenha uma senha.&lt;/p&gt;
&lt;/div&gt;
&lt;div&gt;&lt;/div&gt;
&lt;div&gt;Realize o login e desfrute de todos os conteúdos exclusivos para os usuários, orientações, controle de solicitações da equipe de atendimento e outros.   &lt;/div&gt;
&lt;div&gt;&lt;img alt="mceclip1.png" src="https://atendimento.teconsvonline.com.br/hc/article_attachments/360093470951/mceclip1.png"/&gt;&lt;/div&gt;
&lt;div&gt;&lt;/div&gt;
&lt;div&gt;&lt;/div&gt;
&lt;div&gt;&lt;/div&gt;
&lt;div&gt;&lt;/div&gt;
&lt;div&gt;&lt;img alt="mceclip3.png" src="https://atendimento.teconsvonline.com.br/hc/article_attachments/360093470971/mceclip3.png"/&gt;&lt;/div&gt;
&lt;div&gt;&lt;/div&gt;
&lt;div&gt;&lt;/div&gt;
&lt;div&gt;&lt;/div&gt;</t>
  </si>
  <si>
    <t>https://wilsonsons.zendesk.com/api/v2/help_center/pt-br/articles/360059917212.json</t>
  </si>
  <si>
    <t>https://atendimento.teconsvonline.com.br/hc/pt-br/articles/360059917212-Como-solicitar-posicionamento-de-container-para-vistorias-canal-vermelho-e-outros</t>
  </si>
  <si>
    <t>['posicionamento', 'canal vermelho', 'vistoria', 'manuseio', 'serviços', 'mapa', 'rfb']</t>
  </si>
  <si>
    <t>&lt;div&gt;&lt;/div&gt;
&lt;div&gt;
&lt;div&gt;&lt;font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&lt;/div&gt;
&lt;div&gt;A solicitação é através do &lt;a href="http://portal.teconsvonline.com.br" target="_blank"&gt;Portal do cliente&lt;/a&gt;, no módulo de &lt;strong&gt;Agendamento de Serviços&lt;/strong&gt;. Basta escolher a categoria (IMP ou EXP) e o tipo de vistoria que será realizado.&lt;/div&gt;
&lt;div&gt;Após solicitação, acompanhe o andamento do serviço, no menu &lt;strong&gt;Acompanhamento de Serviços.&lt;/strong&gt;
&lt;/div&gt;
&lt;div&gt;&lt;/div&gt;
&lt;div&gt;&lt;span&gt;Orientações de solicitação&lt;br/&gt;&lt;/span&gt;&lt;/div&gt;
&lt;div&gt;&lt;span&gt;&lt;/span&gt;&lt;/div&gt;
&lt;div&gt;1. No menu lateral, acesse a opção &lt;a href="http://portal.teconsvonline.com.br/" target="_blank"&gt;Agendamento de serviços &lt;/a&gt;e selecione &lt;strong&gt;Novo Agendamento&lt;/strong&gt;
&lt;/div&gt;
&lt;div&gt;
&lt;span&gt;&lt;/span&gt;                                                                                                                               &lt;img alt="mceclip0.png" src="https://atendimento.teconsvonline.com.br/hc/article_attachments/360093500872/mceclip0.png"/&gt;
&lt;/div&gt;
&lt;div&gt;&lt;img alt="mceclip6.png" src="https://atendimento.teconsvonline.com.br/hc/article_attachments/360093500952/mceclip6.png"/&gt;&lt;/div&gt;
&lt;div&gt;&lt;/div&gt;
&lt;div&gt;2. Selecione a categoria e o tipo de manuseio para vistoria&lt;/div&gt;
&lt;div&gt;&lt;span&gt;&lt;/span&gt;&lt;/div&gt;
&lt;div&gt;&lt;span&gt;&lt;img alt="mceclip7.png" src="https://atendimento.teconsvonline.com.br/hc/article_attachments/360093471571/mceclip7.png"/&gt;&lt;/span&gt;&lt;/div&gt;
&lt;div&gt;&lt;span&gt;&lt;/span&gt;&lt;/div&gt;
&lt;div&gt;&lt;/div&gt;
&lt;div&gt;&lt;/div&gt;
&lt;div&gt;3. Preencha as informações solicitadas, e finalize o agendamento.&lt;/div&gt;
&lt;div&gt;&lt;/div&gt;
&lt;div&gt;&lt;img alt="mceclip8.png" src="https://atendimento.teconsvonline.com.br/hc/article_attachments/360093471591/mceclip8.png"/&gt;&lt;/div&gt;
&lt;div&gt;&lt;/div&gt;
&lt;div&gt;
&lt;p&gt;Após finalizar o agendamento, receberá uma notificação com a previsão de finalização do serviço, no e-mail cadastrado no login do Portal.&lt;/p&gt;
&lt;p&gt;&lt;img alt="mceclip9.png" height="147" src="https://atendimento.teconsvonline.com.br/hc/article_attachments/360093501212/mceclip9.png" width="850"/&gt; &lt;/p&gt;
&lt;p&gt;Para acompanhar o andamento, acesse o menu &lt;strong&gt;Acompanhamento de Serviços.&lt;/strong&gt;&lt;/p&gt;
&lt;p&gt; &lt;/p&gt;
&lt;/div&gt;
&lt;div&gt;&lt;span&gt;&lt;/span&gt;&lt;/div&gt;
&lt;div&gt;&lt;span&gt;&lt;/span&gt;&lt;/div&gt;
&lt;div&gt;&lt;span&gt;&lt;/span&gt;&lt;/div&gt;
&lt;div&gt;&lt;span&gt;&lt;/span&gt;&lt;/div&gt;
&lt;div&gt;&lt;span&gt;&lt;/span&gt;&lt;/div&gt;
&lt;div&gt;&lt;span&gt;&lt;/span&gt;&lt;/div&gt;
&lt;div&gt;&lt;span&gt;&lt;/span&gt;&lt;/div&gt;</t>
  </si>
  <si>
    <t>https://wilsonsons.zendesk.com/api/v2/help_center/pt-br/articles/360059917192.json</t>
  </si>
  <si>
    <t>https://atendimento.teconsvonline.com.br/hc/pt-br/articles/360059917192-Como-solicitar-a-pesagem-VGM</t>
  </si>
  <si>
    <t>Como solicitar a pesagem VGM?</t>
  </si>
  <si>
    <t>&lt;p&gt;&lt;font face="arial, sans-serif"&gt;&lt;u&gt;                                                                                                                                                                     &lt;/u&gt;&lt;/font&gt;&lt;/p&gt;
&lt;p&gt;Pronto! Aqui você poderá solicitar a pesagem VGM para a unidade desejada.&lt;/p&gt;
&lt;p&gt;Acesse o menu: &lt;a href="http://portal.teconsvonline.com.br/agendamento-servicos" target="_blank"&gt; Agendamento de Serviço&lt;/a&gt;&lt;/p&gt;
&lt;p&gt; &lt;/p&gt;
&lt;div&gt;&lt;/div&gt;
&lt;div&gt;&lt;span&gt;Orientações de solicitação&lt;br/&gt;&lt;/span&gt;&lt;/div&gt;
&lt;div&gt;&lt;span&gt;Acesse a aba "Agendamento de serviços" no &lt;a href="http://portal.teconsvonline.com.br/consulta-orcamentos" target="_blank"&gt;Portal do cliente&lt;/a&gt;, selecione a opção "novo agendamento".&lt;/span&gt;&lt;/div&gt;
&lt;div&gt;&lt;span&gt;&lt;/span&gt;&lt;/div&gt;
&lt;div&gt;&lt;span&gt;&lt;/span&gt;&lt;/div&gt;
&lt;div&gt;&lt;span&gt;&lt;img alt="1.png" src="https://atendimento.teconsvonline.com.br/hc/article_attachments/360093470991/1.png"/&gt;&lt;/span&gt;&lt;/div&gt;
&lt;div&gt;&lt;span&gt;&lt;/span&gt;&lt;/div&gt;
&lt;div&gt;
&lt;span&gt;Selecione o grupo "pesagem solas", e selecione o tipo de pesagem.&lt;/span&gt;&lt;span&gt;&lt;/span&gt;
&lt;/div&gt;
&lt;ul&gt;
&lt;li&gt;&lt;span&gt;Pesagem Antecipada - Quando a unidade ainda não ingressou ao terminal.&lt;/span&gt;&lt;/li&gt;
&lt;li&gt;
&lt;span&gt;Pesagem Postecipada - Após ingresso no terminal.&lt;/span&gt;&lt;span&gt;&lt;/span&gt;
&lt;/li&gt;
&lt;/ul&gt;
&lt;p&gt;&lt;span&gt;&lt;img alt="2.png" src="https://atendimento.teconsvonline.com.br/hc/article_attachments/360093500672/2.png"/&gt;&lt;/span&gt;&lt;/p&gt;
&lt;p&gt; &lt;/p&gt;
&lt;p&gt;&lt;span&gt;Informe o numero da unidade (cntr), e finalize o agendamento.&lt;/span&gt;&lt;/p&gt;
&lt;p&gt; &lt;/p&gt;
&lt;p&gt;&lt;span&gt;&lt;img alt="3.png" src="https://atendimento.teconsvonline.com.br/hc/article_attachments/360093500712/3.png"/&gt;&lt;/span&gt;&lt;/p&gt;
&lt;p&gt; &lt;/p&gt;
&lt;div&gt;
&lt;p&gt;Caso encontre alguma dificuldade para realizar a solicitação, não se preocupe!&lt;/p&gt;
&lt;p&gt;Você pode entrar em contato com nossa equipe de &lt;a href="https://atendimento.teconsvonline.com.br/hc/pt-br/articles/360048127531-Canais-de-Atendimento-" target="_self"&gt;&lt;span&gt;Atendimento ao Cliente&lt;/span&gt;&lt;/a&gt; e&lt;span&gt;stamos prontos para atendê-lo&lt;/span&gt;&lt;/p&gt;
&lt;/div&gt;
&lt;div&gt;&lt;/div&gt;
&lt;div&gt;&lt;span&gt;&lt;/span&gt;&lt;/div&gt;</t>
  </si>
  <si>
    <t>https://wilsonsons.zendesk.com/api/v2/help_center/pt-br/articles/360060357151.json</t>
  </si>
  <si>
    <t>https://atendimento.teconsvonline.com.br/hc/pt-br/articles/360060357151-Como-cancelar-ou-editar-um-agendamento-de-container</t>
  </si>
  <si>
    <t>Como cancelar ou editar um agendamento de container?</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</si>
  <si>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&lt;p&gt;&lt;strong&gt;&lt;img alt="Uma imagem contendo desenho, placar
Descrição gerada automaticamente" height="19" src="https://lh4.googleusercontent.com/PiqKgB_Q9pc8OIgpFnfj2g-3lJ9Ktauz30w0yiHl6DjrSko-IUonYCnFs16aSclqeVk1IUf9oGIoII2TvchQfiHZX0Ejgbk0WM48DMCuzyOnZBVI5BFaxqf_0TdKOdZ-JjHxnXkPNCw" width="48"/&gt; Fique atento as regras:&lt;/strong&gt;&lt;/p&gt;
&lt;p&gt;Cancelamentos e alterações de dados, são permitidos até 2h antes do horário programado, ou seja, se o agendamento estava previsto para a janela 14:00-14:59, seria possível realizar alteração ou cancelamento até 12h.&lt;/p&gt;
&lt;div&gt;&lt;span&gt;Orientações de cancelamento e edição&lt;br/&gt;&lt;/span&gt;&lt;/div&gt;
&lt;div&gt;&lt;span&gt; &lt;/span&gt;&lt;/div&gt;
&lt;div&gt;1. Acesse o menu &lt;a href="http://portal.teconsvonline.com.br/login" target="_blank"&gt; Agendamento de Container&lt;/a&gt; , utilize os filtros para localizar seus agendamentos.&lt;/div&gt;
&lt;div&gt;&lt;span&gt;&lt;/span&gt;&lt;/div&gt;
&lt;div&gt;&lt;img alt="1.png" src="https://atendimento.teconsvonline.com.br/hc/article_attachments/360093501112/1.png"/&gt;&lt;/div&gt;
&lt;div&gt;&lt;/div&gt;
&lt;div&gt;
&lt;div&gt;2. Selecione o ícone "&lt;span&gt;&lt;span&gt;Ø&lt;/span&gt;&lt;/span&gt;", para cancelar e o lápis para editar seu agendamento.&lt;span&gt;&lt;span&gt;&lt;br/&gt;&lt;/span&gt;&lt;/span&gt;
&lt;div&gt;
&lt;div&gt;
&lt;div&gt;
&lt;div&gt;&lt;/div&gt;
&lt;div&gt;&lt;img alt="2.png" src="https://atendimento.teconsvonline.com.br/hc/article_attachments/360093471631/2.png"/&gt;&lt;/div&gt;
&lt;div&gt;&lt;/div&gt;
3. Confirme o cancelamento do agendamento ou edição.&lt;span&gt;&lt;br/&gt;&lt;/span&gt;
&lt;/div&gt;
&lt;div&gt;&lt;span&gt;&lt;img alt="3.png" src="https://atendimento.teconsvonline.com.br/hc/article_attachments/360093501172/3.png"/&gt;&lt;/span&gt;&lt;/div&gt;
&lt;div&gt;
&lt;div&gt;
&lt;div&gt;&lt;/div&gt;
&lt;/div&gt;
&lt;/div&gt;
&lt;/div&gt;
&lt;/div&gt;
&lt;div&gt;
&lt;div&gt;
&lt;div&gt;
&lt;div&gt;
&lt;div&gt;Em caso de dúvida, entre em contato com a nossa equipe de &lt;a href="https://atendimento.teconsvonline.com.br/hc/pt-br/articles/360048127531" target="_blank"&gt;Atendimento ao Cliente.&lt;/a&gt;
&lt;/div&gt;
&lt;div&gt;&lt;/div&gt;
&lt;/div&gt;
&lt;/div&gt;
&lt;/div&gt;
&lt;/div&gt;
&lt;/div&gt;
&lt;div&gt;&lt;span&gt;&lt;span&gt;&lt;/span&gt;&lt;/span&gt;&lt;/div&gt;
&lt;div&gt;&lt;/div&gt;
&lt;/div&gt;</t>
  </si>
  <si>
    <t>https://wilsonsons.zendesk.com/api/v2/help_center/pt-br/articles/360059917172.json</t>
  </si>
  <si>
    <t>https://atendimento.teconsvonline.com.br/hc/pt-br/articles/360059917172-Quando-devo-incluir-a-informa%C3%A7%C3%A3o-de-DAT-Documento-de-Acompanhamento-de-Tr%C3%A2nsito</t>
  </si>
  <si>
    <t>Quando devo incluir a informação de DAT (Documento de Acompanhamento de Trânsito)?</t>
  </si>
  <si>
    <t>https://wilsonsons.zendesk.com/api/v2/help_center/pt-br/articles/360059917152.json</t>
  </si>
  <si>
    <t>https://atendimento.teconsvonline.com.br/hc/pt-br/articles/360059917152--Como-posso-consultar-detalhes-de-um-container</t>
  </si>
  <si>
    <t>Como posso consultar detalhes de um container?</t>
  </si>
  <si>
    <t>['consulta Due', 'container', 'BL master']</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</si>
  <si>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&lt;p&gt;&lt;span&gt;Orientações de acesso:&lt;/span&gt;&lt;/p&gt;
&lt;p&gt;1. Acesse o menu: &lt;a href="http://portal.teconsvonline.com.br/containers" target="_blank"&gt;Portal do Cliente - Consultas - Consulta Container&lt;/a&gt;&lt;/p&gt;
&lt;p&gt;Utilize os filtros para localizar a unidade e clique em detalhes para visualizar os dados:&lt;/p&gt;
&lt;p&gt;&lt;img alt="mceclip1.png" src="https://atendimento.teconsvonline.com.br/hc/article_attachments/360093471991/mceclip1.png"/&gt;&lt;/p&gt;
&lt;p&gt; &lt;/p&gt;
&lt;p&gt; &lt;/p&gt;
&lt;p&gt; &lt;/p&gt;
&lt;p&gt; &lt;/p&gt;
&lt;p&gt; &lt;/p&gt;
&lt;p&gt; &lt;/p&gt;
&lt;p&gt; &lt;/p&gt;
&lt;p&gt; &lt;/p&gt;
&lt;p&gt; &lt;/p&gt;
&lt;p&gt; &lt;/p&gt;
&lt;p&gt; &lt;/p&gt;</t>
  </si>
  <si>
    <t>https://wilsonsons.zendesk.com/api/v2/help_center/pt-br/articles/360060357131.json</t>
  </si>
  <si>
    <t>https://atendimento.teconsvonline.com.br/hc/pt-br/articles/360060357131-Como-devo-consultar-a-recep%C3%A7%C3%A3o-da-carga-e-ou-o-desembara%C3%A7o-da-DUE</t>
  </si>
  <si>
    <t>Como devo consultar a recepção da carga e/ou o desembaraço da DUE?</t>
  </si>
  <si>
    <t>&lt;p&gt;&lt;font face="arial, sans-serif"&gt;&lt;u&gt;                                                                                                                                                                     &lt;/u&gt;&lt;/font&gt;&lt;/p&gt;
&lt;p&gt;Pronto! Aqui você poderá verificar status da entrega da sua unidade.&lt;/p&gt;
&lt;p&gt;Acesse o menu: &lt;a href="http://portal.teconsvonline.com.br/containers" target="_self"&gt;Consultas&lt;/a&gt;&lt;/p&gt;
&lt;p&gt; &lt;/p&gt;
&lt;p&gt;&lt;span&gt;Acesse a aba "Containers", e utilize um dos filtros para realizar a pesquisa.&lt;/span&gt;&lt;/p&gt;
&lt;p&gt; &lt;/p&gt;
&lt;p&gt;&lt;img alt="1.png" src="https://atendimento.teconsvonline.com.br/hc/article_attachments/360093471711"/&gt;&lt;/p&gt;
&lt;p&gt; &lt;/p&gt;
&lt;p&gt;&lt;span&gt;Clique em " ver detalhes", para verificar todas informações da unidade.&lt;/span&gt;&lt;span&gt;&lt;/span&gt;&lt;/p&gt;
&lt;p&gt; &lt;/p&gt;
&lt;p&gt;&lt;span&gt;&lt;img alt="2.png" src="https://atendimento.teconsvonline.com.br/hc/article_attachments/360093471771"/&gt;&lt;/span&gt;&lt;/p&gt;
&lt;p&gt; &lt;/p&gt;
&lt;p&gt;&lt;span&gt;Consulte as informações desejadas, quanto a entrega da unidade.&lt;/span&gt;&lt;/p&gt;
&lt;p&gt; &lt;/p&gt;
&lt;p&gt;&lt;span&gt;&lt;img alt="3.png" src="https://atendimento.teconsvonline.com.br/hc/article_attachments/360093501492"/&gt;&lt;/span&gt;&lt;/p&gt;
&lt;p&gt; &lt;/p&gt;
&lt;p&gt;Caso encontre alguma dificuldade para realizar a consulta, não se preocupe!&lt;/p&gt;
&lt;p&gt;Você pode entrar em contato com nossa equipe de &lt;a href="https://atendimento.teconsvonline.com.br/hc/pt-br/articles/360048127531-Canais-de-Atendimento-" target="_self"&gt;&lt;span&gt;Atendimento ao Cliente&lt;/span&gt;&lt;/a&gt;, e&lt;span&gt;stamos prontos para atendê-lo.&lt;/span&gt;&lt;/p&gt;
&lt;p&gt; &lt;/p&gt;
&lt;p&gt; &lt;/p&gt;
&lt;p&gt; &lt;/p&gt;
&lt;p&gt; &lt;/p&gt;
&lt;p&gt; &lt;/p&gt;
&lt;p&gt; &lt;/p&gt;</t>
  </si>
  <si>
    <t>https://wilsonsons.zendesk.com/api/v2/help_center/pt-br/articles/360059917132.json</t>
  </si>
  <si>
    <t>https://atendimento.teconsvonline.com.br/hc/pt-br/articles/360059917132-Perdi-a-janela-por-aus%C3%AAncia-ou-atraso-quanto-tempo-depois-posso-realizar-um-novo-agendamento</t>
  </si>
  <si>
    <t>Perdi a janela (por ausência ou atraso), quanto tempo depois posso realizar um novo agendamento?</t>
  </si>
  <si>
    <t>https://wilsonsons.zendesk.com/api/v2/help_center/pt-br/articles/360059917112.json</t>
  </si>
  <si>
    <t>https://atendimento.teconsvonline.com.br/hc/pt-br/articles/360059917112-N%C3%A3o-recebi-minha-fatura-por-e-mail-O-que-devo-fazer</t>
  </si>
  <si>
    <t>Não recebi minha fatura por e-mail. O que devo fazer?</t>
  </si>
  <si>
    <t>['segunda via', '2 via', 'faturas']</t>
  </si>
  <si>
    <t>&lt;h4&gt;&lt;span&gt;Mesmo não recebendo o e-mail com a expedição da fatura, ela sempre estará disponível no Portal do cliente. Veja como realizar a consulta &lt;a href="https://atendimento.teconsvonline.com.br/hc/pt-br/articles/360039477132" target="_self"&gt;aqui.&lt;/a&gt;&lt;/span&gt;&lt;/h4&gt;
&lt;h4&gt;&lt;span&gt;Se desejar atualizar os e-mails cadastrados para recebimento de faturas, entre em contato com a nossa equipe de &lt;a href="https://atendimento.teconsvonline.com.br/hc/pt-br/articles/360048127531" target="_blank"&gt;Atendimento a Clientes&lt;/a&gt;&lt;/span&gt;&lt;/h4&gt;</t>
  </si>
  <si>
    <t>https://wilsonsons.zendesk.com/api/v2/help_center/pt-br/articles/360059917092.json</t>
  </si>
  <si>
    <t>https://atendimento.teconsvonline.com.br/hc/pt-br/articles/360059917092-Quais-s%C3%A3o-os-procedimentos-para-pagamento-%C3%A0-vista</t>
  </si>
  <si>
    <t>Quais são os procedimentos para pagamento à vista?</t>
  </si>
  <si>
    <t>['boleto', 'dia de porta', 'compensação', 'a vista']</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</si>
  <si>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&lt;div&gt;&lt;/div&gt;
&lt;ul&gt;
&lt;li&gt;Extrair o boleto no Portal do Cliente até 1 dia antes da previsão de retirada da carga;&lt;/li&gt;
&lt;li&gt;Realizar o pagamento, e aguardar a compensação do boleto no dia posterior;&lt;/li&gt;
&lt;li&gt;Após compensação será emitido o booking ou levante para realização do agendamento de retirada.&lt;/li&gt;
&lt;/ul&gt;
&lt;p&gt;*Se o pagamento for realizado no último dia do período, a carga estará liberada para retirada no dia seguinte, sem incidência de novo período de armazenagem. &lt;/p&gt;
&lt;p&gt;&lt;a href="https://atendimento.teconsvonline.com.br/hc/pt-br/articles/360039880091-Como-solicitar-estimativa-de-c%C3%A1lculo-ou-boleto-" target="_blank"&gt;Como emitir boleto no Portal?&lt;/a&gt;&lt;/p&gt;
&lt;p&gt; &lt;/p&gt;</t>
  </si>
  <si>
    <t>https://wilsonsons.zendesk.com/api/v2/help_center/pt-br/articles/360060357051.json</t>
  </si>
  <si>
    <t>https://atendimento.teconsvonline.com.br/hc/pt-br/articles/360060357051-Onde-posso-verificar-a-tabela-de-servi%C3%A7os</t>
  </si>
  <si>
    <t>Onde posso verificar a tabela de serviços?</t>
  </si>
  <si>
    <t>['valores', 'preço', 'tabela pública', 'a vista']</t>
  </si>
  <si>
    <t>&lt;h3&gt;A nossa tabela pública está disponível no link: &lt;a href="https://www.wilsonsons.com.br/pt/teconsalvador/conteudo/tabela-pre%C3%A7os"&gt;Tabela de preços do Tecon Salvador | Wilson Sons&lt;/a&gt;
&lt;/h3&gt;
&lt;h3&gt;Qualquer dúvida, entre em contato com a nossa equipe de &lt;a href="https://atendimento.teconsvonline.com.br/hc/pt-br/articles/360048127531-Como-posso-entrar-em-contato-com-a-equipe-de-Atendimento-" target="_self"&gt;Atendimento a Clientes.&lt;/a&gt;
&lt;/h3&gt;</t>
  </si>
  <si>
    <t>https://wilsonsons.zendesk.com/api/v2/help_center/pt-br/articles/360059915672.json</t>
  </si>
  <si>
    <t>https://atendimento.teconsvonline.com.br/hc/pt-br/articles/360059915672-Como-solicitar-acesso-ao-Terminal</t>
  </si>
  <si>
    <t>Como solicitar acesso ao Terminal?</t>
  </si>
  <si>
    <t>['acesso', 'porto', 'visita', 'liberação', 'codeba']</t>
  </si>
  <si>
    <t>&lt;div&gt;&lt;img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div&gt;
&lt;div&gt;&lt;font face="arial, sans-serif"&gt;&lt;u&gt;                                                                                                                                                               &lt;/u&gt;&lt;/font&gt;&lt;/div&gt;
&lt;div&gt;&lt;/div&gt;
&lt;div&gt;Acesso para vistorias, acompanhamento de serviços ou visitas programadas, devem ser realizadas através do &lt;a href="https://atendimento.teconsvonline.com.br/hc/pt-br/requests/new?ticket_form_id=722187" target="_blank"&gt;formulário de solicitação&lt;/a&gt;. &lt;/div&gt;
&lt;div&gt;&lt;/div&gt;
&lt;div&gt;Utilize a categorização:&lt;/div&gt;
&lt;div&gt;&lt;/div&gt;
&lt;div&gt;&lt;strong&gt;&lt;span&gt;→ &lt;/span&gt;Solicitação &lt;span&gt;→&lt;/span&gt; Acesso ao porto &lt;span&gt;→&lt;/span&gt; Cliente &lt;/strong&gt;&lt;/div&gt;
&lt;div&gt;&lt;/div&gt;
&lt;div&gt;&lt;/div&gt;
&lt;div&gt;Preencha todas as informações solicitadas e aguarde a confirmação doa nossos agentes.&lt;/div&gt;
&lt;div&gt;&lt;/div&gt;
&lt;div&gt;
&lt;img alt="Uma imagem contendo objeto, relógio
Descrição gerada automaticamente" height="44" src="https://lh3.googleusercontent.com/HaLYdF-3CKXK99tSVsWnoDoISHEC5PglB0Mfe9fZVMlMlWamj4mWjb4WOXz0jG0Dtgv3xvAXGW-lK221x9Spq2cKVRhfQHlFkOi-y_9YHO1gsekAl17F8eXn3Dv4gB62rmyFSbT7yMI" width="39"/&gt; Envie a solicitação com até 48 horas de antecedência da realização da visita.&lt;/div&gt;
&lt;div&gt;&lt;/div&gt;</t>
  </si>
  <si>
    <t>https://wilsonsons.zendesk.com/api/v2/help_center/pt-br/articles/360058295252.json</t>
  </si>
  <si>
    <t>https://atendimento.teconsvonline.com.br/hc/pt-br/articles/360058295252-Agendamento-de-Coleta-de-Container-dry</t>
  </si>
  <si>
    <t>Agendamento de Coleta de Container dry</t>
  </si>
  <si>
    <t>&lt;p&gt;&lt;img alt="Card_whats_app_1_.jpeg" src="https://atendimento.teconsvonline.com.br/hc/article_attachments/360090061692/Card_whats_app_1_.jpeg"/&gt;&lt;/p&gt;</t>
  </si>
  <si>
    <t>https://wilsonsons.zendesk.com/api/v2/help_center/pt-br/articles/360057068151.json</t>
  </si>
  <si>
    <t>https://atendimento.teconsvonline.com.br/hc/pt-br/articles/360057068151-Programa%C3%A7%C3%A3o-de-funcionamento-Carnaval</t>
  </si>
  <si>
    <t>Programação de funcionamento Carnaval -</t>
  </si>
  <si>
    <t>&lt;p&gt;&lt;img alt="Aviso_Carnaval2021.png" height="564" src="https://atendimento.teconsvonline.com.br/hc/article_attachments/360085962872/Aviso_Carnaval2021.png" width="901"/&gt;&lt;/p&gt;</t>
  </si>
  <si>
    <t>https://wilsonsons.zendesk.com/api/v2/help_center/pt-br/articles/360048461712.json</t>
  </si>
  <si>
    <t>https://atendimento.teconsvonline.com.br/hc/pt-br/articles/360048461712-Como-solicitar-meu-cadastro-no-Tecon-Salvador</t>
  </si>
  <si>
    <t>Como solicitar meu cadastro no Tecon Salvador?</t>
  </si>
  <si>
    <t>['cadastro', 'atualização cadastral']</t>
  </si>
  <si>
    <t>&lt;div&gt;&lt;font face="arial, sans-serif"&gt;&lt;u&gt;&lt;img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u&gt;&lt;/font&gt;&lt;/div&gt;
&lt;div&gt;&lt;font face="arial, sans-serif"&gt;&lt;u&gt;                                                                                                                                                                       &lt;/u&gt;&lt;/font&gt;&lt;/div&gt;
&lt;p&gt;Acesse o nosso &lt;a href="https://portal.teconsvonline.com.br/login"&gt;portal &lt;/a&gt;e clique na opção "Cadastre-se".&lt;/p&gt;
&lt;p&gt;&lt;img src="https://atendimento.teconsvonline.com.br/hc/article_attachments/34796100715533"/&gt;&lt;/p&gt;
&lt;p&gt;Leia nossos termos de adesão e, em seguida, clique em "Li e aceito os termos" para prosseguir.&lt;/p&gt;
&lt;p&gt;&lt;img src="https://atendimento.teconsvonline.com.br/hc/article_attachments/34796100717709"/&gt;&lt;/p&gt;
&lt;p&gt;Utilize a opção "Não possui cadastro no Tecon? Clique aqui".&lt;/p&gt;
&lt;p&gt;&lt;img src="https://atendimento.teconsvonline.com.br/hc/article_attachments/34796092298253"/&gt;&lt;/p&gt;
&lt;p&gt;Depois, selecione a opção equivalente ao seu tipo de cadastro (pessoa física ou jurídica), preencha todos os dados solicitados e clique em "Enviar".&lt;/p&gt;
&lt;p&gt;Os dados serão enviados automaticamente para nós e realizaremos o cadastro o mais breve possível, com prazo estimado de até 24 horas. Caso haja necessidade de prioridade, basta nos sinalizar.&lt;/p&gt;
&lt;p&gt;Segue abaixo nossos contatos:&lt;/p&gt;
&lt;p&gt;E-mail: &lt;a href="mailto:atendimento.tcsv@wilsonsons.com.br"&gt;atendimento.tcsv@wilsonsons.com.br&lt;/a&gt;&lt;br/&gt;Telefone/Whatsapp: 55 71 2106-1500 &lt;/p&gt;
&lt;p&gt;&lt;strong&gt;&lt;span&gt;&lt;img height="52" src="https://lh3.googleusercontent.com/3avJ20VJHKCxTDSBbCDb6MqfzkZDZs5-KolgJvIK-ZTcAjxg6IcZ_HI0yhrmEbt6P1uNKI0Sbr36_1aK818Qr_jH3F2jWa0tSjb4279PflSLKCEMBLE6BfyXFPnDTy6oyF5yjxxqItM" width="46"/&gt;&lt;/span&gt; &lt;span&gt;Atenção:&lt;/span&gt;&lt;/strong&gt;&lt;/p&gt;
&lt;p&gt;&lt;strong&gt;O prazo para cadastro é de até 24h.&lt;/strong&gt;&lt;/p&gt;
&lt;p&gt;&lt;strong&gt;*Caso seja transportador, gentileza sinalizar via e-mail para habilitação do acesso.&lt;/strong&gt;&lt;/p&gt;
&lt;p&gt;&lt;strong&gt;Dúvidas entre contato com nossa equipe de &lt;a href="https://atendimento.teconsvonline.com.br/hc/pt-br/articles/360048127531-Como-posso-entrar-em-contato-com-a-equipe-de-Atendimento-" target="_blank"&gt;Atendimento ao Cliente.&lt;/a&gt;&lt;/strong&gt;&lt;/p&gt;
&lt;p&gt; &lt;/p&gt;</t>
  </si>
  <si>
    <t>https://wilsonsons.zendesk.com/api/v2/help_center/pt-br/articles/360048128671.json</t>
  </si>
  <si>
    <t>https://atendimento.teconsvonline.com.br/hc/pt-br/articles/360048128671-Comunicado-Savig-003-2020-Obrigatoriedade-escaneamento</t>
  </si>
  <si>
    <t>Comunicado Savig 003/2020 - Obrigatoriedade escaneamento</t>
  </si>
  <si>
    <t>&lt;p&gt;&lt;img alt="mceclip0.png" src="https://atendimento.teconsvonline.com.br/hc/article_attachments/360064816972/mceclip0.png"/&gt;&lt;/p&gt;</t>
  </si>
  <si>
    <t>https://wilsonsons.zendesk.com/api/v2/help_center/pt-br/articles/360048128011.json</t>
  </si>
  <si>
    <t>https://atendimento.teconsvonline.com.br/hc/pt-br/articles/360048128011-Expediente-Tecon-Salvador</t>
  </si>
  <si>
    <t>Expediente - Tecon Salvador</t>
  </si>
  <si>
    <t>&lt;div&gt;&lt;strong&gt;&lt;font face="arial, sans-serif"&gt; &lt;/font&gt;&lt;/strong&gt;&lt;/div&gt;
&lt;div&gt;&lt;strong&gt;&lt;font face="arial, sans-serif"&gt; &lt;/font&gt;&lt;/strong&gt;&lt;/div&gt;
&lt;div&gt;&lt;font face="arial, sans-serif"&gt;&lt;u&gt;&lt;img src="https://atendimento.teconsvonline.com.br/hc/article_attachments/27493727632653"/&gt;&lt;/u&gt;&lt;/font&gt;&lt;/div&gt;
&lt;div&gt;&lt;font face="arial, sans-serif"&gt;&lt;u&gt;                                                                                                                  &lt;/u&gt;&lt;/font&gt;&lt;/div&gt;
&lt;div&gt;&lt;font face="arial, sans-serif"&gt;&lt;u&gt;&lt;strong&gt;&lt;span&gt;​&lt;/span&gt;&lt;/strong&gt;&lt;/u&gt;&lt;/font&gt;&lt;/div&gt;
&lt;div&gt;
&lt;div&gt;
&lt;span&gt;​&lt;/span&gt;&lt;strong&gt;Operacional:&lt;/strong&gt; &lt;br/&gt;Entrada e saída de container e operação de navios.&lt;br/&gt;&amp;gt; Atendimento 24h&lt;br/&gt;&lt;br/&gt;&lt;strong&gt;Armazém:&lt;/strong&gt;&lt;br/&gt;Programações de cargas soltas.&lt;/div&gt;
&lt;div&gt;&amp;gt; Atendimento de segunda à sábado - 07h às 23h&lt;br/&gt;&lt;br/&gt;&lt;strong&gt;Atendimento a Clientes:&lt;/strong&gt;&lt;br/&gt;Equipe de suporte e acompanhamento de clientes.&lt;/div&gt;
&lt;div&gt;&lt;/div&gt;
&lt;div&gt;Atendimento de segunda à sexta -  07h às 19h&lt;br/&gt;Sábados - 08h às 12h&lt;/div&gt;
&lt;div&gt;&lt;/div&gt;
&lt;div&gt;&lt;strong&gt;Telefones:&lt;/strong&gt;&lt;/div&gt;
&lt;div&gt;
&lt;div&gt;
&lt;p&gt;&lt;span&gt;Telefones Atendimento:&lt;br/&gt;+55 71 99178-1189 -&amp;gt; Matheus Almeida 09h até 18h&lt;br/&gt;+55 71 99704-5913 -&amp;gt; Luise Britto 08h até 17h&lt;br/&gt;+55 71 98104-7898 -&amp;gt;Victor Costa 08h até 17h&lt;br/&gt;+55 71 98174-3564 -&amp;gt;Fernanda Almeida 8:30 até 17:30h&lt;br/&gt;+55 71 98199-1271 -&amp;gt;Daniela Noblat (Atendimento Armazém Geral) 08h até 17h&lt;br/&gt;+55 71 98119-9528 -&amp;gt; Giselle Cunha (Supervisora de Atendimento)&lt;br/&gt;E-mail: atendimento.tcsv@wilsonsons.com.br - atendemos no e-mail até 19h&lt;br/&gt;Chat (&lt;a href="http://portal.teconsvonline.com.br/" target="_blank"&gt;http://portal.teconsvonline.com.br/&lt;/a&gt;) De 07h até 22h ( segunda à sexta)// Finais de semana e feriados 8h até 18h.&lt;br/&gt;&lt;br/&gt;Whatsapp (&lt;a href="https://api.whatsapp.com/send?phone=557121061500" target="_blank"&gt;https://api.whatsapp.com/send?phone=557121061500&lt;/a&gt;) atendemos até 19h.&lt;/span&gt;&lt;/p&gt;
&lt;p&gt;&lt;span&gt;&lt;br/&gt;Cadastre o nosso número 71 2106-1500 (&lt;a href="https://api.whatsapp.com/send?phone=557121061500" target="_blank"&gt;https://api.whatsapp.com/send?phone=557121061500&lt;/a&gt;) e fale conosco.&lt;/span&gt;&lt;/p&gt;
&lt;p&gt;&lt;span&gt;Regime de plantão: 7198104-7898, caso não consiga contato, gentileza utilizar o chat do portal.&lt;/span&gt;&lt;br/&gt;&lt;br/&gt;&lt;/p&gt;
&lt;/div&gt;
&lt;strong&gt;Plantão:&lt;/strong&gt;&lt;br/&gt;Segunda à sexta: 19h às 22h  &lt;br/&gt;Sábados - 12h às 18h  &lt;br/&gt;Domingos - 8h às 18h&lt;br/&gt;&lt;br/&gt;* Atendimento plantão disponível através do telefone (&lt;strong&gt;71) 9 8104-7898.&lt;/strong&gt;
&lt;/div&gt;
&lt;/div&gt;
&lt;div&gt;&lt;/div&gt;
&lt;div&gt;&lt;strong&gt;&lt;font face="arial, sans-serif"&gt;&lt;span&gt;​&lt;/span&gt;&lt;img height="29" src="https://atendimento.teconsvonline.com.br/hc/article_attachments/27493742416141" width="41"/&gt;&lt;/font&gt;&lt;/strong&gt;&lt;/div&gt;</t>
  </si>
  <si>
    <t>https://wilsonsons.zendesk.com/api/v2/help_center/pt-br/articles/360048127531.json</t>
  </si>
  <si>
    <t>https://atendimento.teconsvonline.com.br/hc/pt-br/articles/360048127531-Como-posso-entrar-em-contato-com-a-equipe-de-Atendimento</t>
  </si>
  <si>
    <t>Como posso entrar em contato com a equipe de Atendimento?</t>
  </si>
  <si>
    <t>&lt;div&gt;&lt;font face="arial, sans-serif"&gt;&lt;u&gt;&lt;img src="https://atendimento.teconsvonline.com.br/hc/article_attachments/26480923707149"/&gt;&lt;/u&gt;&lt;/font&gt;&lt;/div&gt;
&lt;div&gt;&lt;u&gt;&lt;/u&gt;&lt;/div&gt;
&lt;p&gt;&lt;strong&gt;Atendimento Tecon Salvador &lt;/strong&gt;&lt;/p&gt;
&lt;p&gt;&lt;strong&gt;&lt;span&gt;Para garantir que você receba o suporte necessário de maneira rápida e eficiente, oferecemos várias formas de contato com nossa equipe:&lt;/span&gt;&lt;/strong&gt;&lt;/p&gt;
&lt;p&gt;&lt;strong&gt;&lt;span&gt;-------------------------------------------------------------------------------------------------------------------&lt;/span&gt;&lt;/strong&gt;&lt;/p&gt;
&lt;div&gt;
&lt;strong&gt;E-mail:&lt;/strong&gt; &lt;a href="mailto:atendimento.tcsv@wilsonsons.com.br"&gt;atendimento.tcsv@wilsonsons.com.br&lt;/a&gt;
&lt;/div&gt;
&lt;div&gt;
&lt;strong&gt;Telefone:&lt;/strong&gt; &lt;span&gt;+55 71 &lt;/span&gt;2106-1500&lt;/div&gt;
&lt;div&gt;
&lt;img alt="Uma imagem contendo desenho
Descrição gerada automaticamente" height="29" src="https://atendimento.teconsvonline.com.br/hc/article_attachments/26480940252685" width="40"/&gt;&lt;span&gt; &lt;/span&gt; &lt;a href="http://portal.teconsvonline.com.br/" target="_blank"&gt;Chat&lt;/a&gt;         &lt;/div&gt;
&lt;div&gt; &lt;span&gt;&lt;img alt="Uma imagem contendo desenho
Descrição gerada automaticamente" height="28" src="https://atendimento.teconsvonline.com.br/hc/article_attachments/26480923710733" width="28"/&gt;  &lt;a href="https://api.whatsapp.com/send?phone=557121061500" target="_blank"&gt;Whatsapp &lt;/a&gt;&lt;/span&gt; &lt;/div&gt;
&lt;div&gt;Cadastre o nosso número &lt;a href="https://api.whatsapp.com/send?phone=557121061500" target="_blank"&gt;71 2106-1500&lt;/a&gt; e fale com um dos nossos especialistas.  &lt;/div&gt;
&lt;div&gt;-------------------------------------------------------------------------------------------------------------------&lt;/div&gt;
&lt;div&gt;&lt;/div&gt;
&lt;div&gt;&lt;strong&gt;Horários de Atendimento:&lt;/strong&gt;&lt;/div&gt;
&lt;div&gt;&lt;/div&gt;
&lt;div&gt;
&lt;p&gt;&lt;strong&gt;Segunda a Sexta: &lt;/strong&gt;07h às 19h (todos os canais disponíveis)&lt;/p&gt;
&lt;p&gt;&lt;strong&gt;Plantão durante a semana:&lt;/strong&gt; 19h às 20h (disponível exclusivamente via chat e telefone)&lt;/p&gt;
&lt;p&gt;&lt;strong&gt;Sábados: &lt;/strong&gt;08h às 12h (todos os canais disponíveis)&lt;/p&gt;
&lt;p&gt;&lt;strong&gt;Plantão nos finais de semana:&lt;/strong&gt; Sábado 12h às 18h e Domingo 08h às 18h (disponível exclusivamente via chat e telefone)&lt;/p&gt;
&lt;p&gt; &lt;/p&gt;
Estamos aqui para ajudá-lo com  suporte necessário. Não hesite em entrar em contato conosco dentro destes horários.&lt;/div&gt;
&lt;div&gt;&lt;/div&gt;
&lt;div&gt;&lt;/div&gt;
&lt;div&gt;
&lt;div&gt;&lt;strong&gt;&lt;font face="arial, sans-serif"&gt;&lt;span&gt;​&lt;/span&gt;&lt;img height="29" src="https://atendimento.teconsvonline.com.br/hc/article_attachments/26480940254349" width="41"/&gt;&lt;/font&gt;&lt;/strong&gt;&lt;/div&gt;
&lt;/div&gt;
&lt;p&gt; &lt;/p&gt;
&lt;p&gt; &lt;/p&gt;</t>
  </si>
  <si>
    <t>https://wilsonsons.zendesk.com/api/v2/help_center/pt-br/articles/360047652432.json</t>
  </si>
  <si>
    <t>https://atendimento.teconsvonline.com.br/hc/pt-br/articles/360047652432-WhatsApp-Novo-canal-de-Atendimento</t>
  </si>
  <si>
    <t>WhatsApp - Novo canal de Atendimento</t>
  </si>
  <si>
    <t>&lt;p&gt;&lt;img alt="Card_Whatsapp_Foto_Salvador__2_.jpg" src="https://atendimento.teconsvonline.com.br/hc/article_attachments/360064813472/Card_Whatsapp_Foto_Salvador__2_.jpg"/&gt;&lt;/p&gt;</t>
  </si>
  <si>
    <t>https://wilsonsons.zendesk.com/api/v2/help_center/pt-br/articles/360039880171.json</t>
  </si>
  <si>
    <t>https://atendimento.teconsvonline.com.br/hc/pt-br/articles/360039880171-Como-acompanhar-o-meu-processo</t>
  </si>
  <si>
    <t>Como acompanhar o meu processo?</t>
  </si>
  <si>
    <t>['presença de carga', 'consultar saída', 'acompanhamento de processo', 'acompanhamento', 'timeline']</t>
  </si>
  <si>
    <t>&lt;div&gt;&lt;img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div&gt;
&lt;div&gt;&lt;font face="arial, sans-serif"&gt;&lt;u&gt;                                                                                                                                                               &lt;/u&gt;&lt;/font&gt;&lt;/div&gt;
&lt;p&gt;Mais uma facilidade para o acompanhamento de cargas, em nosso Terminal.&lt;/p&gt;
&lt;p&gt;Apenas informando o número do documento identificador da carga, poderá visualizar todas as etapas do processo de importação, exportação ou cabotagem.&lt;/p&gt;
&lt;p&gt;Veja algumas informações disponíveis: &lt;/p&gt;
&lt;ul&gt;
&lt;li&gt;Presença de carga&lt;/li&gt;
&lt;li&gt;Lista de containers &lt;/li&gt;
&lt;li&gt;Avaria ou divergência de lacre  &lt;/li&gt;
&lt;li&gt;Liberação documental&lt;/li&gt;
&lt;li&gt;Saída da carga&lt;/li&gt;
&lt;li&gt;Faturas emitidas&lt;/li&gt;
&lt;/ul&gt;
&lt;p&gt;Além de disponibilizar as informações em uma única tela, é possível exportar os dados para PDF.  &lt;/p&gt;
&lt;p&gt; &lt;/p&gt;
&lt;p&gt;&lt;span&gt;Orientações de acesso:&lt;/span&gt;&lt;/p&gt;
&lt;p&gt;&lt;span&gt;1. No menu lateral, acesse a opção &lt;a href="http://portal.teconsvonline.com.br/" target="_blank"&gt;Acompanhamento de Processo &lt;/a&gt;e digite o documento da carga que deseja consultar, BL, CE, D.I, CTe e bookind EXP.&lt;/span&gt;&lt;/p&gt;
&lt;p&gt;&lt;img alt="mceclip2.png" src="https://atendimento.teconsvonline.com.br/hc/article_attachments/360093252832/mceclip2.png"/&gt;&lt;/p&gt;
&lt;p&gt;*Insira o padrão "222222222-1, para consultar o documento DI.&lt;/p&gt;
&lt;p&gt; &lt;/p&gt;
&lt;p&gt;2. Em Dados Gerais, serão apresentadas informações básicas do processo.&lt;/p&gt;
&lt;p&gt;&lt;img alt="mceclip0.png" height="268" src="https://atendimento.teconsvonline.com.br/hc/article_attachments/360050031572/mceclip0.png" width="724"/&gt;&lt;/p&gt;
&lt;p&gt;3. Timeline&lt;img alt="mceclip0.png" src="https://atendimento.teconsvonline.com.br/hc/article_attachments/360093251952/mceclip0.png"/&gt;&lt;/p&gt;
&lt;p&gt;4.  Detalhamento dos containers associados ao processo e demais informações&lt;/p&gt;
&lt;p&gt;&lt;img alt="mceclip1.png" src="https://atendimento.teconsvonline.com.br/hc/article_attachments/360093252012/mceclip1.png"/&gt;&lt;/p&gt;
&lt;p&gt;5. Se desejar enviar as informações, é possível exportar todos os dados da tela para PDF.&lt;/p&gt;
&lt;p&gt;Clique no ícone "baixar PDF", no final da tela. &lt;/p&gt;
&lt;p&gt;&lt;img alt="mceclip3.png" src="https://atendimento.teconsvonline.com.br/hc/article_attachments/360093236731/mceclip3.png"/&gt;&lt;/p&gt;
&lt;p&gt; &lt;/p&gt;
&lt;p&gt; &lt;/p&gt;
&lt;p&gt; &lt;/p&gt;
&lt;p&gt; &lt;/p&gt;
&lt;p&gt; &lt;/p&gt;</t>
  </si>
  <si>
    <t>https://wilsonsons.zendesk.com/api/v2/help_center/pt-br/articles/360039880091.json</t>
  </si>
  <si>
    <t>https://atendimento.teconsvonline.com.br/hc/pt-br/articles/360039880091-Como-solicitar-estimativa-de-c%C3%A1lculo-ou-boleto</t>
  </si>
  <si>
    <t>Como solicitar estimativa de cálculo ou boleto?</t>
  </si>
  <si>
    <t>&lt;div&gt;Acesse o módulo de &lt;strong&gt;Faturamento&lt;/strong&gt; no &lt;a href="http://portal.teconsvonline.com.br/consulta-orcamentos" target="_blank"&gt;Portal do cliente&lt;/a&gt;, e informe o BL ou CTE que deseja realizar a estimativa.&lt;/div&gt;
&lt;div&gt;É possível estimar valores considerando qualquer previsão de saída da carga, além de gerar boleto ou PIX para pagamento à vista.&lt;/div&gt;
&lt;div&gt;&lt;span&gt;Orientações de acesso&lt;/span&gt;&lt;/div&gt;
&lt;div&gt;&lt;span&gt;&lt;/span&gt;&lt;/div&gt;
&lt;div&gt;1. Acesse a opção Orçamentos, clique no botão&lt;strong&gt; Novo Orçamento.&lt;/strong&gt;
&lt;/div&gt;
&lt;div&gt;&lt;span&gt;&lt;img alt="mceclip0.png" src="https://atendimento.teconsvonline.com.br/hc/article_attachments/360093447472"/&gt;&lt;/span&gt;&lt;/div&gt;
&lt;div&gt;&lt;span&gt;&lt;/span&gt;&lt;/div&gt;
&lt;div&gt;2. Insira o BL , confira os dados básicos da carga e selecione os serviços que deseja calcular.&lt;/div&gt;
&lt;div&gt;&lt;span&gt;&lt;img alt="mceclip1.png" src="https://atendimento.teconsvonline.com.br/hc/article_attachments/360093425991"/&gt;&lt;/span&gt;&lt;/div&gt;
&lt;div&gt;&lt;span&gt;&lt;img alt="mceclip2.png" src="https://atendimento.teconsvonline.com.br/hc/article_attachments/360093426511"/&gt;&lt;/span&gt;&lt;/div&gt;
&lt;div&gt;3. Insira o valor CIF e a previsão de retirada para calcular.&lt;/div&gt;
&lt;p&gt;&lt;img alt="mceclip3.png" src="https://atendimento.teconsvonline.com.br/hc/article_attachments/360093454692"/&gt;&lt;/p&gt;
&lt;p&gt;*Caso o processo já tenha DI registrada, o CIF será preenchido automaticamente.&lt;/p&gt;
&lt;p&gt;4. Verifique os valores apresentados na tela e clique em &lt;strong&gt;Gerar Demonstrativo&lt;/strong&gt; para extrair a estimativa em PDF.&lt;/p&gt;
&lt;p&gt;Se precisar realizar o pagamento antecipado, basta emitir boleto ou PIX, clique em &lt;strong&gt;Gerar Boleto ou Pagamento com PIX.&lt;/strong&gt;&lt;/p&gt;
&lt;p&gt;&lt;img alt="mceclip5.png" src="https://atendimento.teconsvonline.com.br/hc/article_attachments/360093426991"/&gt;&lt;/p&gt;
&lt;p&gt;*Emissão de boleto e PIX disponível apenas para cargas averbadas/DI registrada.&lt;/p&gt;
&lt;p&gt;OS cálculos e boletos também podem ser consultados e cancelados, na mesma tela.&lt;/p&gt;
&lt;p&gt;*Caso o demonstrativo ou boleto não seja disponibilizado automaticamente, é possível que o navegador tenha bloqueado o download do arquivo. Nesse caso, basta verificar o ícone de pop-up, geralmente localizado no canto superior direito ou esquerdo da tela (conforme o navegador utilizado), e ajustar as permissões para permitir o download.&lt;/p&gt;
&lt;p&gt;&lt;img src="https://atendimento.teconsvonline.com.br/hc/article_attachments/36674397378701"/&gt;&lt;/p&gt;
&lt;p&gt; &lt;/p&gt;
&lt;div&gt;&lt;span&gt;&lt;/span&gt;&lt;/div&gt;
&lt;div&gt;&lt;span&gt;&lt;/span&gt;&lt;/div&gt;
&lt;div&gt;&lt;span&gt;&lt;/span&gt;&lt;/div&gt;
&lt;div&gt;&lt;span&gt;&lt;/span&gt;&lt;/div&gt;
&lt;div&gt;&lt;span&gt;&lt;/span&gt;&lt;/div&gt;
&lt;div&gt;&lt;span&gt;&lt;/span&gt;&lt;/div&gt;
&lt;div&gt;&lt;span&gt;&lt;/span&gt;&lt;/div&gt;
&lt;div&gt;&lt;span&gt;&lt;/span&gt;&lt;/div&gt;
&lt;div&gt;&lt;span&gt;&lt;/span&gt;&lt;/div&gt;
&lt;div&gt;&lt;span&gt;&lt;/span&gt;&lt;/div&gt;</t>
  </si>
  <si>
    <t>https://wilsonsons.zendesk.com/api/v2/help_center/pt-br/articles/360039477132.json</t>
  </si>
  <si>
    <t>https://atendimento.teconsvonline.com.br/hc/pt-br/articles/360039477132-Como-consultar-meu-faturamento-2-via-de-nota</t>
  </si>
  <si>
    <t>Como consultar meu faturamento/ 2° via de nota?</t>
  </si>
  <si>
    <t>['portal', '2º via', 'segunda via', 'nota fiscal', 'pagamento', 'valores', 'custo']</t>
  </si>
  <si>
    <t>&lt;p&gt;Pronto! Aqui você terá acesso a relação de todas as notas fiscais emitidas, com possibilidade de baixar os documentos, boleto, NF, RPS e etc.&lt;/p&gt;
&lt;p&gt;Acesse o menu: &lt;a href="http://portal.teconsvonline.com.br/faturamento-notafiscal" target="_blank"&gt; Módulo Faturamento &lt;/a&gt;&lt;/p&gt;
&lt;p&gt;Clique na opção "Nota Fiscal Tecon" e utilize os filtros disponíveis: Cliente, período, nota fiscal, Bl e outros. &lt;/p&gt;
&lt;p&gt;&lt;img alt="mceclip1.png" src="https://atendimento.teconsvonline.com.br/hc/article_attachments/360093237911/mceclip1.png"/&gt;&lt;/p&gt;
&lt;p&gt;Além de reunir todas as faturas emitidas, os dados podem ser exportados para XLS( planilha) e PDF.&lt;/p&gt;
&lt;p&gt;&lt;img alt="mceclip2.png" src="https://atendimento.teconsvonline.com.br/hc/article_attachments/360093238371/mceclip2.png"/&gt;&lt;/p&gt;
&lt;p&gt;Caso não localize o cliente no filtro, envie o seu login e o CNPJ que deseja consultar para nossa equipe de &lt;a href="https://atendimento.teconsvonline.com.br/hc/pt-br/articles/360048127531-Canais-de-Atendimento-" target="_self"&gt;Atendimento ao Cliente&lt;/a&gt;.&lt;/p&gt;
&lt;p&gt; &lt;/p&gt;
&lt;p&gt;&lt;strong&gt;&lt;font face="arial, sans-serif"&gt;&lt;img height="29" src="https://ci5.googleusercontent.com/proxy/oVPlqaSVPMU7WERXCyNo1ZOalfFCgG6y1u7Q0wUOMhOGgk-pMwErfvYfFvJ_gPEMmep-TvQChBt3rX-p3FvjElfC3U5ChHR7sUMxeonWhgeXimG2bZUG367hR8mPt6jZ8zhSPmKiOFUqrJ4hwgCGNv73UxoRQBPH1DarRPMFQKdocJwVZIIozgB0gajaDiNlcmmlBTTU2wxA0761yQ=s0-d-e1-ft#https://docs.google.com/uc?export=download&amp;amp;id=1Z7Y5TkdNYLhk6VPk1L908ylEXOQ1CKl2&amp;amp;revid=0B_Kjl_toyyUXb01TQmtucHJPREMzY2c3VDgwbkJPUk9nN3BzPQ" width="41"/&gt;&lt;/font&gt;&lt;/strong&gt;&lt;/p&gt;
&lt;p&gt; &lt;/p&gt;
&lt;p&gt; &lt;/p&gt;
&lt;p&gt; &lt;/p&gt;</t>
  </si>
  <si>
    <t>https://wilsonsons.zendesk.com/api/v2/help_center/pt-br/articles/360039477092.json</t>
  </si>
  <si>
    <t>https://atendimento.teconsvonline.com.br/hc/pt-br/articles/360039477092-Como-incluir-documentos-para-libera%C3%A7%C3%A3o-de-carga-de-importa%C3%A7%C3%A3o</t>
  </si>
  <si>
    <t>Como incluir documentos para liberação de carga de importação?</t>
  </si>
  <si>
    <t>&lt;div&gt;&lt;img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div&gt;
&lt;div&gt;&lt;font face="arial, sans-serif"&gt;&lt;u&gt;                                                                                                                                                               &lt;/u&gt;&lt;/font&gt;&lt;/div&gt;
&lt;p&gt;Para liberar seu processo de importação, basta inserir os documentos abaixo, no&lt;a href="http://portal.teconsvonline.com.br/consulta" target="_blank"&gt; Portal do Cliente.&lt;/a&gt;&lt;/p&gt;
&lt;ul&gt;
&lt;li&gt;BL original &lt;span&gt;✔&lt;/span&gt;
&lt;/li&gt;
&lt;li&gt;Chave de acesso da nota fiscal &lt;span&gt;✔&lt;/span&gt;
&lt;/li&gt;
&lt;li&gt;DAT (MAPA)&lt;span&gt;✔&lt;/span&gt;
&lt;/li&gt;
&lt;/ul&gt;
&lt;p&gt;&lt;span&gt;Processos liberados com PCCE, ficam dispensados de apresentação do ICMS.&lt;/span&gt;&lt;/p&gt;
&lt;p&gt;Para liberação de carga solta será necessário incluir notas fiscais filhotes, correspondentes a cada agendamento de saída/por carreta.&lt;/p&gt;
&lt;p&gt;&lt;span&gt;1.Acesse a opção: &lt;strong&gt;Liberação Documental&lt;/strong&gt; &lt;strong&gt;&lt;em&gt;→ &lt;/em&gt;Importação, coloque o número do BL ou CE &lt;/strong&gt;&lt;/span&gt;&lt;/p&gt;
&lt;p&gt; &lt;/p&gt;
&lt;p&gt;&lt;strong&gt;&lt;em&gt;&lt;img alt="mceclip1.png" src="https://atendimento.teconsvonline.com.br/hc/article_attachments/360093427331"/&gt;&lt;/em&gt;&lt;/strong&gt;&lt;/p&gt;
&lt;p&gt;&lt;img alt="mceclip0.png" src="https://atendimento.teconsvonline.com.br/hc/article_attachments/360093455112"/&gt;&lt;/p&gt;
&lt;p&gt; &lt;/p&gt;
&lt;p&gt;2. Insira o BL no campo informado;&lt;/p&gt;
&lt;p&gt; &lt;/p&gt;
&lt;p&gt; &lt;/p&gt;
&lt;p&gt;3. Ou você pode clicar em mais filtros e informar o CE, por exemplo.&lt;/p&gt;
&lt;p&gt; &lt;/p&gt;
&lt;p&gt; &lt;/p&gt;
&lt;p&gt; &lt;/p&gt;
&lt;p&gt; &lt;/p&gt;
&lt;p&gt; &lt;/p&gt;</t>
  </si>
  <si>
    <t>https://wilsonsons.zendesk.com/api/v2/help_center/pt-br/articles/115012866147.json</t>
  </si>
  <si>
    <t>https://atendimento.teconsvonline.com.br/hc/pt-br/articles/115012866147-Como-solicitar-meu-acesso-ao-Portal-do-Cliente</t>
  </si>
  <si>
    <t>Como solicitar meu acesso ao Portal do Cliente?</t>
  </si>
  <si>
    <t>['cadastro', 'portal', 'acesso', 'não tenho cadastro', 'login']</t>
  </si>
  <si>
    <t>&lt;div&gt;&lt;img src="https://ci6.googleusercontent.com/proxy/5TxFner32D5F0E1Jdc_nfGyCpQyJJncdQj-JmP_qo2RisoJrTYiTLsx2zp_akllVwaCpgcjjxZJu6GtMfunTobP3w5RZl0a6FqMHyi7M3sa1J0n36jhHbnvKS0eJnv-CQq2NK4aOauctfz8pM2M9ypyPuKHhOxNvr6JUPiwUgPDOZyx8yupWGna_EWdUglfClj6Jnx-Ffdd-uD4U4w=s0-d-e1-ft#https://docs.google.com/uc?export=download&amp;amp;id=1EB-2n0c226tJZ4Q0D2c7yCUNyeEx7PrR&amp;amp;revid=0B_Kjl_toyyUXUFcxNGZXdzdQZDdvSWYvVUthdlk4Ykl5eW5NPQ"/&gt;&lt;/div&gt;
&lt;div&gt;&lt;font face="arial, sans-serif"&gt;&lt;u&gt;                                                                                                                                                               &lt;/u&gt;&lt;/font&gt;&lt;/div&gt;
&lt;div&gt;
&lt;p&gt;Para solicitar login e senha de acesso ao nosso sistema, é bem fácil! &lt;br/&gt;Siga estes passos:😉&lt;/p&gt;
&lt;/div&gt;
&lt;p&gt;Acesse o nosso Portal do Cliente através do link: &lt;a href="https://portal.teconsvonline.com.br"&gt;https://portal.teconsvonline.com.br&lt;/a&gt;&lt;br/&gt;​1°) No canto superior direito do site, na parte de acesso, clique em "Cadastre-se!&lt;/p&gt;
&lt;p&gt;&lt;img alt="mceclip3.png" src="https://atendimento.teconsvonline.com.br/hc/article_attachments/360093244192"/&gt;&lt;/p&gt;
&lt;p&gt;2º) Leia nosso termo de adesão e clique em "Li e aceito os termos" &lt;br/&gt;&lt;img src="https://atendimento.teconsvonline.com.br/hc/article_attachments/34796097870477"/&gt;&lt;/p&gt;
&lt;p&gt;3º) Preencha a razão social e em seguida os demais dados solicitados. &lt;/p&gt;
&lt;p&gt;4°) No canto inferior direto da tela clique em "SALVAR"&lt;/p&gt;
&lt;p&gt;&lt;img src="https://atendimento.teconsvonline.com.br/hc/article_attachments/34796089430669"/&gt;&lt;/p&gt;
&lt;p&gt;5°) Uma caixa com a confirmação do cadastro deve aparecer na tela, após, entre em contato conosco para aprovação do cadastro no banco de dados.&lt;/p&gt;
&lt;p&gt;Segue abaixo nossos contatos:&lt;/p&gt;
&lt;p&gt;E-mail: &lt;a href="mailto:atendimento.tcsv@wilsonsons.com.br"&gt;atendimento.tcsv@wilsonsons.com.br&lt;/a&gt;&lt;br/&gt;Telefone/Whatsapp: 55 71 2106-1500 &lt;/p&gt;
&lt;p&gt;&lt;strong&gt;&lt;span&gt;&lt;img height="52" src="https://lh3.googleusercontent.com/3avJ20VJHKCxTDSBbCDb6MqfzkZDZs5-KolgJvIK-ZTcAjxg6IcZ_HI0yhrmEbt6P1uNKI0Sbr36_1aK818Qr_jH3F2jWa0tSjb4279PflSLKCEMBLE6BfyXFPnDTy6oyF5yjxxqItM" width="46"/&gt;&lt;/span&gt; &lt;span&gt;Atenção:&lt;/span&gt;&lt;/strong&gt;&lt;/p&gt;
&lt;p&gt;No campo perfil, escolha a opção correspondente à sua categoria (despachante, transportador, etc.).&lt;/p&gt;
&lt;p&gt;Se você for um despachante, é importante enviar as procurações dos clientes para vinculação do perfil.&lt;/p&gt;
&lt;p&gt;&lt;span&gt;&lt;a href="https://atendimento.teconsvonline.com.br/hc/pt-br/articles/360048461712-Como-solicitar-o-cadastro-da-minha-empresa"&gt;Se a sua empresa não possui cadastro no Tecon&lt;/a&gt;, utilize o opção "Não possui cadastro no Tecon? Clique aqui"&lt;/span&gt;&lt;/p&gt;
&lt;p&gt;Caso não receba os dados de acesso ou enfrente algum problema, entre em contato conosco. Estamos à disposição para ajudar!&lt;/p&gt;
&lt;p&gt; &lt;/p&gt;
&lt;p&gt; &lt;/p&gt;
&lt;p&gt; &lt;/p&gt;
&lt;p&gt; &lt;/p&gt;
&lt;p&gt; &lt;/p&gt;
&lt;p&gt; &lt;/p&gt;
&lt;p&gt; &lt;/p&gt;</t>
  </si>
  <si>
    <t>https://wilsonsonstrg.zendesk.com/api/v2/help_center/pt-br/articles/46580151525773.json</t>
  </si>
  <si>
    <t>https://atendimento.teconline.com.br/hc/pt-br/articles/46580151525773-N%C3%A3o-perca-nossos-comunicados-Mantenha-os-contatos-da-sua-equipe-atualizados</t>
  </si>
  <si>
    <t>Rodrigo Fucolo</t>
  </si>
  <si>
    <t>Wilsons Sons - Tecon RG</t>
  </si>
  <si>
    <t>Procedimentos</t>
  </si>
  <si>
    <t>Não perca nossos comunicados: Mantenha os contatos da sua equipe atualizados</t>
  </si>
  <si>
    <t>['01KTW03P6GXY5161RW2K14Q7WQ']</t>
  </si>
  <si>
    <t>['comunicados']</t>
  </si>
  <si>
    <t>&lt;!-- Facebook sharing information tags --&gt;
&lt;table border="0" cellpadding="0" cellspacing="0" width="100%"&gt;
&lt;tbody&gt;
&lt;tr&gt;
&lt;td align="center" valign="top"&gt;
&lt;!-- // Begin Template Preheader \ --&gt;&lt;table border="0" cellpadding="10" cellspacing="0" width="600"&gt;
&lt;tbody&gt;
&lt;tr&gt;
&lt;td valign="top"&gt;
&lt;!-- // Begin Module: Standard Preheader  --&gt;&lt;table border="0" cellpadding="10" cellspacing="0" width="100%"&gt;
&lt;tbody&gt;
&lt;tr&gt;
&lt;td valign="top"&gt;
&lt;div&gt;
&lt;div&gt;&lt;em&gt;&lt;span&gt;&lt;span&gt;&lt;span&gt;&lt;span&gt;&lt;span&gt;&lt;span&gt;&lt;span&gt;&lt;span&gt;Chegou sua atualização de informações importantes do Tecon Rio Grande.&lt;/span&gt;&lt;/span&gt;&lt;/span&gt;&lt;/span&gt;&lt;/span&gt;&lt;/span&gt;&lt;/span&gt;&lt;/span&gt;&lt;/em&gt;&lt;/div&gt;
&lt;/div&gt;
&lt;/td&gt;
&lt;td valign="top"&gt;
&lt;div&gt;
&lt;div&gt;&lt;span&gt;&lt;span&gt;&lt;span&gt;&lt;span&gt;&lt;span&gt;&lt;span&gt;&lt;span&gt;&lt;span&gt;&lt;span&gt;&lt;span&gt;&lt;span&gt;&lt;span&gt;Que tal visualizar este e-mail &lt;/span&gt;&lt;/span&gt;&lt;/span&gt;&lt;/span&gt;&lt;/span&gt;&lt;/span&gt;&lt;/span&gt;&lt;/span&gt;&lt;/span&gt;&lt;/span&gt;&lt;br/&gt;
&lt;a href="https://go.pardot.com/webmail/845693/2440350450/304a9ca59a8fa63671ee8b87ddf4f7e1c46617447bf66ce1b0ce6c2876542893" target="_blank"&gt;&lt;span&gt;&lt;span&gt;&lt;span&gt;&lt;span&gt;&lt;span&gt;&lt;span&gt;&lt;span&gt;&lt;span&gt;&lt;span&gt;&lt;span&gt;em seu navegador&lt;/span&gt;&lt;/span&gt;&lt;/span&gt;&lt;/span&gt;&lt;/span&gt;&lt;/span&gt;&lt;/span&gt;&lt;/span&gt;&lt;/span&gt;&lt;/span&gt;&lt;/a&gt;&lt;/span&gt;&lt;/span&gt;&lt;/div&gt;
&lt;/div&gt;
&lt;/td&gt;
&lt;/tr&gt;
&lt;/tbody&gt;
&lt;/table&gt;
&lt;!-- // End Module: Standard Preheader  --&gt;
&lt;/td&gt;
&lt;/tr&gt;
&lt;/tbody&gt;
&lt;/table&gt;
&lt;!-- // End Template Preheader \ --&gt;&lt;table border="0" cellpadding="0" cellspacing="0" width="600"&gt;
&lt;tbody&gt;
&lt;tr&gt;
&lt;td align="center" valign="top"&gt;
&lt;!-- // Begin Template Header \ --&gt;&lt;table border="0" cellpadding="0" cellspacing="0" width="600"&gt;
&lt;tbody&gt;
&lt;tr&gt;
&lt;td&gt; 
                                                                        &lt;div&gt;
&lt;img alt="TECON RIO GRANDE COMUNICA: Importante!" height="327" src="http://go.pardot.com/l/845693/2022-04-04/nqrsf9/845693/1649076412AVPdnGQ3/TC_IMPORTANTE_v2.jpg" width="600"/&gt;&lt;br/&gt;
&lt;!-- // End Module: Standard Header Image \ --&gt;
&lt;/div&gt;
&lt;/td&gt;
&lt;/tr&gt;
&lt;/tbody&gt;
&lt;/table&gt;
&lt;!-- // End Template Header \ --&gt;
&lt;/td&gt;
&lt;/tr&gt;
&lt;tr&gt;
&lt;td align="center" valign="top"&gt;
&lt;!-- // Begin Template Body \ --&gt;&lt;table border="0" cellpadding="0" cellspacing="0" width="600"&gt;
&lt;tbody&gt;
&lt;tr&gt;
&lt;td valign="top"&gt;
&lt;!-- // Begin Module: Standard Postcard Content \ --&gt;&lt;table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0018/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10 de Junho de
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&lt;p&gt;&lt;span&gt;&lt;span&gt;&lt;strong&gt;Não perca nossos comunicados:&lt;br/&gt;
                                                                        Mantenha os contatos da sua equipe atualizados&lt;/strong&gt;&lt;/span&gt;&lt;/span&gt;&lt;/p&gt;
&lt;hr/&gt;
&lt;p&gt;&lt;br/&gt;
&lt;span&gt;&lt;span&gt;Prezado Cliente,&lt;/span&gt;&lt;/span&gt;&lt;/p&gt;
&lt;div&gt;&lt;span&gt;&lt;span&gt;Para garantir o recebimento de &lt;strong&gt;informações importantes&lt;/strong&gt; sobre o terminal, é fundamental que seus contatos estejam sempre atualizados.&lt;/span&gt;&lt;/span&gt;&lt;/div&gt;
&lt;p&gt;&lt;span&gt;&lt;span&gt;Sempre que houver entrada de &lt;strong&gt;novos colaboradores&lt;/strong&gt;, &lt;strong&gt;desligamentos&lt;/strong&gt; &lt;strong&gt;ou alterações de e-mail&lt;/strong&gt; em sua empresa, pedimos que atualize seu cadastro conosco.&lt;/span&gt;&lt;/span&gt;&lt;/p&gt;
&lt;p&gt;&lt;span&gt;&lt;span&gt;Assim, garantimos que nossas comunicações cheguem aos responsáveis corretos, de forma ágil.&lt;/span&gt;&lt;/span&gt;&lt;/p&gt;
&lt;p&gt;&lt;span&gt;&lt;span&gt;Houve alguma alteração em seus contatos? Acesse o link abaixo.&lt;/span&gt;&lt;/span&gt;&lt;br/&gt;
&lt;br/&gt;
&lt;span&gt;&lt;span&gt;&lt;a href="https://go.pardot.com/e/845693/X5DMkNTWxknR6CfZ8/qt9vk7/2440350450/h/XXbbSQT_dhHYlEw8bcfHbsedPucwK5DWKGagNF4fR2I"&gt;Quero atualizar meus contatos&lt;br/&gt;
                                                                        ​​​​​&lt;/a&gt;&lt;/span&gt;&lt;/span&gt;&lt;br/&gt;
&lt;span&gt;&lt;span&gt;Contamos com você nesta jornada!&lt;br/&gt;
&lt;br/&gt;
                                                                        E&lt;/span&gt;&lt;/span&gt;&lt;span&gt;&lt;span&gt;m caso de dúvidas, estamos à disposição em nossos canais de atendimento.&lt;/span&gt;&lt;/span&gt;&lt;/p&gt;
&lt;p&gt; &lt;/p&gt;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&lt;span&gt;&lt;span&gt;&lt;span&gt;&lt;strong&gt;&lt;span&gt;&lt;span&gt;&lt;span&gt;&lt;span&gt;&lt;span&gt;&lt;span&gt;&lt;span&gt;&lt;span&gt;&lt;span&gt;&lt;span&gt;&lt;span&gt;&lt;span&gt;Central de Atendimento&lt;/span&gt;&lt;/span&gt;&lt;/span&gt;&lt;/span&gt;&lt;/span&gt;&lt;/span&gt;&lt;/span&gt;&lt;/span&gt;&lt;/span&gt;&lt;/span&gt;&lt;/span&gt;&lt;/span&gt;&lt;/strong&gt;&lt;/span&gt;&lt;/span&gt;&lt;br/&gt;
&lt;span&gt;&lt;span&gt;&lt;span&gt;&lt;span&gt;&lt;span&gt;&lt;span&gt;&lt;span&gt;&lt;span&gt;&lt;span&gt;&lt;span&gt;&lt;span&gt;&lt;span&gt;&lt;span&gt;&lt;span&gt;+55 53 3234.3030 | &lt;/span&gt;&lt;/span&gt;&lt;/span&gt;&lt;/span&gt;&lt;/span&gt;&lt;/span&gt;&lt;/span&gt;&lt;/span&gt;&lt;/span&gt;&lt;/span&gt;&lt;/span&gt;&lt;span&gt;&lt;span&gt;&lt;span&gt;&lt;span&gt;&lt;span&gt;&lt;span&gt;&lt;span&gt;&lt;span&gt;&lt;span&gt;&lt;span&gt;&lt;span&gt;atendimento.tcrg@wilsonsons.com.br&lt;/span&gt;&lt;/span&gt;&lt;/span&gt;&lt;/span&gt;&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--&gt;&lt;table border="0" cellpadding="10" cellspacing="0" width="600"&gt;
&lt;tbody&gt;
&lt;tr&gt;
&lt;td valign="top"&gt;
&lt;!-- // Begin Module: Standard Footer \ --&gt;&lt;table border="0" cellpadding="10" cellspacing="0" width="100%"&gt;
&lt;tbody&gt;
&lt;tr&gt;
&lt;td colspan="2" valign="middle"&gt;
&lt;div&gt;
&lt;a href="https://go.pardot.com/e/845693/company-wilsonsons-/qt9vjx/2440350450/h/XXbbSQT_dhHYlEw8bcfHbsedPucwK5DWKGagNF4fR2I" target="_blank"&gt;&lt;img alt="Clique neste botão e acesse o Linkedin da Wilson Sons" src="http://go.pardot.com/l/845693/2021-05-17/mx34b8/845693/16212710282JcZGAjm/linkedin.png"/&gt;&lt;/a&gt;  &lt;a href="https://go.pardot.com/e/845693/wilsonsons-/qt9vk1/2440350450/h/XXbbSQT_dhHYlEw8bcfHbsedPucwK5DWKGagNF4fR2I" target="_blank"&gt;&lt;img alt="Clique neste botão e acesse o Instagram da Wilson Sons" src="http://go.pardot.com/l/845693/2021-05-17/mx34bq/845693/1621271119Oyp26fjp/instagram.png"/&gt;&lt;/a&gt;  &lt;a href="https://go.pardot.com/e/845693/user-WilsonSonsir/qt9vk4/2440350450/h/XXbbSQT_dhHYlEw8bcfHbsedPucwK5DWKGagNF4fR2I" target="_blank"&gt;&lt;img alt="Clique neste botão e acesse o Youtube da Wilson Sons" height="30" src="https://go.pardot.com/l/845693/2022-01-31/nfsnc7/845693/1643652125L2Snvvw4/youtube.png" width="30"/&gt;&lt;/a&gt;
&lt;/div&gt;
&lt;/td&gt;
&lt;/tr&gt;
&lt;tr&gt;
&lt;td valign="top"&gt;
&lt;div&gt;
&lt;div&gt;
&lt;em&gt;&lt;span&gt;&lt;span&gt;&lt;span&gt;&lt;span&gt;&lt;span&gt;&lt;span&gt;&lt;span&gt;&lt;span&gt;&lt;span&gt;&lt;span&gt;&lt;span&gt;&lt;span&gt;&lt;span&gt;&lt;span&gt;&lt;span&gt;&lt;span&gt;&lt;span&gt;&lt;span&gt;&lt;span&gt;&lt;span&gt;&lt;span&gt;&lt;span&gt;Copyright © 2026, Todos os direitos reservados. &lt;/span&gt;&lt;/span&gt;&lt;/span&gt;&lt;/span&gt;&lt;/span&gt;&lt;/span&gt;&lt;/span&gt;&lt;/span&gt;&lt;/span&gt;&lt;/span&gt;&lt;/span&gt;&lt;/span&gt;&lt;/span&gt;&lt;/span&gt;&lt;/span&gt;&lt;/span&gt;&lt;/span&gt;&lt;/span&gt;&lt;/span&gt;&lt;/span&gt;&lt;/span&gt;&lt;/span&gt;&lt;/em&gt;&lt;br/&gt;
&lt;span&gt;&lt;a href="https://go.pardot.com/unsubscribe/u/845693/304a9ca59a8fa63671ee8b87ddf4f7e1c46617447bf66ce1b0ce6c2876542893/2440350450"&gt;&lt;span&gt;&lt;span&gt;&lt;span&gt;&lt;span&gt;&lt;span&gt;&lt;span&gt;&lt;span&gt;&lt;span&gt;&lt;span&gt;&lt;span&gt;cancelar a assinatura de todos os e-mails&lt;/span&gt;&lt;/span&gt;&lt;/span&gt;&lt;/span&gt;&lt;/span&gt;&lt;/span&gt;&lt;/span&gt;&lt;/span&gt;&lt;/span&gt;&lt;/span&gt;&lt;/a&gt;&lt;span&gt;&lt;span&gt;&lt;span&gt;&lt;span&gt;&lt;span&gt;&lt;span&gt;&lt;span&gt;&lt;span&gt;&lt;span&gt;&lt;span&gt;| &lt;/span&gt;&lt;/span&gt;&lt;/span&gt;&lt;/span&gt;&lt;/span&gt;&lt;/span&gt;&lt;/span&gt;&lt;/span&gt;&lt;/span&gt;&lt;/span&gt;&lt;a href="https://go.pardot.com/emailPreference/epc/845693/J3JbQ-lJpGipTZqvoJGnmYWaAFn2uZKJqT9BkTyWDuk/304a9ca59a8fa63671ee8b87ddf4f7e1c46617447bf66ce1b0ce6c2876542893/2440350450"&gt;&lt;span&gt;&lt;span&gt;&lt;span&gt;&lt;span&gt;&lt;span&gt;&lt;span&gt;&lt;span&gt;&lt;span&gt;&lt;span&gt;&lt;span&gt;atualizar dados de assinatura&lt;/span&gt;&lt;/span&gt;&lt;/span&gt;&lt;/span&gt;&lt;/span&gt;&lt;/span&gt;&lt;/span&gt;&lt;/span&gt;&lt;/span&gt;&lt;/span&gt;&lt;/a&gt;&lt;/span&gt;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</si>
  <si>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https://wilsonsonstrg.zendesk.com/api/v2/help_center/pt-br/articles/45969746240653.json</t>
  </si>
  <si>
    <t>https://atendimento.teconline.com.br/hc/pt-br/articles/45969746240653-19-05-2026-Comunicado-Importante-Reprograma%C3%A7%C3%A3o-Agendamento-SMS</t>
  </si>
  <si>
    <t>Roger Kisner</t>
  </si>
  <si>
    <t>19/05/2026 - [Comunicado Importante] - Reprogramação Agendamento | SMS</t>
  </si>
  <si>
    <t>['01GPY217SSC5MP9PMEN97RPEVN']</t>
  </si>
  <si>
    <t>['Agendamento']</t>
  </si>
  <si>
    <t>&lt;div&gt;&lt;img height="1068" src="https://atendimento.teconline.com.br/hc/article_attachments/45969835053453" width="504"/&gt;&lt;/div&gt;</t>
  </si>
  <si>
    <t>https://wilsonsonstrg.zendesk.com/api/v2/help_center/pt-br/articles/45969542413965.json</t>
  </si>
  <si>
    <t>https://atendimento.teconline.com.br/hc/pt-br/articles/45969542413965-Reprograma%C3%A7%C3%A3o-Agendamento-SMS</t>
  </si>
  <si>
    <t>Reprogramação Agendamento | SMS</t>
  </si>
  <si>
    <t>['01GPY217SSC5MP9PMEN97RPEVN', '01HE3FXMQ3DS1HGTC2579RS7P4', '01KS043NT95CM6V576W89MMB60', '01KS048DFZ0DVVVDYSBZKN88FZ']</t>
  </si>
  <si>
    <t>&lt;!-- Facebook sharing information tags --&gt;
&lt;table border="0" cellpadding="0" cellspacing="0" width="100%"&gt;
&lt;tbody&gt;
&lt;tr&gt;
&lt;td align="center" valign="top"&gt;
&lt;!-- // Begin Template Preheader \ --&gt;&lt;table border="0" cellpadding="10" cellspacing="0" width="600"&gt;
&lt;tbody&gt;
&lt;tr&gt;
&lt;td valign="top"&gt;
&lt;!-- // Begin Module: Standard Preheader  --&gt;&lt;table border="0" cellpadding="10" cellspacing="0" width="100%"&gt;
&lt;tbody&gt;
&lt;tr&gt;
&lt;td valign="top"&gt;
&lt;div&gt;
&lt;div&gt;&lt;em&gt;&lt;span&gt;&lt;span&gt;&lt;span&gt;&lt;span&gt;&lt;span&gt;&lt;span&gt;&lt;span&gt;&lt;span&gt;Chegou sua atualização de informações importantes do Tecon Rio Grande.&lt;/span&gt;&lt;/span&gt;&lt;/span&gt;&lt;/span&gt;&lt;/span&gt;&lt;/span&gt;&lt;/span&gt;&lt;/span&gt;&lt;/em&gt;&lt;/div&gt;
&lt;/div&gt;
&lt;/td&gt;
&lt;td valign="top"&gt;
&lt;div&gt;
&lt;div&gt;&lt;span&gt;&lt;span&gt;&lt;span&gt;&lt;span&gt;&lt;span&gt;&lt;span&gt;&lt;span&gt;&lt;span&gt;&lt;span&gt;&lt;span&gt;&lt;span&gt;&lt;span&gt;Que tal visualizar este e-mail &lt;/span&gt;&lt;/span&gt;&lt;/span&gt;&lt;/span&gt;&lt;/span&gt;&lt;/span&gt;&lt;/span&gt;&lt;/span&gt;&lt;/span&gt;&lt;/span&gt;&lt;br/&gt;
&lt;a href="https://go.pardot.com/webmail/845693/2423204731/bf3fbdd3ee0c42575433546c29a2d97609b25f4197bdab5a6d0c11229507dad0" target="_blank"&gt;&lt;span&gt;&lt;span&gt;&lt;span&gt;&lt;span&gt;&lt;span&gt;&lt;span&gt;&lt;span&gt;&lt;span&gt;&lt;span&gt;&lt;span&gt;em seu navegador&lt;/span&gt;&lt;/span&gt;&lt;/span&gt;&lt;/span&gt;&lt;/span&gt;&lt;/span&gt;&lt;/span&gt;&lt;/span&gt;&lt;/span&gt;&lt;/span&gt;&lt;/a&gt;&lt;/span&gt;&lt;/span&gt;&lt;/div&gt;
&lt;/div&gt;
&lt;/td&gt;
&lt;/tr&gt;
&lt;/tbody&gt;
&lt;/table&gt;
&lt;!-- // End Module: Standard Preheader  --&gt;
&lt;/td&gt;
&lt;/tr&gt;
&lt;/tbody&gt;
&lt;/table&gt;
&lt;!-- // End Template Preheader \ --&gt;&lt;table border="0" cellpadding="0" cellspacing="0" width="600"&gt;
&lt;tbody&gt;
&lt;tr&gt;
&lt;td align="center" valign="top"&gt;
&lt;!-- // Begin Template Header \ --&gt;&lt;table border="0" cellpadding="0" cellspacing="0" width="600"&gt;
&lt;tbody&gt;
&lt;tr&gt;
&lt;td&gt; 
									&lt;div&gt;
&lt;img alt="TECON RIO GRANDE COMUNICA: Importante!" height="327" src="http://go.pardot.com/l/845693/2022-04-04/nqrsf9/845693/1649076412AVPdnGQ3/TC_IMPORTANTE_v2.jpg" width="600"/&gt;&lt;br/&gt;
&lt;!-- // End Module: Standard Header Image \ --&gt;
&lt;/div&gt;
&lt;/td&gt;
&lt;/tr&gt;
&lt;/tbody&gt;
&lt;/table&gt;
&lt;!-- // End Template Header \ --&gt;
&lt;/td&gt;
&lt;/tr&gt;
&lt;tr&gt;
&lt;td align="center" valign="top"&gt;
&lt;!-- // Begin Template Body \ --&gt;&lt;table border="0" cellpadding="0" cellspacing="0" width="600"&gt;
&lt;tbody&gt;
&lt;tr&gt;
&lt;td valign="top"&gt;
&lt;!-- // Begin Module: Standard Postcard Content \ --&gt;&lt;table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0015/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19 de Maio de
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&lt;p&gt;&lt;span&gt;&lt;span&gt;&lt;strong&gt;Reprogramação Agendamento | SMS&lt;/strong&gt;&lt;/span&gt;&lt;/span&gt;&lt;/p&gt;
&lt;hr/&gt;
&lt;p&gt;&lt;br/&gt;
&lt;span&gt;&lt;span&gt;&lt;span&gt;Olá motoristas!&lt;/span&gt;&lt;/span&gt;&lt;/span&gt;&lt;/p&gt;
&lt;p&gt;&lt;span&gt;&lt;span&gt;A partir do dia 01/06/2026, você passará a receber &lt;strong&gt;notificações via SMS&lt;/strong&gt; sempre que. em casos de imprevistos operacionais, houver &lt;strong&gt;alterações no horário&lt;/strong&gt; do seu agendamento de container.&lt;br/&gt;
&lt;br/&gt;
									Com essa funcionalidade, buscamos agilizar a comunicação e garantir que você seja informado rapidamente sobre qualquer mudança na sua programação.&lt;br/&gt;
&lt;br/&gt;
&lt;span&gt;&lt;strong&gt;Importante:&lt;/strong&gt;&lt;/span&gt; Para garantir o recebimento dessas mensagens, mantenha  seus dados atualizados. Solicitamos que atualize seu cadastro pelo &lt;strong&gt;WhatsApp do Atendimento: (53) 3234-3030.&lt;/strong&gt;&lt;/span&gt;&lt;/span&gt;&lt;/p&gt;
									​​​&lt;span&gt;&lt;span&gt;Qualquer dúvida estamos à disposição em nossos Canais de Atendimento.&lt;/span&gt;&lt;/span&gt;
&lt;p&gt; &lt;/p&gt;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&lt;span&gt;&lt;span&gt;&lt;span&gt;&lt;strong&gt;&lt;span&gt;&lt;span&gt;&lt;span&gt;&lt;span&gt;&lt;span&gt;&lt;span&gt;&lt;span&gt;&lt;span&gt;&lt;span&gt;&lt;span&gt;&lt;span&gt;&lt;span&gt;Central de Atendimento&lt;/span&gt;&lt;/span&gt;&lt;/span&gt;&lt;/span&gt;&lt;/span&gt;&lt;/span&gt;&lt;/span&gt;&lt;/span&gt;&lt;/span&gt;&lt;/span&gt;&lt;/span&gt;&lt;/span&gt;&lt;/strong&gt;&lt;/span&gt;&lt;/span&gt;&lt;br/&gt;
&lt;span&gt;&lt;span&gt;&lt;span&gt;&lt;span&gt;&lt;span&gt;&lt;span&gt;&lt;span&gt;&lt;span&gt;&lt;span&gt;&lt;span&gt;&lt;span&gt;&lt;span&gt;&lt;span&gt;&lt;span&gt;+55 53 3234.3030 | &lt;/span&gt;&lt;/span&gt;&lt;/span&gt;&lt;/span&gt;&lt;/span&gt;&lt;/span&gt;&lt;/span&gt;&lt;/span&gt;&lt;/span&gt;&lt;/span&gt;&lt;/span&gt;&lt;span&gt;&lt;span&gt;&lt;span&gt;&lt;span&gt;&lt;span&gt;&lt;span&gt;&lt;span&gt;&lt;span&gt;&lt;span&gt;&lt;span&gt;&lt;span&gt;atendimento.tcrg@wilsonsons.com.br&lt;/span&gt;&lt;/span&gt;&lt;/span&gt;&lt;/span&gt;&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--&gt;&lt;table border="0" cellpadding="10" cellspacing="0" width="600"&gt;
&lt;tbody&gt;
&lt;tr&gt;
&lt;td valign="top"&gt;
&lt;!-- // Begin Module: Standard Footer \ --&gt;&lt;table border="0" cellpadding="10" cellspacing="0" width="100%"&gt;
&lt;tbody&gt;
&lt;tr&gt;
&lt;td colspan="2" valign="middle"&gt;
&lt;div&gt;
&lt;a href="https://go.pardot.com/e/845693/company-wilsonsons-/qsmfpr/2423204731/h/37Ullf_YPocSWoI-9-z1X5KGv_lnapxhudgKuVdPxvw" target="_blank"&gt;&lt;img alt="Clique neste botão e acesse o Linkedin da Wilson Sons" src="http://go.pardot.com/l/845693/2021-05-17/mx34b8/845693/16212710282JcZGAjm/linkedin.png"/&gt;&lt;/a&gt;  &lt;a href="https://go.pardot.com/e/845693/wilsonsons-/qsmfpv/2423204731/h/37Ullf_YPocSWoI-9-z1X5KGv_lnapxhudgKuVdPxvw" target="_blank"&gt;&lt;img alt="Clique neste botão e acesse o Instagram da Wilson Sons" src="http://go.pardot.com/l/845693/2021-05-17/mx34bq/845693/1621271119Oyp26fjp/instagram.png"/&gt;&lt;/a&gt;  &lt;a href="https://go.pardot.com/e/845693/user-WilsonSonsir/qsmfpy/2423204731/h/37Ullf_YPocSWoI-9-z1X5KGv_lnapxhudgKuVdPxvw" target="_blank"&gt;&lt;img alt="Clique neste botão e acesse o Youtube da Wilson Sons" height="30" src="https://go.pardot.com/l/845693/2022-01-31/nfsnc7/845693/1643652125L2Snvvw4/youtube.png" width="30"/&gt;&lt;/a&gt;
&lt;/div&gt;
&lt;/td&gt;
&lt;/tr&gt;
&lt;tr&gt;
&lt;td valign="top"&gt;
&lt;div&gt;
&lt;div&gt;
&lt;em&gt;&lt;span&gt;&lt;span&gt;&lt;span&gt;&lt;span&gt;&lt;span&gt;&lt;span&gt;&lt;span&gt;&lt;span&gt;&lt;span&gt;&lt;span&gt;&lt;span&gt;&lt;span&gt;&lt;span&gt;&lt;span&gt;&lt;span&gt;&lt;span&gt;&lt;span&gt;&lt;span&gt;&lt;span&gt;&lt;span&gt;&lt;span&gt;&lt;span&gt;Copyright © 2026, Todos os direitos reservados. &lt;/span&gt;&lt;/span&gt;&lt;/span&gt;&lt;/span&gt;&lt;/span&gt;&lt;/span&gt;&lt;/span&gt;&lt;/span&gt;&lt;/span&gt;&lt;/span&gt;&lt;/span&gt;&lt;/span&gt;&lt;/span&gt;&lt;/span&gt;&lt;/span&gt;&lt;/span&gt;&lt;/span&gt;&lt;/span&gt;&lt;/span&gt;&lt;/span&gt;&lt;/span&gt;&lt;/span&gt;&lt;/em&gt;&lt;br/&gt;
&lt;span&gt;&lt;a href="https://go.pardot.com/unsubscribe/u/845693/bf3fbdd3ee0c42575433546c29a2d97609b25f4197bdab5a6d0c11229507dad0/2423204731"&gt;&lt;span&gt;&lt;span&gt;&lt;span&gt;&lt;span&gt;&lt;span&gt;&lt;span&gt;&lt;span&gt;&lt;span&gt;&lt;span&gt;&lt;span&gt;cancelar a assinatura de todos os e-mails&lt;/span&gt;&lt;/span&gt;&lt;/span&gt;&lt;/span&gt;&lt;/span&gt;&lt;/span&gt;&lt;/span&gt;&lt;/span&gt;&lt;/span&gt;&lt;/span&gt;&lt;/a&gt;&lt;span&gt;&lt;span&gt;&lt;span&gt;&lt;span&gt;&lt;span&gt;&lt;span&gt;&lt;span&gt;&lt;span&gt;&lt;span&gt;&lt;span&gt;| &lt;/span&gt;&lt;/span&gt;&lt;/span&gt;&lt;/span&gt;&lt;/span&gt;&lt;/span&gt;&lt;/span&gt;&lt;/span&gt;&lt;/span&gt;&lt;/span&gt;&lt;a href="https://go.pardot.com/emailPreference/epc/845693/1o9QAnFFNSaomcCYH0GuzWTOWltJPRzyr1oBtuNjEzU/bf3fbdd3ee0c42575433546c29a2d97609b25f4197bdab5a6d0c11229507dad0/2423204731"&gt;&lt;span&gt;&lt;span&gt;&lt;span&gt;&lt;span&gt;&lt;span&gt;&lt;span&gt;&lt;span&gt;&lt;span&gt;&lt;span&gt;&lt;span&gt;atualizar dados de assinatura&lt;/span&gt;&lt;/span&gt;&lt;/span&gt;&lt;/span&gt;&lt;/span&gt;&lt;/span&gt;&lt;/span&gt;&lt;/span&gt;&lt;/span&gt;&lt;/span&gt;&lt;/a&gt;&lt;/span&gt;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</si>
  <si>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https://wilsonsonstrg.zendesk.com/api/v2/help_center/pt-br/articles/45640367424525.json</t>
  </si>
  <si>
    <t>https://atendimento.teconline.com.br/hc/pt-br/articles/45640367424525-VOC%C3%8A-PEDIU-Novo-prazo-para-certificados-de-aera%C3%A7%C3%A3o</t>
  </si>
  <si>
    <t>VOCÊ PEDIU: Novo prazo para certificados de aeração</t>
  </si>
  <si>
    <t>['01KQYPB46HHMCV1W90J2AB5E1M', '01KQYPBHAWRJR0BY62JZCR4PR8', '01KQYPBV7PC2C2096QPRXRDXK6']</t>
  </si>
  <si>
    <t>&lt;!-- Facebook sharing information tags --&gt;
&lt;table border="0" cellpadding="0" cellspacing="0" width="100%"&gt;
&lt;tbody&gt;
&lt;tr&gt;
&lt;td align="center" valign="top"&gt;
&lt;!-- // Begin Template Preheader \ --&gt;&lt;table border="0" cellpadding="10" cellspacing="0" width="600"&gt;
&lt;tbody&gt;
&lt;tr&gt;
&lt;td valign="top"&gt;
&lt;!-- // Begin Module: Standard Preheader  --&gt;&lt;table border="0" cellpadding="10" cellspacing="0" width="100%"&gt;
&lt;tbody&gt;
&lt;tr&gt;
&lt;td valign="top"&gt;
&lt;div&gt;
&lt;div&gt;&lt;em&gt;&lt;span&gt;&lt;span&gt;&lt;span&gt;&lt;span&gt;&lt;span&gt;&lt;span&gt;Chegou a melhoria que você pediu!&lt;br/&gt;
									Mais eficiência no atendimento.&lt;/span&gt;&lt;/span&gt;&lt;/span&gt;&lt;/span&gt;&lt;/span&gt;&lt;/span&gt;&lt;/em&gt;&lt;/div&gt;
&lt;/div&gt;
&lt;/td&gt;
&lt;td valign="top"&gt;
&lt;div&gt;
&lt;div&gt;&lt;span&gt;&lt;span&gt;&lt;span&gt;&lt;span&gt;&lt;span&gt;&lt;span&gt;&lt;span&gt;&lt;span&gt;&lt;span&gt;&lt;span&gt;Que tal visualizar este e-mail &lt;/span&gt;&lt;/span&gt;&lt;/span&gt;&lt;/span&gt;&lt;/span&gt;&lt;/span&gt;&lt;/span&gt;&lt;/span&gt;&lt;br/&gt;
&lt;a href="https://go.pardot.com/webmail/845693/2412717477/484c7bb6162933b912f482b9cecc1e33883e91af91ae3379f130fd157e09a0fc" target="_blank"&gt;&lt;span&gt;&lt;span&gt;&lt;span&gt;&lt;span&gt;&lt;span&gt;&lt;span&gt;&lt;span&gt;&lt;span&gt;em seu navegador&lt;/span&gt;&lt;/span&gt;&lt;/span&gt;&lt;/span&gt;&lt;/span&gt;&lt;/span&gt;&lt;/span&gt;&lt;/span&gt;&lt;/a&gt;&lt;/span&gt;&lt;/span&gt;&lt;/div&gt;
&lt;/div&gt;
&lt;/td&gt;
&lt;/tr&gt;
&lt;/tbody&gt;
&lt;/table&gt;
&lt;!-- // End Module: Standard Preheader  --&gt;
&lt;/td&gt;
&lt;/tr&gt;
&lt;/tbody&gt;
&lt;/table&gt;
&lt;!-- // End Template Preheader \ --&gt;&lt;table border="0" cellpadding="0" cellspacing="0" width="600"&gt;
&lt;tbody&gt;
&lt;tr&gt;
&lt;td align="center" valign="top"&gt;
&lt;!-- // Begin Template Header \ --&gt;&lt;table border="0" cellpadding="0" cellspacing="0" width="600"&gt;
&lt;tbody&gt;
&lt;tr&gt;
&lt;td&gt; 
									&lt;div&gt;
&lt;img alt="Você pediu, a Wilson Sons atendeu! A unidade de negócio Tecon Rio Grande agradece aos clientes transportadores por compartilhar suas necessidades!" height="408" src="https://go.pardot.com/l/845693/2026-05-04/qs4dqx/845693/1777926746TLkp1VuQ/topo_melhorias_arrozeiros.png" width="650"/&gt;&lt;br/&gt;
&lt;!-- // End Module: Standard Header Image \ --&gt;
&lt;/div&gt;
&lt;/td&gt;
&lt;/tr&gt;
&lt;/tbody&gt;
&lt;/table&gt;
&lt;!-- // End Template Header \ --&gt;
&lt;/td&gt;
&lt;/tr&gt;
&lt;tr&gt;
&lt;td align="center" valign="top"&gt;
&lt;!-- // Begin Template Body \ --&gt;&lt;table border="0" cellpadding="0" cellspacing="0" width="600"&gt;
&lt;tbody&gt;
&lt;tr&gt;
&lt;td valign="top"&gt;
&lt;!-- // Begin Module: Standard Postcard Content \ --&gt;&lt;table border="0" cellpadding="20" cellspacing="0" width="100%"&gt;
&lt;tbody&gt;
&lt;tr&gt;
&lt;td valign="top"&gt;
&lt;table border="0" cellpadding="0" cellspacing="0"&gt;
&lt;tbody&gt;
&lt;tr&gt;
&lt;td&gt; &lt;/td&gt;
&lt;td&gt; &lt;/td&gt;
&lt;td&gt; &lt;/td&gt;
&lt;/tr&gt;
&lt;tr&gt;
&lt;td&gt; &lt;/td&gt;
&lt;td&gt;
&lt;table border="0" cellpadding="0" cellspacing="0"&gt;
&lt;tbody&gt;
&lt;tr&gt;
&lt;td&gt; &lt;/td&gt;
&lt;td&gt;
&lt;table border="0" cellpadding="0" cellspacing="0"&gt;
&lt;tbody&gt;
&lt;tr&gt;
&lt;td&gt; &lt;/td&gt;
&lt;td colspan="3" rowspan="2"&gt;
&lt;p&gt; &lt;/p&gt;
&lt;p&gt;&lt;span&gt;&lt;span&gt;&lt;strong&gt;Mais agilidade no seu fluxo:&lt;br/&gt;
									Novo prazo para certificados de aeração&lt;/strong&gt;&lt;/span&gt;&lt;/span&gt;&lt;/p&gt;
&lt;hr/&gt;
&lt;div&gt;
&lt;br/&gt;
&lt;span&gt;&lt;span&gt;Facilitar o seu dia a dia é nossa prioridade. Atendendo às solicitações dos nossos parceiros, informamos que a partir de 05 de maio de 2026, os &lt;strong&gt;certificados de aeração&lt;/strong&gt; possuem novo prazo: podem ser anexados nos agendamentos para entrega de containers em até &lt;strong&gt;1 hora antes&lt;/strong&gt; do horário agendado.&lt;br/&gt;
&lt;br/&gt;
									Essa mudança visa proporcionar mais flexibilidade à sua operação, garantindo a exigência legal perante o processo.&lt;/span&gt;&lt;/span&gt;&lt;br/&gt;
&lt;br/&gt;
&lt;span&gt;&lt;span&gt;Em caso de dúvidas, entre em contato com a nossa Central de Atendimento.&lt;/span&gt;&lt;/span&gt;&lt;br/&gt;
&lt;br/&gt;
									 &lt;/div&gt;
&lt;/td&gt;
&lt;/tr&gt;
&lt;tr&gt;
&lt;td&gt; &lt;/td&gt;
&lt;/tr&gt;
&lt;tr&gt;
&lt;td&gt; &lt;/td&gt;
&lt;td&gt; &lt;/td&gt;
&lt;td&gt; &lt;/td&gt;
&lt;td&gt; &lt;/td&gt;
&lt;/tr&gt;
&lt;/tbody&gt;
&lt;/table&gt;
&lt;/td&gt;
&lt;/tr&gt;
&lt;/tbody&gt;
&lt;/table&gt;
&lt;/td&gt;
&lt;td&gt; &lt;/td&gt;
&lt;td&gt; &lt;/td&gt;
&lt;/tr&gt;
&lt;tr&gt;
&lt;td&gt; &lt;/td&gt;
&lt;td&gt; &lt;/td&gt;
&lt;td&gt; &lt;/td&gt;
&lt;/tr&gt;
&lt;tr&gt;
&lt;td&gt; &lt;/td&gt;
&lt;td&gt;
&lt;br/&gt;
&lt;span&gt;&lt;span&gt;&lt;span&gt;&lt;strong&gt;&lt;span&gt;&lt;span&gt;&lt;span&gt;&lt;span&gt;&lt;span&gt;&lt;span&gt;&lt;span&gt;&lt;span&gt;&lt;span&gt;&lt;span&gt;Central de Atendimento&lt;/span&gt;&lt;/span&gt;&lt;/span&gt;&lt;/span&gt;&lt;/span&gt;&lt;/span&gt;&lt;/span&gt;&lt;/span&gt;&lt;/span&gt;&lt;/span&gt;&lt;/strong&gt;&lt;/span&gt;&lt;/span&gt;&lt;br/&gt;
&lt;span&gt;&lt;span&gt;&lt;span&gt;&lt;span&gt;&lt;span&gt;&lt;span&gt;&lt;span&gt;&lt;span&gt;&lt;span&gt;&lt;span&gt;&lt;span&gt;&lt;span&gt;+55 53 3234.3030 | &lt;/span&gt;&lt;/span&gt;&lt;/span&gt;&lt;/span&gt;&lt;/span&gt;&lt;/span&gt;&lt;/span&gt;&lt;/span&gt;&lt;/span&gt;&lt;span&gt;&lt;span&gt;&lt;span&gt;&lt;span&gt;&lt;span&gt;&lt;span&gt;&lt;span&gt;&lt;span&gt;&lt;span&gt;atendimento.tcrg@wilsonsons.com.br&lt;/span&gt;&lt;/span&gt;&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--&gt;&lt;table border="0" cellpadding="10" cellspacing="0" width="600"&gt;
&lt;tbody&gt;
&lt;tr&gt;
&lt;td valign="top"&gt;
&lt;!-- // Begin Module: Standard Footer \ --&gt;&lt;table border="0" cellpadding="10" cellspacing="0" width="100%"&gt;
&lt;tbody&gt;
&lt;tr&gt;
&lt;td colspan="2" valign="middle"&gt;
&lt;div&gt;
&lt;a href="https://go.pardot.com/e/845693/company-wilsonsons-/qs657m/2412717477/h/qkbOHma3sdTRXMM8oexvfekN_A_D1FPYxzpt6TcD6SY" target="_blank"&gt;&lt;img alt="Clique neste botão e acesse o Linkedin da Wilson Sons" src="http://go.pardot.com/l/845693/2021-05-17/mx34b8/845693/16212710282JcZGAjm/linkedin.png"/&gt;&lt;/a&gt;  &lt;a href="https://go.pardot.com/e/845693/wilsonsons-/qs657q/2412717477/h/qkbOHma3sdTRXMM8oexvfekN_A_D1FPYxzpt6TcD6SY" target="_blank"&gt;&lt;img alt="Clique neste botão e acesse o Instagram da Wilson Sons" src="http://go.pardot.com/l/845693/2021-05-17/mx34bq/845693/1621271119Oyp26fjp/instagram.png"/&gt;&lt;/a&gt;  &lt;a href="https://go.pardot.com/e/845693/user-WilsonSonsir/qs657t/2412717477/h/qkbOHma3sdTRXMM8oexvfekN_A_D1FPYxzpt6TcD6SY" target="_blank"&gt;&lt;img alt="Clique neste botão e acesse o Youtube da Wilson Sons" height="30" src="https://go.pardot.com/l/845693/2022-01-31/nfsnc7/845693/1643652125L2Snvvw4/youtube.png" width="30"/&gt;&lt;/a&gt;
&lt;/div&gt;
&lt;/td&gt;
&lt;/tr&gt;
&lt;tr&gt;
&lt;td valign="top"&gt;
&lt;div&gt;
&lt;div&gt;
&lt;em&gt;&lt;span&gt;&lt;span&gt;&lt;span&gt;&lt;span&gt;&lt;span&gt;&lt;span&gt;&lt;span&gt;&lt;span&gt;&lt;span&gt;&lt;span&gt;&lt;span&gt;&lt;span&gt;&lt;span&gt;&lt;span&gt;&lt;span&gt;&lt;span&gt;&lt;span&gt;&lt;span&gt;&lt;span&gt;&lt;span&gt;Copyright © 2025. Todos os direitos reservados.
&lt;/span&gt;&lt;/span&gt;&lt;/span&gt;&lt;/span&gt;&lt;/span&gt;&lt;/span&gt;&lt;/span&gt;&lt;/span&gt;&lt;/span&gt;&lt;/span&gt;&lt;/span&gt;&lt;/span&gt;&lt;/span&gt;&lt;/span&gt;&lt;/span&gt;&lt;/span&gt;&lt;/span&gt;&lt;/span&gt;&lt;/span&gt;&lt;/span&gt;&lt;/em&gt;&lt;br/&gt;
&lt;span&gt;&lt;a href="https://go.pardot.com/unsubscribe/u/845693/484c7bb6162933b912f482b9cecc1e33883e91af91ae3379f130fd157e09a0fc/2412717477"&gt;&lt;span&gt;&lt;span&gt;&lt;span&gt;&lt;span&gt;&lt;span&gt;&lt;span&gt;&lt;span&gt;&lt;span&gt;cancelar a assinatura de todos os e-mails&lt;/span&gt;&lt;/span&gt;&lt;/span&gt;&lt;/span&gt;&lt;/span&gt;&lt;/span&gt;&lt;/span&gt;&lt;/span&gt;&lt;/a&gt;&lt;span&gt;&lt;span&gt;&lt;span&gt;&lt;span&gt;&lt;span&gt;&lt;span&gt;&lt;span&gt;&lt;span&gt;| &lt;/span&gt;&lt;/span&gt;&lt;/span&gt;&lt;/span&gt;&lt;/span&gt;&lt;/span&gt;&lt;/span&gt;&lt;/span&gt;&lt;a href="https://go.pardot.com/emailPreference/epc/845693/GQoERefEM95hpEHdSsKIlfbV_hwhq4ZzF_I0qGA9D_8/484c7bb6162933b912f482b9cecc1e33883e91af91ae3379f130fd157e09a0fc/2412717477"&gt;&lt;span&gt;&lt;span&gt;&lt;span&gt;&lt;span&gt;&lt;span&gt;&lt;span&gt;&lt;span&gt;&lt;span&gt;atualizar dados de assinatura&lt;/span&gt;&lt;/span&gt;&lt;/span&gt;&lt;/span&gt;&lt;/span&gt;&lt;/span&gt;&lt;/span&gt;&lt;/span&gt;&lt;/a&gt;&lt;/span&gt;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</si>
  <si>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https://wilsonsonstrg.zendesk.com/api/v2/help_center/pt-br/articles/45445136445709.json</t>
  </si>
  <si>
    <t>https://atendimento.teconline.com.br/hc/pt-br/articles/45445136445709--Hor%C3%A1rio-Especial-Tecon-Rio-Grande-Comunica</t>
  </si>
  <si>
    <t>Feriados</t>
  </si>
  <si>
    <t>[Horário Especial] - Tecon Rio Grande Comunica</t>
  </si>
  <si>
    <t>['01H90WBJBCCZDGRHGT3Y9WHEE4', '01HWD4VSR2TRMV2JFX6CRWNQG3', '01JBF4REEZM7Z6V35JDD9D7VGX', '01JE6FBP47DNFHQC5FZ9R209M7']</t>
  </si>
  <si>
    <t>['01 de maio']</t>
  </si>
  <si>
    <t>&lt;!-- Facebook sharing information tags --&gt;
&lt;table border="0" cellpadding="0" cellspacing="0" width="100%"&gt;
&lt;tbody&gt;
&lt;tr&gt;
&lt;td align="center" valign="top"&gt;
&lt;!-- // Begin Template Preheader \ --&gt;&lt;table border="0" cellpadding="10" cellspacing="0" width="600"&gt;
&lt;tbody&gt;
&lt;tr&gt;
&lt;td valign="top"&gt;
&lt;!-- // Begin Module: Standard Preheader  --&gt;&lt;table border="0" cellpadding="10" cellspacing="0" width="100%"&gt;
&lt;tbody&gt;
&lt;tr&gt;
&lt;td valign="top"&gt;
&lt;div&gt;
&lt;div&gt;&lt;em&gt;&lt;span&gt;&lt;span&gt;&lt;span&gt;&lt;span&gt;&lt;span&gt;&lt;span&gt;Chegou sua atualização de horário especial do Tecon Rio Grande.&lt;/span&gt;&lt;/span&gt;&lt;/span&gt;&lt;/span&gt;&lt;/span&gt;&lt;/span&gt;&lt;/em&gt;&lt;/div&gt;
&lt;/div&gt;
&lt;/td&gt;
&lt;td valign="top"&gt;
&lt;div&gt;
&lt;div&gt;&lt;span&gt;&lt;span&gt;&lt;span&gt;&lt;span&gt;&lt;span&gt;&lt;span&gt;&lt;span&gt;&lt;span&gt;&lt;span&gt;&lt;span&gt;Que tal visualizar este e-mail &lt;/span&gt;&lt;/span&gt;&lt;/span&gt;&lt;/span&gt;&lt;/span&gt;&lt;/span&gt;&lt;/span&gt;&lt;/span&gt;&lt;br/&gt;
&lt;a href="https://go.pardot.com/webmail/845693/2407612071/304a9ca59a8fa63671ee8b87ddf4f7e1c46617447bf66ce1b0ce6c2876542893" target="_blank"&gt;&lt;span&gt;&lt;span&gt;&lt;span&gt;&lt;span&gt;&lt;span&gt;&lt;span&gt;&lt;span&gt;&lt;span&gt;em seu navegador&lt;/span&gt;&lt;/span&gt;&lt;/span&gt;&lt;/span&gt;&lt;/span&gt;&lt;/span&gt;&lt;/span&gt;&lt;/span&gt;&lt;/a&gt;&lt;/span&gt;&lt;/span&gt;&lt;/div&gt;
&lt;/div&gt;
&lt;/td&gt;
&lt;/tr&gt;
&lt;/tbody&gt;
&lt;/table&gt;
&lt;!-- // End Module: Standard Preheader  --&gt;
&lt;/td&gt;
&lt;/tr&gt;
&lt;/tbody&gt;
&lt;/table&gt;
&lt;!-- // End Template Preheader \ --&gt;&lt;table border="0" cellpadding="0" cellspacing="0" width="600"&gt;
&lt;tbody&gt;
&lt;tr&gt;
&lt;td align="center" valign="top"&gt;
&lt;!-- // Begin Template Header \ --&gt;&lt;table border="0" cellpadding="0" cellspacing="0" width="600"&gt;
&lt;tbody&gt;
&lt;tr&gt;
&lt;td&gt; 
									&lt;div&gt;
&lt;img alt="TECON RIO GRANDE COMUNICA: Horário Especial" height="350" src="http://go.pardot.com/l/845693/2021-08-11/n41v31/845693/1628709696YAcKJloG/TE_TOPO.jpg" width="600"/&gt;&lt;br/&gt;
&lt;!-- // End Module: Standard Header Image \ --&gt;
&lt;/div&gt;
&lt;/td&gt;
&lt;/tr&gt;
&lt;/tbody&gt;
&lt;/table&gt;
&lt;!-- // End Template Header \ --&gt;
&lt;/td&gt;
&lt;/tr&gt;
&lt;tr&gt;
&lt;td align="center" valign="top"&gt;
&lt;!-- // Begin Template Body \ --&gt;&lt;table border="0" cellpadding="0" cellspacing="0" width="600"&gt;
&lt;tbody&gt;
&lt;tr&gt;
&lt;td valign="top"&gt;
&lt;!-- // Begin Module: Standard Postcard Content \ --&gt;&lt;table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0014/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28 de Abril de
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
&lt;span&gt;&lt;span&gt;&lt;span&gt;&lt;span&gt;&lt;span&gt;&lt;span&gt;&lt;span&gt;&lt;span&gt;&lt;span&gt;&lt;span&gt;&lt;span&gt;&lt;span&gt;&lt;span&gt;&lt;span&gt;&lt;span&gt;&lt;span&gt;&lt;span&gt;&lt;span&gt;&lt;strong&gt;&lt;span&gt;&lt;span&gt;&lt;span&gt;&lt;span&gt;&lt;span&gt;&lt;span&gt;&lt;span&gt;&lt;span&gt;&lt;span&gt;&lt;span&gt;&lt;span&gt;&lt;span&gt;&lt;span&gt;&lt;span&gt;&lt;span&gt;&lt;span&gt;&lt;span&gt;&lt;span&gt;&lt;span&gt;&lt;span&gt;&lt;span&gt;&lt;span&gt;Feriado | Mês de
Maio&lt;/span&gt;&lt;/span&gt;&lt;/span&gt;&lt;/span&gt;&lt;/span&gt;&lt;/span&gt;&lt;/span&gt;&lt;/span&gt;&lt;/span&gt;&lt;/span&gt;&lt;/span&gt;&lt;/span&gt;&lt;/span&gt;&lt;/span&gt;&lt;/span&gt;&lt;/span&gt;&lt;/span&gt;&lt;/span&gt;&lt;/span&gt;&lt;/span&gt;&lt;/span&gt;&lt;/span&gt;&lt;/strong&gt;&lt;/span&gt;&lt;/span&gt;&lt;/span&gt;&lt;/span&gt;&lt;/span&gt;&lt;/span&gt;&lt;/span&gt;&lt;/span&gt;&lt;/span&gt;&lt;/span&gt;&lt;/span&gt;&lt;/span&gt;&lt;/span&gt;&lt;/span&gt;&lt;/span&gt;&lt;/span&gt;&lt;/span&gt;&lt;/span&gt;&lt;br/&gt;
&lt;br/&gt;
&lt;span&gt;&lt;span&gt;Em virtude do Feriado do Dia do Trabalhador, no dia &lt;strong&gt;1º de maio&lt;/strong&gt;, informamos o expediente do Terminal:&lt;/span&gt;&lt;/span&gt;&lt;br/&gt;
									&lt;hr/&gt;
&lt;br/&gt;
&lt;span&gt;&lt;span&gt;&lt;span&gt;&lt;span&gt;&lt;span&gt;&lt;span&gt;&lt;span&gt;&lt;span&gt;&lt;span&gt;&lt;span&gt;&lt;span&gt;&lt;span&gt;&lt;span&gt;&lt;span&gt;&lt;span&gt;&lt;span&gt;&lt;span&gt;&lt;span&gt;&lt;span&gt;&lt;span&gt;&lt;strong&gt;&lt;span&gt;&lt;span&gt;&lt;span&gt;&lt;span&gt;&lt;span&gt;&lt;span&gt;&lt;span&gt;&lt;span&gt;&lt;span&gt;&lt;span&gt;&lt;span&gt;&lt;span&gt;&lt;span&gt;&lt;span&gt;&lt;span&gt;&lt;span&gt;&lt;span&gt;&lt;span&gt;&lt;span&gt;&lt;span&gt;&lt;span&gt;Recebimento e Retirada de containers | Cheios e
Vazios&lt;/span&gt;&lt;/span&gt;&lt;/span&gt;&lt;/span&gt;&lt;/span&gt;&lt;/span&gt;&lt;/span&gt;&lt;/span&gt;&lt;/span&gt;&lt;/span&gt;&lt;/span&gt;&lt;/span&gt;&lt;/span&gt;&lt;/span&gt;&lt;/span&gt;&lt;/span&gt;&lt;/span&gt;&lt;/span&gt;&lt;/span&gt;&lt;/span&gt;&lt;/span&gt;&lt;/strong&gt;&lt;br/&gt;
&lt;br/&gt;
									Sem expediente&lt;/span&gt;&lt;/span&gt;&lt;/span&gt;&lt;/span&gt;&lt;/span&gt;&lt;/span&gt;&lt;/span&gt;&lt;/span&gt;&lt;/span&gt;&lt;/span&gt;&lt;/span&gt;&lt;/span&gt;&lt;/span&gt;&lt;/span&gt;&lt;/span&gt;&lt;/span&gt;&lt;/span&gt;&lt;/span&gt;&lt;/span&gt;&lt;/span&gt;&lt;br/&gt;
&lt;br/&gt;
&lt;span&gt;&lt;span&gt;&lt;span&gt;&lt;span&gt;&lt;span&gt;&lt;span&gt;&lt;span&gt;&lt;span&gt;&lt;span&gt;&lt;span&gt;&lt;span&gt;&lt;span&gt;&lt;span&gt;&lt;span&gt;&lt;span&gt;&lt;span&gt;&lt;span&gt;&lt;span&gt;&lt;span&gt;&lt;span&gt;&lt;strong&gt;&lt;span&gt;&lt;span&gt;&lt;span&gt;&lt;span&gt;&lt;span&gt;&lt;span&gt;&lt;span&gt;&lt;span&gt;&lt;span&gt;&lt;span&gt;&lt;span&gt;&lt;span&gt;&lt;span&gt;&lt;span&gt;&lt;span&gt;&lt;span&gt;&lt;span&gt;&lt;span&gt;&lt;span&gt;&lt;span&gt;&lt;span&gt;Armazéns&lt;/span&gt;&lt;/span&gt;&lt;/span&gt;&lt;/span&gt;&lt;/span&gt;&lt;/span&gt;&lt;/span&gt;&lt;/span&gt;&lt;/span&gt;&lt;/span&gt;&lt;/span&gt;&lt;/span&gt;&lt;/span&gt;&lt;/span&gt;&lt;/span&gt;&lt;/span&gt;&lt;/span&gt;&lt;/span&gt;&lt;/span&gt;&lt;/span&gt;&lt;/span&gt;&lt;/strong&gt;&lt;br/&gt;
&lt;br/&gt;
&lt;span&gt;&lt;span&gt;&lt;span&gt;&lt;span&gt;&lt;span&gt;&lt;span&gt;&lt;span&gt;&lt;span&gt;&lt;span&gt;&lt;span&gt;&lt;span&gt;&lt;span&gt;&lt;span&gt;&lt;span&gt;&lt;span&gt;&lt;span&gt;&lt;span&gt;&lt;span&gt;&lt;span&gt;&lt;span&gt;Sem
expediente&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&lt;br/&gt;
&lt;span&gt;&lt;span&gt;&lt;span&gt;&lt;span&gt;&lt;span&gt;&lt;span&gt;&lt;span&gt;&lt;span&gt;&lt;span&gt;&lt;span&gt;&lt;span&gt;&lt;span&gt;&lt;span&gt;&lt;span&gt;&lt;span&gt;&lt;span&gt;&lt;span&gt;&lt;span&gt;&lt;span&gt;&lt;span&gt;&lt;span&gt;&lt;strong&gt;Atendimento&lt;/strong&gt;&lt;/span&gt;&lt;/span&gt;&lt;/span&gt;&lt;/span&gt;&lt;/span&gt;&lt;/span&gt;&lt;/span&gt;&lt;/span&gt;&lt;/span&gt;&lt;/span&gt;&lt;/span&gt;&lt;/span&gt;&lt;/span&gt;&lt;/span&gt;&lt;/span&gt;&lt;/span&gt;&lt;/span&gt;&lt;/span&gt;&lt;/span&gt;&lt;/span&gt;&lt;/span&gt;&lt;br/&gt;
&lt;br/&gt;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Sem
expediente&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&lt;br/&gt;
&lt;br/&gt;
&lt;span&gt;&lt;span&gt;&lt;span&gt;&lt;span&gt;&lt;span&gt;&lt;span&gt;&lt;span&gt;&lt;span&gt;&lt;span&gt;&lt;span&gt;&lt;span&gt;&lt;span&gt;&lt;span&gt;&lt;span&gt;&lt;span&gt;&lt;span&gt;&lt;span&gt;&lt;span&gt;&lt;span&gt;&lt;span&gt;&lt;span&gt;&lt;span&gt;Havendo necessidade de entrega ou retirada, encaminhe sua solicitação aos nossos Canais de Atendimento para análise de viabilidade.&lt;/span&gt;&lt;/span&gt;&lt;/span&gt;&lt;/span&gt;&lt;/span&gt;&lt;/span&gt;&lt;/span&gt;&lt;/span&gt;&lt;/span&gt;&lt;/span&gt;&lt;/span&gt;&lt;/span&gt;&lt;/span&gt;&lt;/span&gt;&lt;/span&gt;&lt;/span&gt;&lt;/span&gt;&lt;/span&gt;&lt;/span&gt;&lt;/span&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&lt;span&gt;&lt;span&gt;&lt;span&gt;&lt;strong&gt;&lt;span&gt;&lt;span&gt;&lt;span&gt;&lt;span&gt;&lt;span&gt;&lt;span&gt;&lt;span&gt;&lt;span&gt;Central de Atendimento&lt;/span&gt;&lt;/span&gt;&lt;/span&gt;&lt;/span&gt;&lt;/span&gt;&lt;/span&gt;&lt;/span&gt;&lt;/span&gt;&lt;/strong&gt;&lt;/span&gt;&lt;/span&gt;&lt;br/&gt;
&lt;span&gt;&lt;span&gt;&lt;span&gt;&lt;span&gt;&lt;span&gt;&lt;span&gt;&lt;span&gt;&lt;span&gt;&lt;span&gt;&lt;span&gt;+55 53 3234.3030 | &lt;/span&gt;&lt;/span&gt;&lt;/span&gt;&lt;/span&gt;&lt;/span&gt;&lt;/span&gt;&lt;/span&gt;&lt;span&gt;&lt;span&gt;&lt;span&gt;&lt;span&gt;&lt;span&gt;&lt;span&gt;&lt;span&gt;atendimento.tcrg@wilsonsons.com.br&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--&gt;&lt;table border="0" cellpadding="10" cellspacing="0" width="600"&gt;
&lt;tbody&gt;
&lt;tr&gt;
&lt;td valign="top"&gt;
&lt;!-- // Begin Module: Standard Footer \ --&gt;&lt;table border="0" cellpadding="10" cellspacing="0" width="100%"&gt;
&lt;tbody&gt;
&lt;tr&gt;
&lt;td colspan="2" valign="middle"&gt;
&lt;div&gt;
&lt;a href="https://go.pardot.com/e/845693/company-wilsonsons-/qrxtmm/2407612071/h/03DqkaP3TMMNpdZkTVEpIr1fBDz9ZgNtGKSYROqgI3Q" target="_blank"&gt;&lt;img alt="Clique neste botão e acesse o Linkedin da Wilson Sons" src="http://go.pardot.com/l/845693/2021-05-17/mx34b8/845693/16212710282JcZGAjm/linkedin.png"/&gt;&lt;/a&gt;  &lt;a href="https://go.pardot.com/e/845693/wilsonsons-/qrxtmq/2407612071/h/03DqkaP3TMMNpdZkTVEpIr1fBDz9ZgNtGKSYROqgI3Q" target="_blank"&gt;&lt;img alt="Clique neste botão e acesse o Instagram da Wilson Sons" src="http://go.pardot.com/l/845693/2021-05-17/mx34bq/845693/1621271119Oyp26fjp/instagram.png"/&gt;&lt;/a&gt;  &lt;img alt="Clique neste botão e acesse o Youtube da Wilson Sons" src="https://go.pardot.com/l/845693/2022-01-31/nfsnc7/845693/1643652125L2Snvvw4/youtube.png"/&gt;
&lt;/div&gt;
&lt;/td&gt;
&lt;/tr&gt;
&lt;tr&gt;
&lt;td valign="top"&gt;
&lt;div&gt;
&lt;div&gt;
&lt;em&gt;&lt;span&gt;&lt;span&gt;&lt;span&gt;&lt;span&gt;&lt;span&gt;&lt;span&gt;&lt;span&gt;&lt;span&gt;&lt;span&gt;&lt;span&gt;&lt;span&gt;&lt;span&gt;&lt;span&gt;&lt;span&gt;&lt;span&gt;&lt;span&gt;&lt;span&gt;&lt;span&gt;&lt;span&gt;&lt;span&gt;Copyright © 2026, Todos os direitos reservados.
&lt;/span&gt;&lt;/span&gt;&lt;/span&gt;&lt;/span&gt;&lt;/span&gt;&lt;/span&gt;&lt;/span&gt;&lt;/span&gt;&lt;/span&gt;&lt;/span&gt;&lt;/span&gt;&lt;/span&gt;&lt;/span&gt;&lt;/span&gt;&lt;/span&gt;&lt;/span&gt;&lt;/span&gt;&lt;/span&gt;&lt;/span&gt;&lt;/span&gt;&lt;/em&gt;&lt;br/&gt;
&lt;span&gt;&lt;a href="https://go.pardot.com/unsubscribe/u/845693/304a9ca59a8fa63671ee8b87ddf4f7e1c46617447bf66ce1b0ce6c2876542893/2407612071"&gt;&lt;span&gt;&lt;span&gt;&lt;span&gt;&lt;span&gt;&lt;span&gt;&lt;span&gt;&lt;span&gt;&lt;span&gt;cancelar a assinatura de todos os e-mails&lt;/span&gt;&lt;/span&gt;&lt;/span&gt;&lt;/span&gt;&lt;/span&gt;&lt;/span&gt;&lt;/span&gt;&lt;/span&gt;&lt;/a&gt;&lt;span&gt;&lt;span&gt;&lt;span&gt;&lt;span&gt;&lt;span&gt;&lt;span&gt;&lt;span&gt;&lt;span&gt;| &lt;/span&gt;&lt;/span&gt;&lt;/span&gt;&lt;/span&gt;&lt;/span&gt;&lt;/span&gt;&lt;/span&gt;&lt;/span&gt;&lt;a href="https://go.pardot.com/emailPreference/epc/845693/i-Fv4nK9hPKe1qrej1UOS82OQqKKb8yWbxpsr287Y5o/304a9ca59a8fa63671ee8b87ddf4f7e1c46617447bf66ce1b0ce6c2876542893/2407612071"&gt;&lt;span&gt;&lt;span&gt;&lt;span&gt;&lt;span&gt;&lt;span&gt;&lt;span&gt;&lt;span&gt;&lt;span&gt;atualizar dados de assinatura&lt;/span&gt;&lt;/span&gt;&lt;/span&gt;&lt;/span&gt;&lt;/span&gt;&lt;/span&gt;&lt;/span&gt;&lt;/span&gt;&lt;/a&gt;&lt;/span&gt;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</si>
  <si>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https://wilsonsonstrg.zendesk.com/api/v2/help_center/pt-br/articles/45398674305549.json</t>
  </si>
  <si>
    <t>https://atendimento.teconline.com.br/hc/pt-br/articles/45398674305549--Novo-Procedimento-Novo-Fluxo-de-Entrega-de-Lacres</t>
  </si>
  <si>
    <t>[Novo Procedimento] - Novo Fluxo de Entrega de Lacres</t>
  </si>
  <si>
    <t>['entrega', 'lacre', 'entrega de lacre']</t>
  </si>
  <si>
    <t>&lt;!-- Facebook sharing information tags --&gt;
&lt;table border="0" cellpadding="0" cellspacing="0" width="100%"&gt;
&lt;tbody&gt;
&lt;tr&gt;
&lt;td align="center" valign="top"&gt;
&lt;!-- // Begin Template Preheader \ --&gt;&lt;table border="0" cellpadding="10" cellspacing="0" width="600"&gt;
&lt;tbody&gt;
&lt;tr&gt;
&lt;td valign="top"&gt;
&lt;!-- // Begin Module: Standard Preheader  --&gt;&lt;table border="0" cellpadding="10" cellspacing="0" width="100%"&gt;
&lt;tbody&gt;
&lt;tr&gt;
&lt;td valign="top"&gt;
&lt;div&gt;
&lt;div&gt;&lt;em&gt;&lt;span&gt;&lt;span&gt;&lt;span&gt;&lt;span&gt;&lt;span&gt;&lt;span&gt;Chegou sua atualização de novo procedimento do Tecon Rio Grande.&lt;/span&gt;&lt;/span&gt;&lt;/span&gt;&lt;/span&gt;&lt;/span&gt;&lt;/span&gt;&lt;/em&gt;&lt;/div&gt;
&lt;/div&gt;
&lt;/td&gt;
&lt;td valign="top"&gt;
&lt;div&gt;
&lt;div&gt;&lt;span&gt;&lt;span&gt;&lt;span&gt;&lt;span&gt;&lt;span&gt;&lt;span&gt;&lt;span&gt;&lt;span&gt;&lt;span&gt;&lt;span&gt;Que tal visualizar este e-mail &lt;/span&gt;&lt;/span&gt;&lt;/span&gt;&lt;/span&gt;&lt;/span&gt;&lt;/span&gt;&lt;/span&gt;&lt;/span&gt;&lt;br/&gt;
&lt;a href="https://go.pardot.com/webmail/845693/2406737640/304a9ca59a8fa63671ee8b87ddf4f7e1c46617447bf66ce1b0ce6c2876542893" target="_blank"&gt;&lt;span&gt;&lt;span&gt;&lt;span&gt;&lt;span&gt;&lt;span&gt;&lt;span&gt;&lt;span&gt;&lt;span&gt;em seu navegador&lt;/span&gt;&lt;/span&gt;&lt;/span&gt;&lt;/span&gt;&lt;/span&gt;&lt;/span&gt;&lt;/span&gt;&lt;/span&gt;&lt;/a&gt;&lt;/span&gt;&lt;/span&gt;&lt;/div&gt;
&lt;/div&gt;
&lt;/td&gt;
&lt;/tr&gt;
&lt;/tbody&gt;
&lt;/table&gt;
&lt;!-- // End Module: Standard Preheader  --&gt;
&lt;/td&gt;
&lt;/tr&gt;
&lt;/tbody&gt;
&lt;/table&gt;
&lt;!-- // End Template Preheader \ --&gt;&lt;table border="0" cellpadding="0" cellspacing="0" width="600"&gt;
&lt;tbody&gt;
&lt;tr&gt;
&lt;td align="center" valign="top"&gt;
&lt;!-- // Begin Template Header \ --&gt;&lt;table border="0" cellpadding="0" cellspacing="0" width="600"&gt;
&lt;tbody&gt;
&lt;tr&gt;
&lt;td&gt; 
									&lt;div&gt;
&lt;img alt="TECON RIO GRANDE COMUNICA: Novo Procedimento!" height="360" src="https://go.pardot.com/l/845693/2023-03-27/pqn131/845693/167992323613MCVKdD/TC_NOVO_PROCEDIMENTO_v2.jpg" width="600"/&gt;&lt;br/&gt;
&lt;!-- // End Module: Standard Header Image \ --&gt;
&lt;/div&gt;
&lt;/td&gt;
&lt;/tr&gt;
&lt;/tbody&gt;
&lt;/table&gt;
&lt;!-- // End Template Header \ --&gt;
&lt;/td&gt;
&lt;/tr&gt;
&lt;tr&gt;
&lt;td align="center" valign="top"&gt;
&lt;!-- // Begin Template Body \ --&gt;&lt;table border="0" cellpadding="0" cellspacing="0" width="600"&gt;
&lt;tbody&gt;
&lt;tr&gt;
&lt;td valign="top"&gt;
&lt;!-- // Begin Module: Standard Postcard Content \ --&gt;&lt;table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00013/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27 de Abril de
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&lt;p&gt;&lt;span&gt;&lt;span&gt;&lt;strong&gt;Novo Fluxo de Entrega de Lacres&lt;/strong&gt;&lt;/span&gt;&lt;/span&gt;&lt;/p&gt;
&lt;hr/&gt;​&lt;br/&gt;
&lt;span&gt;&lt;span&gt;Prezados,&lt;br/&gt;
&lt;br/&gt;
									Comunicamos que, a partir de &lt;strong&gt;27/04&lt;/strong&gt;, haverá alteração no procedimento de &lt;strong&gt;recebimento de lacres.&lt;/strong&gt;&lt;br/&gt;
&lt;br/&gt;
									Para garantir a organização, a correta rastreabilidade e o cumprimento das exigências de segurança da &lt;strong&gt;CONPORTOS&lt;/strong&gt;, as entregas deverão seguir as condições abaixo:&lt;br/&gt;
&lt;br/&gt;
&lt;strong&gt;Local:&lt;/strong&gt; Recepção do Terminal.&lt;br/&gt;
&lt;strong&gt;Horário:&lt;/strong&gt; Segunda a sexta-feira, das 08h às 17h.&lt;br/&gt;
&lt;strong&gt;Identificação: &lt;/strong&gt;Todos os lacres devem estar devidamente identificados no ato da entrega.&lt;br/&gt;
&lt;br/&gt;
									Solicitamos o apoio no atendimento a esse novo procedimento para evitarmos retenções no fluxo logístico.&lt;br/&gt;
&lt;br/&gt;
									Em caso de dúvidas, estamos à disposição por meio de nossos Canais de Atendimento.&lt;/span&gt;&lt;/span&gt;
&lt;div&gt; &lt;/div&gt;
&lt;br/&gt;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&lt;span&gt;&lt;span&gt;&lt;span&gt;&lt;strong&gt;&lt;span&gt;&lt;span&gt;&lt;span&gt;&lt;span&gt;&lt;span&gt;&lt;span&gt;&lt;span&gt;&lt;span&gt;&lt;span&gt;&lt;span&gt;Central de Atendimento&lt;/span&gt;&lt;/span&gt;&lt;/span&gt;&lt;/span&gt;&lt;/span&gt;&lt;/span&gt;&lt;/span&gt;&lt;/span&gt;&lt;/span&gt;&lt;/span&gt;&lt;/strong&gt;&lt;/span&gt;&lt;/span&gt;&lt;br/&gt;
&lt;span&gt;&lt;span&gt;&lt;span&gt;&lt;span&gt;&lt;span&gt;&lt;span&gt;&lt;span&gt;&lt;span&gt;&lt;span&gt;&lt;span&gt;&lt;span&gt;&lt;span&gt;+55 53 3234.3030 | atendimento.tcrg@wilsonsons.com.br&lt;/span&gt;&lt;/span&gt;&lt;/span&gt;&lt;/span&gt;&lt;/span&gt;&lt;/span&gt;&lt;/span&gt;&lt;/span&gt;&lt;/span&gt;&lt;/span&gt;&lt;/span&gt;&lt;/span&gt;&lt;/span&gt;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--&gt;&lt;table border="0" cellpadding="10" cellspacing="0" width="600"&gt;
&lt;tbody&gt;
&lt;tr&gt;
&lt;td valign="top"&gt;
&lt;!-- // Begin Module: Standard Footer \ --&gt;&lt;table border="0" cellpadding="10" cellspacing="0" width="100%"&gt;
&lt;tbody&gt;
&lt;tr&gt;
&lt;td colspan="2" valign="middle"&gt;
&lt;div&gt;
&lt;a href="https://go.pardot.com/e/845693/company-wilsonsons-/qrvzdx/2406737640/h/kL07hfgVzGqUHM1-r1ipVkFkB6uKABEFjf13UyWve2w" target="_blank"&gt;&lt;img alt="Clique neste botão e acesse o Linkedin da Wilson Sons" src="http://go.pardot.com/l/845693/2021-05-17/mx34b8/845693/16212710282JcZGAjm/linkedin.png"/&gt;&lt;/a&gt;  &lt;a href="https://go.pardot.com/e/845693/WilsonsonsBR/qrvzf1/2406737640/h/kL07hfgVzGqUHM1-r1ipVkFkB6uKABEFjf13UyWve2w" target="_blank"&gt;&lt;img alt="Clique neste botão e acesse o Facebook da Wilson Sons" height="30" src="http://go.pardot.com/l/845693/2021-05-17/mx34bl/845693/1621271090cdlUQKWd/facebook.png" width="30"/&gt;&lt;/a&gt;  &lt;a href="https://go.pardot.com/e/845693/WilsonSonsBR/qrvzf4/2406737640/h/kL07hfgVzGqUHM1-r1ipVkFkB6uKABEFjf13UyWve2w" target="_blank"&gt;&lt;img alt="Clique neste botão e acesse o Twitter da Wilson Sons" src="http://go.pardot.com/l/845693/2021-05-17/mx34bn/845693/1621271106M1JyIdPL/twitter.png"/&gt;&lt;/a&gt;  &lt;a href="https://go.pardot.com/e/845693/wilsonsons-/qrvzf7/2406737640/h/kL07hfgVzGqUHM1-r1ipVkFkB6uKABEFjf13UyWve2w" target="_blank"&gt;&lt;img alt="Clique neste botão e acesse o Instagram da Wilson Sons" src="http://go.pardot.com/l/845693/2021-05-17/mx34bq/845693/1621271119Oyp26fjp/instagram.png"/&gt;&lt;/a&gt;  &lt;a href="https://go.pardot.com/e/845693/user-WilsonSonsir/qrvzfb/2406737640/h/kL07hfgVzGqUHM1-r1ipVkFkB6uKABEFjf13UyWve2w" target="_blank"&gt;&lt;img alt="Clique neste botão e acesse o Youtube da Wilson Sons" height="30" src="https://go.pardot.com/l/845693/2022-01-31/nfsnc7/845693/1643652125L2Snvvw4/youtube.png" width="30"/&gt;&lt;/a&gt;
&lt;/div&gt;
&lt;/td&gt;
&lt;/tr&gt;
&lt;tr&gt;
&lt;td valign="top"&gt;
&lt;div&gt;
&lt;div&gt;
&lt;em&gt;&lt;span&gt;&lt;span&gt;&lt;span&gt;&lt;span&gt;&lt;span&gt;&lt;span&gt;&lt;span&gt;&lt;span&gt;&lt;span&gt;&lt;span&gt;&lt;span&gt;&lt;span&gt;&lt;span&gt;&lt;span&gt;&lt;span&gt;&lt;span&gt;&lt;span&gt;&lt;span&gt;&lt;span&gt;&lt;span&gt;Copyright © 2026, Todos os direitos reservados.
&lt;/span&gt;&lt;/span&gt;&lt;/span&gt;&lt;/span&gt;&lt;/span&gt;&lt;/span&gt;&lt;/span&gt;&lt;/span&gt;&lt;/span&gt;&lt;/span&gt;&lt;/span&gt;&lt;/span&gt;&lt;/span&gt;&lt;/span&gt;&lt;/span&gt;&lt;/span&gt;&lt;/span&gt;&lt;/span&gt;&lt;/span&gt;&lt;/span&gt;&lt;/em&gt;&lt;br/&gt;
&lt;span&gt;&lt;a href="https://go.pardot.com/unsubscribe/u/845693/304a9ca59a8fa63671ee8b87ddf4f7e1c46617447bf66ce1b0ce6c2876542893/2406737640"&gt;&lt;span&gt;&lt;span&gt;&lt;span&gt;&lt;span&gt;&lt;span&gt;&lt;span&gt;&lt;span&gt;&lt;span&gt;cancelar a assinatura de todos os e-mails&lt;/span&gt;&lt;/span&gt;&lt;/span&gt;&lt;/span&gt;&lt;/span&gt;&lt;/span&gt;&lt;/span&gt;&lt;/span&gt;&lt;/a&gt;&lt;span&gt;&lt;span&gt;&lt;span&gt;&lt;span&gt;&lt;span&gt;&lt;span&gt;&lt;span&gt;&lt;span&gt;| &lt;/span&gt;&lt;/span&gt;&lt;/span&gt;&lt;/span&gt;&lt;/span&gt;&lt;/span&gt;&lt;/span&gt;&lt;/span&gt;&lt;a href="https://go.pardot.com/emailPreference/epc/845693/bec7WGcEh7l6JgEPlNQTbLQQ9GY9ZZDAB0uDXE8SiWI/304a9ca59a8fa63671ee8b87ddf4f7e1c46617447bf66ce1b0ce6c2876542893/2406737640"&gt;&lt;span&gt;&lt;span&gt;&lt;span&gt;&lt;span&gt;&lt;span&gt;&lt;span&gt;&lt;span&gt;&lt;span&gt;atualizar dados de assinatura&lt;/span&gt;&lt;/span&gt;&lt;/span&gt;&lt;/span&gt;&lt;/span&gt;&lt;/span&gt;&lt;/span&gt;&lt;/span&gt;&lt;/a&gt;&lt;/span&gt;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</si>
  <si>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https://wilsonsonstrg.zendesk.com/api/v2/help_center/pt-br/articles/45175124069133.json</t>
  </si>
  <si>
    <t>https://atendimento.teconline.com.br/hc/pt-br/articles/45175124069133-Feriados-M%C3%AAs-de-Abril</t>
  </si>
  <si>
    <t>Feriados | Mês de Abril</t>
  </si>
  <si>
    <t>['01H90WBJBCCZDGRHGT3Y9WHEE4', '01JBF4REEZM7Z6V35JDD9D7VGX', '01JE6FBP47DNFHQC5FZ9R209M7', '01KPDXK9KKYSR0M141JD35VDQ4']</t>
  </si>
  <si>
    <t>['feriado de abril', '01 de maio', 'Feriado']</t>
  </si>
  <si>
    <t>&lt;!-- Facebook sharing information tags --&gt;
&lt;table border="0" cellpadding="0" cellspacing="0" width="100%"&gt;
&lt;tbody&gt;
&lt;tr&gt;
&lt;td align="center" valign="top"&gt;
&lt;!-- // Begin Template Preheader \ --&gt;&lt;table border="0" cellpadding="10" cellspacing="0" width="600"&gt;
&lt;tbody&gt;
&lt;tr&gt;
&lt;td valign="top"&gt;
&lt;!-- // Begin Module: Standard Preheader  --&gt;&lt;table border="0" cellpadding="10" cellspacing="0" width="100%"&gt;
&lt;tbody&gt;
&lt;tr&gt;
&lt;td valign="top"&gt;
&lt;div&gt;
&lt;div&gt;&lt;em&gt;&lt;span&gt;&lt;span&gt;&lt;span&gt;&lt;span&gt;&lt;span&gt;&lt;span&gt;Chegou sua atualização de horário especial do Tecon Rio Grande.&lt;/span&gt;&lt;/span&gt;&lt;/span&gt;&lt;/span&gt;&lt;/span&gt;&lt;/span&gt;&lt;/em&gt;&lt;/div&gt;
&lt;/div&gt;
&lt;/td&gt;
&lt;td valign="top"&gt;
&lt;div&gt;
&lt;div&gt;&lt;span&gt;&lt;span&gt;&lt;span&gt;&lt;span&gt;&lt;span&gt;&lt;span&gt;&lt;span&gt;&lt;span&gt;&lt;span&gt;&lt;span&gt;Que tal visualizar este e-mail &lt;/span&gt;&lt;/span&gt;&lt;/span&gt;&lt;/span&gt;&lt;/span&gt;&lt;/span&gt;&lt;/span&gt;&lt;/span&gt;&lt;br/&gt;
&lt;a href="https://go.pardot.com/webmail/845693/2379011786/484c7bb6162933b912f482b9cecc1e33883e91af91ae3379f130fd157e09a0fc" target="_blank"&gt;&lt;span&gt;&lt;span&gt;&lt;span&gt;&lt;span&gt;&lt;span&gt;&lt;span&gt;&lt;span&gt;&lt;span&gt;em seu navegador&lt;/span&gt;&lt;/span&gt;&lt;/span&gt;&lt;/span&gt;&lt;/span&gt;&lt;/span&gt;&lt;/span&gt;&lt;/span&gt;&lt;/a&gt;&lt;/span&gt;&lt;/span&gt;&lt;/div&gt;
&lt;/div&gt;
&lt;/td&gt;
&lt;/tr&gt;
&lt;/tbody&gt;
&lt;/table&gt;
&lt;!-- // End Module: Standard Preheader  --&gt;
&lt;/td&gt;
&lt;/tr&gt;
&lt;/tbody&gt;
&lt;/table&gt;
&lt;!-- // End Template Preheader \ --&gt;&lt;table border="0" cellpadding="0" cellspacing="0" width="600"&gt;
&lt;tbody&gt;
&lt;tr&gt;
&lt;td align="center" valign="top"&gt;
&lt;!-- // Begin Template Header \ --&gt;&lt;table border="0" cellpadding="0" cellspacing="0" width="600"&gt;
&lt;tbody&gt;
&lt;tr&gt;
&lt;td&gt; 
									&lt;div&gt;
&lt;img alt="TECON RIO GRANDE COMUNICA: Horário Especial" height="350" src="http://go.pardot.com/l/845693/2021-08-11/n41v31/845693/1628709696YAcKJloG/TE_TOPO.jpg" width="600"/&gt;&lt;br/&gt;
&lt;!-- // End Module: Standard Header Image \ --&gt;
&lt;/div&gt;
&lt;/td&gt;
&lt;/tr&gt;
&lt;/tbody&gt;
&lt;/table&gt;
&lt;!-- // End Template Header \ --&gt;
&lt;/td&gt;
&lt;/tr&gt;
&lt;tr&gt;
&lt;td align="center" valign="top"&gt;
&lt;!-- // Begin Template Body \ --&gt;&lt;table border="0" cellpadding="0" cellspacing="0" width="600"&gt;
&lt;tbody&gt;
&lt;tr&gt;
&lt;td valign="top"&gt;
&lt;!-- // Begin Module: Standard Postcard Content \ --&gt;&lt;table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0010/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23 de Março de
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
&lt;span&gt;&lt;span&gt;&lt;span&gt;&lt;span&gt;&lt;span&gt;&lt;span&gt;&lt;span&gt;&lt;span&gt;&lt;span&gt;&lt;span&gt;&lt;span&gt;&lt;span&gt;&lt;span&gt;&lt;span&gt;&lt;span&gt;&lt;span&gt;&lt;span&gt;&lt;span&gt;&lt;strong&gt;&lt;span&gt;&lt;span&gt;&lt;span&gt;&lt;span&gt;&lt;span&gt;&lt;span&gt;&lt;span&gt;&lt;span&gt;&lt;span&gt;&lt;span&gt;&lt;span&gt;&lt;span&gt;&lt;span&gt;&lt;span&gt;&lt;span&gt;&lt;span&gt;&lt;span&gt;&lt;span&gt;&lt;span&gt;&lt;span&gt;&lt;span&gt;&lt;span&gt;Feriados | Mês de
Abril&lt;/span&gt;&lt;/span&gt;&lt;/span&gt;&lt;/span&gt;&lt;/span&gt;&lt;/span&gt;&lt;/span&gt;&lt;/span&gt;&lt;/span&gt;&lt;/span&gt;&lt;/span&gt;&lt;/span&gt;&lt;/span&gt;&lt;/span&gt;&lt;/span&gt;&lt;/span&gt;&lt;/span&gt;&lt;/span&gt;&lt;/span&gt;&lt;/span&gt;&lt;/span&gt;&lt;/span&gt;&lt;/strong&gt;&lt;/span&gt;&lt;/span&gt;&lt;/span&gt;&lt;/span&gt;&lt;/span&gt;&lt;/span&gt;&lt;/span&gt;&lt;/span&gt;&lt;/span&gt;&lt;/span&gt;&lt;/span&gt;&lt;/span&gt;&lt;/span&gt;&lt;/span&gt;&lt;/span&gt;&lt;/span&gt;&lt;/span&gt;&lt;/span&gt;&lt;br/&gt;
&lt;br/&gt;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Em virtude dos &lt;strong&gt;Feriados de Páscoa&lt;/strong&gt;, nos dias&lt;strong&gt; 03 e 05 de abril&lt;/strong&gt;, e de Tiradentes no dia &lt;strong&gt;21 de
abril&lt;/strong&gt;, informamos o expediente do Terminal:&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&lt;hr/&gt;
&lt;br/&gt;
&lt;span&gt;&lt;span&gt;&lt;span&gt;&lt;span&gt;&lt;span&gt;&lt;span&gt;&lt;span&gt;&lt;span&gt;&lt;span&gt;&lt;span&gt;&lt;span&gt;&lt;span&gt;&lt;span&gt;&lt;span&gt;&lt;span&gt;&lt;span&gt;&lt;span&gt;&lt;span&gt;&lt;span&gt;&lt;span&gt;&lt;strong&gt;&lt;span&gt;&lt;span&gt;&lt;span&gt;&lt;span&gt;&lt;span&gt;&lt;span&gt;&lt;span&gt;&lt;span&gt;&lt;span&gt;&lt;span&gt;&lt;span&gt;&lt;span&gt;&lt;span&gt;&lt;span&gt;&lt;span&gt;&lt;span&gt;&lt;span&gt;&lt;span&gt;&lt;span&gt;&lt;span&gt;&lt;span&gt;Recebimento de containers | Cheios e
Vazios&lt;/span&gt;&lt;/span&gt;&lt;/span&gt;&lt;/span&gt;&lt;/span&gt;&lt;/span&gt;&lt;/span&gt;&lt;/span&gt;&lt;/span&gt;&lt;/span&gt;&lt;/span&gt;&lt;/span&gt;&lt;/span&gt;&lt;/span&gt;&lt;/span&gt;&lt;/span&gt;&lt;/span&gt;&lt;/span&gt;&lt;/span&gt;&lt;/span&gt;&lt;/span&gt;&lt;/strong&gt;&lt;br/&gt;
&lt;br/&gt;
&lt;strong&gt;03/04 - &lt;/strong&gt;Sem expediente&lt;br/&gt;
&lt;strong&gt;04/04 -&lt;/strong&gt; Normal&lt;br/&gt;
&lt;strong&gt;05/04 &lt;/strong&gt;&lt;strong&gt;- &lt;/strong&gt;Sem expediente&lt;br/&gt;
&lt;strong&gt;21/04 - &lt;/strong&gt;Sem expediente&lt;br/&gt;
&lt;br/&gt;
&lt;span&gt;&lt;strong&gt;&lt;span&gt;&lt;span&gt;&lt;span&gt;&lt;span&gt;&lt;span&gt;&lt;span&gt;&lt;span&gt;&lt;span&gt;&lt;span&gt;&lt;span&gt;&lt;span&gt;&lt;span&gt;&lt;span&gt;&lt;span&gt;&lt;span&gt;&lt;span&gt;&lt;span&gt;&lt;span&gt;&lt;span&gt;&lt;span&gt;Retirada de containers | Cheios e
Vazios&lt;/span&gt;&lt;/span&gt;&lt;/span&gt;&lt;/span&gt;&lt;/span&gt;&lt;/span&gt;&lt;/span&gt;&lt;/span&gt;&lt;/span&gt;&lt;/span&gt;&lt;/span&gt;&lt;/span&gt;&lt;/span&gt;&lt;/span&gt;&lt;/span&gt;&lt;/span&gt;&lt;/span&gt;&lt;/span&gt;&lt;/span&gt;&lt;/span&gt;&lt;/strong&gt;&lt;/span&gt;&lt;br/&gt;
&lt;br/&gt;
&lt;strong&gt;03/04 - &lt;/strong&gt;Sem expediente&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trong&gt;04/04 -&lt;/strong&gt; Normal&lt;br/&gt;
&lt;strong&gt;05/04 &lt;/strong&gt;&lt;strong&gt;- &lt;/strong&gt;Sem expediente&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&lt;span&gt;&lt;span&gt;&lt;span&gt;&lt;span&gt;&lt;span&gt;&lt;span&gt;&lt;span&gt;&lt;span&gt;&lt;span&gt;&lt;span&gt;&lt;span&gt;&lt;span&gt;&lt;span&gt;&lt;span&gt;&lt;span&gt;&lt;span&gt;&lt;span&gt;&lt;span&gt;&lt;span&gt;&lt;span&gt;&lt;strong&gt;21/04 - &lt;/strong&gt;Sem expediente&lt;br/&gt;
&lt;br/&gt;
&lt;strong&gt;&lt;span&gt;&lt;span&gt;&lt;span&gt;&lt;span&gt;&lt;span&gt;&lt;span&gt;&lt;span&gt;&lt;span&gt;&lt;span&gt;&lt;span&gt;&lt;span&gt;&lt;span&gt;&lt;span&gt;&lt;span&gt;&lt;span&gt;&lt;span&gt;&lt;span&gt;&lt;span&gt;&lt;span&gt;&lt;span&gt;&lt;span&gt;Armazéns&lt;/span&gt;&lt;/span&gt;&lt;/span&gt;&lt;/span&gt;&lt;/span&gt;&lt;/span&gt;&lt;/span&gt;&lt;/span&gt;&lt;/span&gt;&lt;/span&gt;&lt;/span&gt;&lt;/span&gt;&lt;/span&gt;&lt;/span&gt;&lt;/span&gt;&lt;/span&gt;&lt;/span&gt;&lt;/span&gt;&lt;/span&gt;&lt;/span&gt;&lt;/span&gt;&lt;/strong&gt;&lt;br/&gt;
&lt;br/&gt;
&lt;span&gt;&lt;span&gt;&lt;span&gt;&lt;span&gt;&lt;span&gt;&lt;span&gt;&lt;span&gt;&lt;span&gt;&lt;span&gt;&lt;span&gt;&lt;span&gt;&lt;span&gt;&lt;span&gt;&lt;span&gt;&lt;span&gt;&lt;span&gt;&lt;span&gt;&lt;span&gt;&lt;span&gt;&lt;span&gt;&lt;strong&gt;03/04: &lt;/strong&gt;Sem expediente&lt;br/&gt;
&lt;strong&gt;04/04:&lt;/strong&gt; Importação: Normal | Exportação: Sem expediente&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&lt;span&gt;&lt;span&gt;&lt;span&gt;&lt;span&gt;&lt;span&gt;&lt;span&gt;&lt;span&gt;&lt;span&gt;&lt;span&gt;&lt;span&gt;&lt;span&gt;&lt;span&gt;&lt;span&gt;&lt;span&gt;&lt;span&gt;&lt;span&gt;&lt;span&gt;&lt;span&gt;&lt;span&gt;&lt;span&gt;&lt;strong&gt;05/04:&lt;/strong&gt; Sem expediente&lt;br/&gt;
&lt;span&gt;&lt;span&gt;&lt;span&gt;&lt;span&gt;&lt;span&gt;&lt;span&gt;&lt;span&gt;&lt;span&gt;&lt;span&gt;&lt;span&gt;&lt;span&gt;&lt;span&gt;&lt;span&gt;&lt;span&gt;&lt;span&gt;&lt;span&gt;&lt;span&gt;&lt;span&gt;&lt;span&gt;&lt;span&gt;&lt;strong&gt;21/04: &lt;/strong&gt;Sem
expediente&lt;/span&gt;&lt;/span&gt;&lt;/span&gt;&lt;/span&gt;&lt;/span&gt;&lt;/span&gt;&lt;/span&gt;&lt;/span&gt;&lt;/span&gt;&lt;/span&gt;&lt;/span&gt;&lt;/span&gt;&lt;/span&gt;&lt;/span&gt;&lt;/span&gt;&lt;/span&gt;&lt;/span&gt;&lt;/span&gt;&lt;/span&gt;&lt;/span&gt;&lt;br/&gt;
&lt;br/&gt;
&lt;span&gt;&lt;strong&gt;Atendimento&lt;/strong&gt;&lt;/span&gt;&lt;/span&gt;&lt;/span&gt;&lt;/span&gt;&lt;/span&gt;&lt;/span&gt;&lt;/span&gt;&lt;/span&gt;&lt;/span&gt;&lt;/span&gt;&lt;/span&gt;&lt;/span&gt;&lt;/span&gt;&lt;/span&gt;&lt;/span&gt;&lt;/span&gt;&lt;/span&gt;&lt;/span&gt;&lt;/span&gt;&lt;/span&gt;&lt;/span&gt;&lt;br/&gt;
&lt;br/&gt;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Sem
expediente&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&lt;br/&gt;
&lt;span&gt;&lt;span&gt;&lt;span&gt;&lt;span&gt;&lt;span&gt;&lt;span&gt;&lt;span&gt;&lt;span&gt;&lt;span&gt;&lt;span&gt;&lt;span&gt;&lt;span&gt;&lt;span&gt;&lt;span&gt;&lt;span&gt;&lt;span&gt;&lt;span&gt;&lt;span&gt;&lt;span&gt;&lt;span&gt;&lt;span&gt;&lt;span&gt;Havendo necessidade de entrega ou retirada, encaminhe sua solicitação aos nossos Canais de Atendimento para análise de viabilidade.&lt;/span&gt;&lt;/span&gt;&lt;/span&gt;&lt;/span&gt;&lt;/span&gt;&lt;/span&gt;&lt;/span&gt;&lt;/span&gt;&lt;/span&gt;&lt;/span&gt;&lt;/span&gt;&lt;/span&gt;&lt;/span&gt;&lt;/span&gt;&lt;/span&gt;&lt;/span&gt;&lt;/span&gt;&lt;/span&gt;&lt;/span&gt;&lt;/span&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&lt;span&gt;&lt;span&gt;&lt;span&gt;&lt;strong&gt;&lt;span&gt;&lt;span&gt;&lt;span&gt;&lt;span&gt;&lt;span&gt;&lt;span&gt;&lt;span&gt;&lt;span&gt;Central de Atendimento&lt;/span&gt;&lt;/span&gt;&lt;/span&gt;&lt;/span&gt;&lt;/span&gt;&lt;/span&gt;&lt;/span&gt;&lt;/span&gt;&lt;/strong&gt;&lt;/span&gt;&lt;/span&gt;&lt;br/&gt;
&lt;span&gt;&lt;span&gt;&lt;span&gt;&lt;span&gt;&lt;span&gt;&lt;span&gt;&lt;span&gt;&lt;span&gt;&lt;span&gt;&lt;span&gt;+55 53 3234.3030 | &lt;/span&gt;&lt;/span&gt;&lt;/span&gt;&lt;/span&gt;&lt;/span&gt;&lt;/span&gt;&lt;/span&gt;&lt;span&gt;&lt;span&gt;&lt;span&gt;&lt;span&gt;&lt;span&gt;&lt;span&gt;&lt;span&gt;atendimento.tcrg@wilsonsons.com.br&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--&gt;&lt;table border="0" cellpadding="10" cellspacing="0" width="600"&gt;
&lt;tbody&gt;
&lt;tr&gt;
&lt;td valign="top"&gt;
&lt;!-- // Begin Module: Standard Footer \ --&gt;&lt;table border="0" cellpadding="10" cellspacing="0" width="100%"&gt;
&lt;tbody&gt;
&lt;tr&gt;
&lt;td colspan="2" valign="middle"&gt;
&lt;div&gt;
&lt;a href="https://go.pardot.com/e/845693/company-wilsonsons-/qqqmnd/2379011786/h/50Iu4i5OzYEFM2eCAoDtFdUTLlZQriE4dXP5teni8fM" target="_blank"&gt;&lt;img alt="Clique neste botão e acesse o Linkedin da Wilson Sons" src="http://go.pardot.com/l/845693/2021-05-17/mx34b8/845693/16212710282JcZGAjm/linkedin.png"/&gt;&lt;/a&gt;  &lt;a href="https://go.pardot.com/e/845693/wilsonsons-/qqqmnh/2379011786/h/50Iu4i5OzYEFM2eCAoDtFdUTLlZQriE4dXP5teni8fM" target="_blank"&gt;&lt;img alt="Clique neste botão e acesse o Instagram da Wilson Sons" src="http://go.pardot.com/l/845693/2021-05-17/mx34bq/845693/1621271119Oyp26fjp/instagram.png"/&gt;&lt;/a&gt;  &lt;img alt="Clique neste botão e acesse o Youtube da Wilson Sons" src="https://go.pardot.com/l/845693/2022-01-31/nfsnc7/845693/1643652125L2Snvvw4/youtube.png"/&gt;
&lt;/div&gt;
&lt;/td&gt;
&lt;/tr&gt;
&lt;tr&gt;
&lt;td valign="top"&gt;
&lt;div&gt;
&lt;div&gt;
&lt;em&gt;&lt;span&gt;&lt;span&gt;&lt;span&gt;&lt;span&gt;&lt;span&gt;&lt;span&gt;&lt;span&gt;&lt;span&gt;&lt;span&gt;&lt;span&gt;&lt;span&gt;&lt;span&gt;&lt;span&gt;&lt;span&gt;&lt;span&gt;&lt;span&gt;&lt;span&gt;&lt;span&gt;&lt;span&gt;&lt;span&gt;Copyright © 2026, Todos os direitos reservados.
&lt;/span&gt;&lt;/span&gt;&lt;/span&gt;&lt;/span&gt;&lt;/span&gt;&lt;/span&gt;&lt;/span&gt;&lt;/span&gt;&lt;/span&gt;&lt;/span&gt;&lt;/span&gt;&lt;/span&gt;&lt;/span&gt;&lt;/span&gt;&lt;/span&gt;&lt;/span&gt;&lt;/span&gt;&lt;/span&gt;&lt;/span&gt;&lt;/span&gt;&lt;/em&gt;&lt;br/&gt;
&lt;span&gt;&lt;a href="https://go.pardot.com/unsubscribe/u/845693/484c7bb6162933b912f482b9cecc1e33883e91af91ae3379f130fd157e09a0fc/2379011786"&gt;&lt;span&gt;&lt;span&gt;&lt;span&gt;&lt;span&gt;&lt;span&gt;&lt;span&gt;&lt;span&gt;&lt;span&gt;cancelar a assinatura de todos os e-mails&lt;/span&gt;&lt;/span&gt;&lt;/span&gt;&lt;/span&gt;&lt;/span&gt;&lt;/span&gt;&lt;/span&gt;&lt;/span&gt;&lt;/a&gt;&lt;span&gt;&lt;span&gt;&lt;span&gt;&lt;span&gt;&lt;span&gt;&lt;span&gt;&lt;span&gt;&lt;span&gt;| &lt;/span&gt;&lt;/span&gt;&lt;/span&gt;&lt;/span&gt;&lt;/span&gt;&lt;/span&gt;&lt;/span&gt;&lt;/span&gt;&lt;a href="https://go.pardot.com/emailPreference/epc/845693/U9I0Dz_nvcUWcCMdvsRmuWTfL6Q392XzNCSZiFd5-C8/484c7bb6162933b912f482b9cecc1e33883e91af91ae3379f130fd157e09a0fc/2379011786"&gt;&lt;span&gt;&lt;span&gt;&lt;span&gt;&lt;span&gt;&lt;span&gt;&lt;span&gt;&lt;span&gt;&lt;span&gt;atualizar dados de assinatura&lt;/span&gt;&lt;/span&gt;&lt;/span&gt;&lt;/span&gt;&lt;/span&gt;&lt;/span&gt;&lt;/span&gt;&lt;/span&gt;&lt;/a&gt;&lt;/span&gt;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</si>
  <si>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https://wilsonsonstrg.zendesk.com/api/v2/help_center/pt-br/articles/43417777244557.json</t>
  </si>
  <si>
    <t>https://atendimento.teconline.com.br/hc/pt-br/articles/43417777244557-10-02-2026-Comunicado-Importante-Reten%C3%A7%C3%A3o-ISS-ISPS-Code</t>
  </si>
  <si>
    <t>10/02/2026 - [Comunicado Importante] - Retenção ISS - ISPS Code</t>
  </si>
  <si>
    <t>['01KH4MSP2QHF7BCKVVTXGVH4B9']</t>
  </si>
  <si>
    <t>['Retenção ISS - ISPS Code']</t>
  </si>
  <si>
    <t>&lt;!-- Facebook sharing information tags --&gt;
&lt;table border="0" cellpadding="0" cellspacing="0" width="100%"&gt;
&lt;tbody&gt;
&lt;tr&gt;
&lt;td align="center" valign="top"&gt;
&lt;!-- // Begin Template Preheader \ --&gt;
&lt;table border="0" cellpadding="10" cellspacing="0" width="600"&gt;
&lt;tbody&gt;
&lt;tr&gt;
&lt;td valign="top"&gt;
&lt;!-- // Begin Module: Standard Preheader  --&gt;
&lt;table border="0" cellpadding="10" cellspacing="0" width="100%"&gt;
&lt;tbody&gt;
&lt;tr&gt;
&lt;td valign="top"&gt;
&lt;div&gt;
&lt;div&gt;&lt;em&gt;&lt;span&gt;&lt;span&gt;&lt;span&gt;&lt;span&gt;&lt;span&gt;&lt;span&gt;Chegou sua atualização de novo procedimento do Tecon Rio Grande.&lt;/span&gt;&lt;/span&gt;&lt;/span&gt;&lt;/span&gt;&lt;/span&gt;&lt;/span&gt;&lt;/em&gt;&lt;/div&gt;
&lt;/div&gt;
&lt;/td&gt;
&lt;td valign="top"&gt;
&lt;div&gt;
&lt;div&gt;&lt;span&gt;&lt;span&gt;&lt;span&gt;&lt;span&gt;&lt;span&gt;&lt;span&gt;&lt;span&gt;&lt;span&gt;&lt;span&gt;&lt;span&gt;Que tal visualizar este e-mail &lt;/span&gt;&lt;/span&gt;&lt;/span&gt;&lt;/span&gt;&lt;/span&gt;&lt;/span&gt;&lt;/span&gt;&lt;/span&gt;&lt;br/&gt;
&lt;a href="https://go.pardot.com/webmail/845693/2341158389/edd209b4594e8120bfb9875305af1e65f50799b7b2aefa05c8f23b18a298e10f" target="_blank"&gt;&lt;span&gt;&lt;span&gt;&lt;span&gt;&lt;span&gt;&lt;span&gt;&lt;span&gt;&lt;span&gt;&lt;span&gt;em seu navegador&lt;/span&gt;&lt;/span&gt;&lt;/span&gt;&lt;/span&gt;&lt;/span&gt;&lt;/span&gt;&lt;/span&gt;&lt;/span&gt;&lt;/a&gt;&lt;/span&gt;&lt;/span&gt;&lt;/div&gt;
&lt;/div&gt;
&lt;/td&gt;
&lt;/tr&gt;
&lt;/tbody&gt;
&lt;/table&gt;
&lt;!-- // End Module: Standard Preheader  --&gt;
&lt;/td&gt;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
&lt;!--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0005/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10 de Fevereiro de
2026&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&lt;p&gt;&lt;span&gt;&lt;span&gt;&lt;strong&gt;Retenção ISS - ISPS Code&lt;/strong&gt;&lt;/span&gt;&lt;/span&gt;&lt;/p&gt;
&lt;hr/&gt;​&lt;br/&gt;
&lt;span&gt;&lt;span&gt;A partir de &lt;strong&gt;01/03/2026&lt;/strong&gt;, seguindo determinação da Secretaria da Fazenda do Município do Rio Grande, &lt;strong&gt;o imposto ISS do serviço ISPS Code&lt;/strong&gt; (código 11.02) passará a ser retido pelo tomador do serviço.&lt;br/&gt;
&lt;br/&gt;
									Os clientes deverão acessar o site da Prefeitura do Rio Grande para efetuar o pagamento do ISS. &lt;/span&gt;&lt;/span&gt;&lt;span&gt;&lt;span&gt;​​​​&lt;/span&gt;&lt;/span&gt;&lt;span&gt;Em caso de dúvidas, entre em contato por meio dos contatos abaixo:&lt;/span&gt;&lt;br/&gt;
&lt;br/&gt;
&lt;span&gt;&lt;span&gt;&lt;strong&gt;NÚCLEO  DE IMPOSTO SOBRE SERVIÇOS DE QUALQUER NATUREZA&lt;/strong&gt;&lt;/span&gt;&lt;/span&gt;&lt;br/&gt;
&lt;br/&gt;
&lt;span&gt;&lt;span&gt;WhatsApp: 53 999481716 – Geral do ISSQN&lt;br/&gt;
									e-mail: &lt;span&gt;issqn@riogrande.rs.gov.br&lt;/span&gt;&lt;/span&gt;&lt;/span&gt;&lt;br/&gt;
&lt;br/&gt;
&lt;span&gt;​​Seguimos à disposição por meio dos nossos Canais de Atendimento.&lt;/span&gt;&lt;br/&gt;
&lt;br/&gt;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&lt;span&gt;&lt;span&gt;&lt;span&gt;&lt;strong&gt;Central de Atendimento&lt;/strong&gt;&lt;/span&gt;&lt;/span&gt;&lt;br/&gt;
&lt;span&gt;&lt;span&gt;&lt;span&gt;&lt;span&gt;&lt;span&gt;&lt;span&gt;&lt;span&gt;&lt;span&gt;&lt;span&gt;&lt;span&gt;&lt;span&gt;&lt;span&gt;+55 53 3234.3030 | atendimento.tcrg@wilsonsons.com.br&lt;/span&gt;&lt;/span&gt;&lt;/span&gt;&lt;/span&gt;&lt;/span&gt;&lt;/span&gt;&lt;/span&gt;&lt;/span&gt;&lt;/span&gt;&lt;/span&gt;&lt;/span&gt;&lt;/span&gt;&lt;/span&gt;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
&lt;table border="0" cellpadding="10" cellspacing="0" width="600"&gt;
&lt;tbody&gt;
&lt;tr&gt;
&lt;td valign="top"&gt;
&lt;!-- // Begin Module: Standard Footer \ --&gt;
&lt;table border="0" cellpadding="10" cellspacing="0" width="100%"&gt;
&lt;tbody&gt;
&lt;tr&gt;
&lt;td colspan="2" valign="middle"&gt;
&lt;div&gt;
&lt;a href="https://go.pardot.com/e/845693/company-wilsonsons-/qq8l1z/2341158389/h/ZA6iFTpHZ-V5-o21EGsCfUeaDeaEqOhbFPdK9vUiFto" target="_blank"&gt;&lt;img alt="Clique neste botão e acesse o Linkedin da Wilson Sons" src="http://go.pardot.com/l/845693/2021-05-17/mx34b8/845693/16212710282JcZGAjm/linkedin.png"/&gt;&lt;/a&gt;  &lt;a href="https://go.pardot.com/e/845693/wilsonsons-/qq8l23/2341158389/h/ZA6iFTpHZ-V5-o21EGsCfUeaDeaEqOhbFPdK9vUiFto" target="_blank"&gt;&lt;img alt="Clique neste botão e acesse o Instagram da Wilson Sons" src="http://go.pardot.com/l/845693/2021-05-17/mx34bq/845693/1621271119Oyp26fjp/instagram.png"/&gt;&lt;/a&gt;  &lt;a href="https://go.pardot.com/e/845693/user-WilsonSonsir/qq8l26/2341158389/h/ZA6iFTpHZ-V5-o21EGsCfUeaDeaEqOhbFPdK9vUiFto" target="_blank"&gt;&lt;img alt="Clique neste botão e acesse o Youtube da Wilson Sons" height="30" src="https://go.pardot.com/l/845693/2022-01-31/nfsnc7/845693/1643652125L2Snvvw4/youtube.png" width="30"/&gt;&lt;/a&gt;
&lt;/div&gt;
&lt;/td&gt;
&lt;/tr&gt;
&lt;tr&gt;
&lt;td valign="top"&gt;
&lt;div&gt;
&lt;div&gt;
&lt;em&gt;&lt;span&gt;&lt;span&gt;&lt;span&gt;&lt;span&gt;&lt;span&gt;&lt;span&gt;&lt;span&gt;&lt;span&gt;&lt;span&gt;&lt;span&gt;&lt;span&gt;&lt;span&gt;&lt;span&gt;&lt;span&gt;&lt;span&gt;&lt;span&gt;&lt;span&gt;&lt;span&gt;&lt;span&gt;&lt;span&gt;Copyright © 2026, Todos os direitos reservados.
&lt;/span&gt;&lt;/span&gt;&lt;/span&gt;&lt;/span&gt;&lt;/span&gt;&lt;/span&gt;&lt;/span&gt;&lt;/span&gt;&lt;/span&gt;&lt;/span&gt;&lt;/span&gt;&lt;/span&gt;&lt;/span&gt;&lt;/span&gt;&lt;/span&gt;&lt;/span&gt;&lt;/span&gt;&lt;/span&gt;&lt;/span&gt;&lt;/span&gt;&lt;/em&gt;&lt;br/&gt;
&lt;span&gt;&lt;a href="https://go.pardot.com/unsubscribe/u/845693/edd209b4594e8120bfb9875305af1e65f50799b7b2aefa05c8f23b18a298e10f/2341158389"&gt;&lt;span&gt;&lt;span&gt;&lt;span&gt;&lt;span&gt;&lt;span&gt;&lt;span&gt;&lt;span&gt;&lt;span&gt;cancelar a assinatura de todos os e-mails&lt;/span&gt;&lt;/span&gt;&lt;/span&gt;&lt;/span&gt;&lt;/span&gt;&lt;/span&gt;&lt;/span&gt;&lt;/span&gt;&lt;/a&gt;&lt;span&gt;&lt;span&gt;&lt;span&gt;&lt;span&gt;&lt;span&gt;&lt;span&gt;&lt;span&gt;&lt;span&gt;| &lt;/span&gt;&lt;/span&gt;&lt;/span&gt;&lt;/span&gt;&lt;/span&gt;&lt;/span&gt;&lt;/span&gt;&lt;/span&gt;&lt;a href="https://go.pardot.com/emailPreference/epc/845693/y-T1y4J_9n09kzuDEBhOa-eg1L8lKg0X8I8PDnkUHiA/edd209b4594e8120bfb9875305af1e65f50799b7b2aefa05c8f23b18a298e10f/2341158389"&gt;&lt;span&gt;&lt;span&gt;&lt;span&gt;&lt;span&gt;&lt;span&gt;&lt;span&gt;&lt;span&gt;&lt;span&gt;atualizar dados de assinatura&lt;/span&gt;&lt;/span&gt;&lt;/span&gt;&lt;/span&gt;&lt;/span&gt;&lt;/span&gt;&lt;/span&gt;&lt;/span&gt;&lt;/a&gt;&lt;/span&gt;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</si>
  <si>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https://wilsonsonstrg.zendesk.com/api/v2/help_center/pt-br/articles/43287279721485.json</t>
  </si>
  <si>
    <t>https://atendimento.teconline.com.br/hc/pt-br/articles/43287279721485-05-02-2026-Comunicado-Importante-Feriado-de-Carnaval</t>
  </si>
  <si>
    <t>05/02/2026 - [Comunicado Importante] - Feriado de Carnaval</t>
  </si>
  <si>
    <t>['01KGQQMDQAHRAZGPG5X3A1RQ4Q']</t>
  </si>
  <si>
    <t>['Feriado', 'Carnaval']</t>
  </si>
  <si>
    <t>&lt;p&gt;[Horário Especial] - Tecon Rio Grande Comunica&lt;/p&gt;&lt;div&gt;&lt;table&gt;&lt;tbody&gt;&lt;tr&gt;&lt;td&gt;
&lt;div&gt;&lt;table&gt;&lt;tbody&gt;&lt;tr&gt;&lt;td&gt; &lt;/td&gt;&lt;/tr&gt;&lt;/tbody&gt;&lt;/table&gt;&lt;/div&gt;&lt;div&gt;&lt;table&gt;&lt;tbody&gt;
&lt;tr&gt;&lt;td&gt;
&lt;p&gt; &lt;/p&gt;
&lt;div&gt;&lt;table&gt;&lt;tbody&gt;&lt;tr&gt;&lt;td&gt; &lt;/td&gt;&lt;/tr&gt;&lt;/tbody&gt;&lt;/table&gt;&lt;/div&gt;&lt;div&gt;&lt;img alt="TECON RIO GRANDE COMUNICA: Horário Especial" height="350" src="http://go.pardot.com/l/845693/2021-08-11/n41v31/845693/1628709696YAcKJloG/TE_TOPO.jpg" width="600"/&gt;&lt;/div&gt;
&lt;/td&gt;&lt;/tr&gt;
&lt;tr&gt;&lt;td&gt;&lt;div&gt;&lt;table&gt;&lt;tbody&gt;&lt;tr&gt;&lt;td&gt;&lt;div&gt;&lt;table&gt;&lt;tbody&gt;&lt;tr&gt;&lt;td&gt;
&lt;div&gt;&lt;table&gt;&lt;tbody&gt;
&lt;tr&gt;
&lt;td&gt; &lt;/td&gt;
&lt;td&gt;&lt;div&gt;&lt;table&gt;&lt;tbody&gt;
&lt;tr&gt;
&lt;td&gt; &lt;/td&gt;
&lt;td colspan="3" rowspan="2"&gt;
&lt;h1&gt;
&lt;span&gt;&lt;span&gt;Nº 0004/2026&lt;/span&gt;&lt;/span&gt;&lt;br/&gt;&lt;span&gt;&lt;span&gt;Rio Grande, 05 de Fevereiro de 2026&lt;/span&gt;&lt;/span&gt;
&lt;/h1&gt;
&lt;p&gt;&lt;img alt='""' height="20" src="http://go.pardot.com/l/845693/2021-08-11/n41v63/845693/1628710296BvJuukZ7/TEXTURA.png" width="600"/&gt;&lt;br/&gt;​​​​​&lt;/p&gt;
&lt;/td&gt;
&lt;/tr&gt;
&lt;tr&gt;&lt;td&gt; &lt;/td&gt;&lt;/tr&gt;
&lt;/tbody&gt;&lt;/table&gt;&lt;/div&gt;&lt;/td&gt;
&lt;td&gt; &lt;/td&gt;
&lt;/tr&gt;
&lt;tr&gt;
&lt;td&gt; &lt;/td&gt;
&lt;td&gt;
&lt;div&gt; &lt;/div&gt;
&lt;div&gt;&lt;div&gt;&lt;table&gt;&lt;tbody&gt;&lt;tr&gt;
&lt;td&gt; &lt;/td&gt;
&lt;td&gt;&lt;div&gt;&lt;table&gt;&lt;tbody&gt;
&lt;tr&gt;
&lt;td&gt; &lt;/td&gt;
&lt;td&gt; &lt;/td&gt;
&lt;td&gt; &lt;/td&gt;
&lt;td&gt; &lt;/td&gt;
&lt;/tr&gt;
&lt;tr&gt;
&lt;td&gt; &lt;/td&gt;
&lt;td colspan="3" rowspan="2"&gt;
&lt;p&gt;&lt;br/&gt;&lt;span&gt;&lt;strong&gt;Feriado de Carnaval&lt;/strong&gt;&lt;/span&gt;&lt;br/&gt;&lt;br/&gt;&lt;span&gt;Em virtude do Feriado de Carnaval, &lt;strong&gt;nos dias 16, 17 e 18 de fevereiro&lt;/strong&gt;, informamos o expediente do Terminal:&lt;/span&gt;&lt;br/&gt;  &lt;/p&gt;
&lt;hr/&gt;
&lt;p&gt;&lt;br/&gt;&lt;span&gt;&lt;strong&gt;&lt;span&gt;Recebimento de containers&lt;/span&gt;&lt;/strong&gt;&lt;/span&gt;&lt;br/&gt;&lt;br/&gt;&lt;span&gt;&lt;strong&gt;16, 17 e 18/02&lt;/strong&gt; - Expediente normal&lt;/span&gt;&lt;br/&gt;&lt;br/&gt;&lt;span&gt;&lt;strong&gt;&lt;span&gt;Retirada de containers&lt;/span&gt;&lt;/strong&gt;&lt;/span&gt;&lt;br/&gt;&lt;br/&gt;&lt;span&gt;&lt;strong&gt;16/02 e 17/02:&lt;/strong&gt;&lt;/span&gt;&lt;br/&gt;&lt;span&gt;Cheios: Sem expediente&lt;/span&gt;&lt;br/&gt;&lt;span&gt;Vazios: Expediente normal&lt;/span&gt;&lt;br/&gt;&lt;br/&gt;&lt;span&gt;&lt;strong&gt;18/02: &lt;/strong&gt;Expediente normal&lt;/span&gt;&lt;br/&gt;&lt;br/&gt;&lt;span&gt;&lt;strong&gt;&lt;span&gt;Armazéns&lt;/span&gt;&lt;/strong&gt;&lt;/span&gt;&lt;br/&gt;&lt;br/&gt;&lt;span&gt;&lt;strong&gt;16/02: &lt;/strong&gt;Sem expediente&lt;/span&gt;&lt;br/&gt;&lt;span&gt;&lt;strong&gt;17/02:&lt;/strong&gt; Sem expediente&lt;/span&gt;&lt;br/&gt;&lt;span&gt;&lt;strong&gt;18/02: &lt;/strong&gt;Expediente normal&lt;/span&gt;&lt;br/&gt;&lt;br/&gt;&lt;span&gt;&lt;strong&gt;&lt;span&gt;Atendimento&lt;/span&gt;&lt;/strong&gt;&lt;/span&gt;&lt;br/&gt;&lt;br/&gt;&lt;span&gt;&lt;strong&gt;16/02: &lt;/strong&gt;Sem expediente&lt;/span&gt;&lt;br/&gt;&lt;span&gt;&lt;strong&gt;17/02:&lt;/strong&gt; Sem expediente&lt;/span&gt;&lt;br/&gt;&lt;span&gt;&lt;strong&gt;18/02: &lt;/strong&gt;Expediente normal&lt;/span&gt;&lt;br/&gt;&lt;br/&gt;&lt;br/&gt;&lt;span&gt;Havendo necessidade de entrega ou retirada, encaminhe sua solicitação aos nossos Canais de Atendimento para análise de viabilidade.&lt;/span&gt;&lt;br/&gt; &lt;/p&gt;
&lt;/td&gt;
&lt;/tr&gt;
&lt;tr&gt;&lt;td&gt; &lt;/td&gt;&lt;/tr&gt;
&lt;tr&gt;
&lt;td&gt; &lt;/td&gt;
&lt;td&gt; &lt;/td&gt;
&lt;td&gt; &lt;/td&gt;
&lt;td&gt; &lt;/td&gt;
&lt;/tr&gt;
&lt;/tbody&gt;&lt;/table&gt;&lt;/div&gt;&lt;/td&gt;
&lt;/tr&gt;&lt;/tbody&gt;&lt;/table&gt;&lt;/div&gt;&lt;/div&gt;
&lt;/td&gt;
&lt;td&gt; &lt;/td&gt;
&lt;td&gt; &lt;/td&gt;
&lt;/tr&gt;
&lt;tr&gt;
&lt;td&gt; &lt;/td&gt;
&lt;td&gt; &lt;/td&gt;
&lt;td&gt; &lt;/td&gt;
&lt;/tr&gt;
&lt;tr&gt;
&lt;td&gt; &lt;/td&gt;
&lt;td&gt;
&lt;br/&gt;&lt;span&gt;&lt;span&gt;&lt;strong&gt;Central de Atendimento&lt;/strong&gt;&lt;/span&gt;&lt;/span&gt;&lt;br/&gt;&lt;span&gt;&lt;span&gt;+55 53 3234.3030 | &lt;/span&gt;&lt;span&gt;atendimento.tcrg@wilsonsons.com.br&lt;/span&gt;&lt;/span&gt;
&lt;/td&gt;
&lt;td&gt; &lt;/td&gt;
&lt;/tr&gt;
&lt;tr&gt;
&lt;td&gt; &lt;/td&gt;
&lt;td&gt; &lt;/td&gt;
&lt;/tr&gt;
&lt;tr&gt;
&lt;td&gt; &lt;/td&gt;
&lt;td&gt;&lt;div&gt;&lt;table&gt;&lt;tbody&gt;&lt;tr&gt;&lt;td&gt;&lt;img alt='""' src="http://go.pardot.com/l/845693/2021-05-17/mx2xf4/845693/1621263737Dk6e8hZ3/WS_TEXTURA.png"/&gt;&lt;/td&gt;&lt;/tr&gt;&lt;/tbody&gt;&lt;/table&gt;&lt;/div&gt;&lt;/td&gt;
&lt;td&gt; &lt;/td&gt;
&lt;td&gt; &lt;/td&gt;
&lt;/tr&gt;
&lt;tr&gt;
&lt;td&gt; &lt;/td&gt;
&lt;td&gt; &lt;/td&gt;
&lt;td&gt; &lt;/td&gt;
&lt;td&gt; &lt;/td&gt;
&lt;/tr&gt;
&lt;/tbody&gt;&lt;/table&gt;&lt;/div&gt;&lt;hr/&gt;
&lt;h2&gt;&lt;img alt="" height="92" src="http://go.pardot.com/l/845693/2021-05-17/mx33wj/845693/1621269268bZlHPKWW/TE_EMKT_NAV_INTERIOR_CONHECIMENTO_23.png" width="92"/&gt;&lt;/h2&gt;
&lt;/td&gt;&lt;/tr&gt;&lt;/tbody&gt;&lt;/table&gt;&lt;/div&gt;&lt;/td&gt;&lt;/tr&gt;&lt;/tbody&gt;&lt;/table&gt;&lt;/div&gt;&lt;/td&gt;&lt;/tr&gt;
&lt;tr&gt;&lt;td&gt; &lt;/td&gt;&lt;/tr&gt;
&lt;/tbody&gt;&lt;/table&gt;&lt;/div&gt;
&lt;/td&gt;&lt;/tr&gt;&lt;/tbody&gt;&lt;/table&gt;&lt;/div&gt;</t>
  </si>
  <si>
    <t>https://wilsonsonstrg.zendesk.com/api/v2/help_center/pt-br/articles/43079305437069.json</t>
  </si>
  <si>
    <t>https://atendimento.teconline.com.br/hc/pt-br/articles/43079305437069-Guia-de-Esclarecimentos-sobre-a-Emiss%C3%A3o-de-Faturas-na-Nova-Reforma-Tribut%C3%A1ria</t>
  </si>
  <si>
    <t>Guia de Esclarecimentos sobre a Emissão de Faturas na Nova Reforma Tributária</t>
  </si>
  <si>
    <t>['Tributação', 'Reforma Tributária']</t>
  </si>
  <si>
    <t>&lt;p&gt;&lt;span&gt;Com o avanço da Reforma Tributária e a implementação da Nota Fiscal de Serviço Eletrônica Nacional (NFS-e Nacional), surgiram algumas dúvidas comuns em relação à composição de valores e à legislação.&lt;/span&gt;&lt;/p&gt;&lt;p&gt; &lt;/p&gt;&lt;p&gt;&lt;span&gt;Abaixo, detalhamos os principais questionamentos de nossos clientes e os respectivos esclarecimentos.&lt;/span&gt;&lt;/p&gt;&lt;p&gt; &lt;/p&gt;&lt;p&gt;&lt;span&gt;1. Sobre a Legislação e a Inclusão de Impostos no Valor Total da Nota Fiscal&lt;/span&gt;&lt;/p&gt;&lt;div&gt; &lt;/div&gt;&lt;p&gt;&lt;span&gt;&lt;strong&gt;Questionamento do Cliente:&lt;/strong&gt;&lt;/span&gt;&lt;span&gt; &lt;/span&gt;&lt;span&gt;"Nosso fiscal está solicitando a legislação que fala da inclusão dos impostos no valor total da NF."&lt;/span&gt;&lt;/p&gt;&lt;p&gt;&lt;span&gt;&lt;strong&gt;Nosso Esclarecimento:&lt;/strong&gt;&lt;/span&gt;&lt;/p&gt;&lt;ul&gt;
&lt;li&gt;
&lt;span&gt;&lt;strong&gt;Fundamento Legal:&lt;/strong&gt;&lt;/span&gt;&lt;span&gt; &lt;/span&gt;&lt;span&gt;Os impostos incidentes sempre existiram, conforme prevê a&lt;/span&gt;&lt;span&gt; &lt;/span&gt;&lt;span&gt;&lt;strong&gt;Lei Complementar (LC) 116/03&lt;/strong&gt;&lt;/span&gt;&lt;span&gt; &lt;/span&gt;&lt;span&gt;(Imposto Sobre Serviços de Qualquer Natureza - ISS). O que mudou é a forma de apresentação.&lt;/span&gt;
&lt;/li&gt;
&lt;li&gt;
&lt;span&gt;&lt;strong&gt;Modelo de NF:&lt;/strong&gt;&lt;/span&gt;&lt;span&gt; &lt;/span&gt;&lt;span&gt;De acordo com o novo modelo da Nota Fiscal no ambiente nacional, os impostos passaram a ser destacados de forma mais evidente.&lt;/span&gt;
&lt;/li&gt;
&lt;li&gt;
&lt;span&gt;&lt;strong&gt;Reforma Tributária:&lt;/strong&gt;&lt;/span&gt;&lt;span&gt; &lt;/span&gt;&lt;span&gt;A&lt;/span&gt;&lt;span&gt; &lt;/span&gt;&lt;span&gt;&lt;strong&gt;Lei Complementar 214/2025&lt;/strong&gt;&lt;/span&gt;&lt;span&gt; &lt;/span&gt;&lt;span&gt;regulamenta a Reforma Tributária, estabelecendo o novo modelo de tributação do consumo no Brasil, que institui o Imposto sobre Bens e Serviços (IBS), a Contribuição Social sobre Bens e Serviços (CBS) e o Imposto Seletivo (IS), que estão em processo de implementação.&lt;/span&gt;
&lt;/li&gt;
&lt;/ul&gt;&lt;p&gt; &lt;/p&gt;&lt;p&gt;&lt;span&gt;2. Sobre o Cálculo dos Tributos (PIS e COFINS)&lt;/span&gt;&lt;/p&gt;&lt;p&gt;&lt;span&gt;&lt;strong&gt;Questionamento do Cliente:&lt;/strong&gt;&lt;/span&gt;&lt;span&gt; &lt;/span&gt;&lt;span&gt;"Preciso do cálculo para saber como vocês chegaram ao valor de R$ 122,20."&lt;/span&gt;&lt;/p&gt;&lt;p&gt;&lt;span&gt;&lt;strong&gt;Nosso Esclarecimento:&lt;/strong&gt;&lt;/span&gt;&lt;/p&gt;&lt;ul&gt;
&lt;li&gt;
&lt;span&gt;&lt;strong&gt;Legislação Aplicável:&lt;/strong&gt;&lt;/span&gt;&lt;span&gt; &lt;/span&gt;&lt;span&gt;O cálculo do PIS e da COFINS é regido pelas&lt;/span&gt;&lt;span&gt; &lt;/span&gt;&lt;span&gt;&lt;strong&gt;Leis 10.637/02&lt;/strong&gt;&lt;/span&gt;&lt;span&gt; &lt;/span&gt;&lt;span&gt;e&lt;/span&gt;&lt;span&gt; &lt;/span&gt;&lt;span&gt;&lt;strong&gt;10.833/03&lt;/strong&gt;&lt;/span&gt;&lt;span&gt;.&lt;/span&gt;
&lt;/li&gt;
&lt;li&gt;
&lt;span&gt;&lt;strong&gt;Cálculo "Por Dentro":&lt;/strong&gt;&lt;/span&gt;&lt;span&gt; &lt;/span&gt;&lt;span&gt;O PIS e a COFINS são tributos calculados&lt;/span&gt;&lt;span&gt; &lt;/span&gt;&lt;span&gt;&lt;strong&gt;"por dentro"&lt;/strong&gt;&lt;/span&gt;&lt;span&gt;. Isso significa que o custo desses impostos é integrado ao valor do serviço para se chegar ao valor líquido acordado. Portanto, a base de cálculo é o valor bruto da operação (Valor do Serviço), compondo a carga tributária obrigatória da nota fiscal.&lt;/span&gt;
&lt;/li&gt;
&lt;/ul&gt;&lt;div&gt;Segue abaixo a composição do valor do serviço prestado de R$ 122,20:&lt;br/&gt; &lt;/div&gt;&lt;div&gt;&lt;table&gt;&lt;tbody&gt;
&lt;tr&gt;
&lt;td&gt;&lt;span&gt;Preço Liquido&lt;/span&gt;&lt;/td&gt;
&lt;td&gt;&lt;span&gt;106,00&lt;/span&gt;&lt;/td&gt;
&lt;/tr&gt;
&lt;tr&gt;
&lt;td&gt;&lt;span&gt;PIS (1,65%)&lt;/span&gt;&lt;/td&gt;
&lt;td&gt;&lt;span&gt;2,02&lt;/span&gt;&lt;/td&gt;
&lt;/tr&gt;
&lt;tr&gt;
&lt;td&gt;&lt;span&gt;Cofins (7,6%)&lt;/span&gt;&lt;/td&gt;
&lt;td&gt;&lt;span&gt;9,29&lt;/span&gt;&lt;/td&gt;
&lt;/tr&gt;
&lt;tr&gt;
&lt;td&gt;&lt;span&gt;ISS (4%)&lt;/span&gt;&lt;/td&gt;
&lt;td&gt;&lt;span&gt;4,89&lt;/span&gt;&lt;/td&gt;
&lt;/tr&gt;
&lt;tr&gt;
&lt;td&gt;&lt;span&gt;Valor do Serviço&lt;/span&gt;&lt;/td&gt;
&lt;td&gt;&lt;span&gt;122,20&lt;/span&gt;&lt;/td&gt;
&lt;/tr&gt;
&lt;/tbody&gt;&lt;/table&gt;&lt;/div&gt;&lt;div&gt; &lt;/div&gt;&lt;p&gt;&lt;span&gt;3. Sobre Diferença de Valores na ADN (NFS-e Nacional)&lt;/span&gt;&lt;/p&gt;&lt;p&gt;&lt;span&gt;&lt;strong&gt;Questionamento do Cliente:&lt;/strong&gt;&lt;/span&gt;&lt;span&gt; &lt;/span&gt;&lt;span&gt;"Notas com valor diferente na ADN (&lt;/span&gt;&lt;span&gt;Ambiente de Dados Nacional&lt;/span&gt;&lt;span&gt;)."&lt;/span&gt;&lt;/p&gt;&lt;p&gt;&lt;span&gt;&lt;strong&gt;Nosso Esclarecimento:&lt;/strong&gt;&lt;/span&gt;&lt;/p&gt;&lt;p&gt;&lt;span&gt;A divergência de valores na ADN ocorreu em um lote de notas devido a um erro inicial no ambiente de produção da Prefeitura de Rio Grande, durante a adequação à Reforma Tributária. As correções foram aplicadas e as notas fiscais corrigidas e reenviadas em 18/01/2026.&lt;/span&gt;&lt;br/&gt;&lt;span&gt; &lt;/span&gt;&lt;/p&gt;&lt;p&gt;&lt;span&gt;&lt;span&gt;Estamos à disposição para quaisquer esclarecimentos adicionais e para auxiliar na emissão de documentos de correção. Também, disponibilizamos em anexo uma ferramenta que &lt;/span&gt;&lt;/span&gt;permitirá que os você realize o cálculo dos valores das Notas Fiscais recebidas de forma direta e simplificada.&lt;/p&gt;&lt;p&gt; &lt;/p&gt;&lt;p&gt; &lt;/p&gt;</t>
  </si>
  <si>
    <t>https://wilsonsonstrg.zendesk.com/api/v2/help_center/pt-br/articles/41548829098765.json</t>
  </si>
  <si>
    <t>https://atendimento.teconline.com.br/hc/pt-br/articles/41548829098765-Feriados-de-Natal-e-Ano-Novo</t>
  </si>
  <si>
    <t>Feriados de Natal e Ano Novo</t>
  </si>
  <si>
    <t>['01H90WBJBCCZDGRHGT3Y9WHEE4', '01KB5FGQQH38XMR524JESM047K']</t>
  </si>
  <si>
    <t>['feriado', 'natal', 'festas', 'gate', 'vazio', 'ano novo', 'feriados', 'cheio', 'final de ano', 'abertura']</t>
  </si>
  <si>
    <t>&lt;!-- Facebook sharing information tags --&gt;
&lt;table border="0" cellpadding="0" cellspacing="0" width="100%"&gt;
&lt;tbody&gt;
&lt;tr&gt;
&lt;td align="center" valign="top"&gt;
&lt;!-- // Begin Template Preheader \ --&gt;
&lt;table border="0" cellpadding="10" cellspacing="0" width="600"&gt;
&lt;tbody&gt;
&lt;tr&gt;
&lt;td valign="top"&gt;
&lt;!-- // Begin Module: Standard Preheader  --&gt;
&lt;table border="0" cellpadding="10" cellspacing="0" width="100%"&gt;
&lt;tbody&gt;
&lt;tr&gt;
&lt;td valign="top"&gt;
&lt;div&gt;
&lt;div&gt;&lt;em&gt;&lt;span&gt;&lt;span&gt;&lt;span&gt;&lt;span&gt;&lt;span&gt;&lt;span&gt;Chegou sua atualização de horário especial do Tecon Rio Grande.&lt;/span&gt;&lt;/span&gt;&lt;/span&gt;&lt;/span&gt;&lt;/span&gt;&lt;/span&gt;&lt;/em&gt;&lt;/div&gt;
&lt;/div&gt;
&lt;/td&gt;
&lt;td valign="top"&gt;
&lt;div&gt;
&lt;div&gt;&lt;span&gt;&lt;span&gt;&lt;span&gt;&lt;span&gt;&lt;span&gt;&lt;span&gt;&lt;span&gt;&lt;span&gt;&lt;span&gt;&lt;span&gt;Que tal visualizar este e-mail &lt;/span&gt;&lt;/span&gt;&lt;/span&gt;&lt;/span&gt;&lt;/span&gt;&lt;/span&gt;&lt;/span&gt;&lt;/span&gt;&lt;br/&gt;
&lt;a href="https://go.pardot.com/webmail/845693/2276121671/e0ea058ee7c1d2894316e9648436328c16c93446c137064d5f30b1fa88e52cf0" target="_blank"&gt;&lt;span&gt;&lt;span&gt;&lt;span&gt;&lt;span&gt;&lt;span&gt;&lt;span&gt;&lt;span&gt;&lt;span&gt;em seu navegador&lt;/span&gt;&lt;/span&gt;&lt;/span&gt;&lt;/span&gt;&lt;/span&gt;&lt;/span&gt;&lt;/span&gt;&lt;/span&gt;&lt;/a&gt;&lt;/span&gt;&lt;/span&gt;&lt;/div&gt;
&lt;/div&gt;
&lt;/td&gt;
&lt;/tr&gt;
&lt;/tbody&gt;
&lt;/table&gt;
&lt;!-- // End Module: Standard Preheader  --&gt;
&lt;/td&gt;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
&lt;!--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0033/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27 de Novembro de
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
&lt;span&gt;&lt;span&gt;&lt;span&gt;&lt;span&gt;&lt;span&gt;&lt;span&gt;&lt;span&gt;&lt;span&gt;&lt;span&gt;&lt;span&gt;&lt;span&gt;&lt;span&gt;&lt;span&gt;&lt;span&gt;&lt;span&gt;&lt;span&gt;&lt;span&gt;&lt;span&gt;&lt;strong&gt;&lt;span&gt;&lt;span&gt;&lt;span&gt;&lt;span&gt;&lt;span&gt;&lt;span&gt;&lt;span&gt;&lt;span&gt;&lt;span&gt;&lt;span&gt;&lt;span&gt;&lt;span&gt;&lt;span&gt;&lt;span&gt;&lt;span&gt;&lt;span&gt;&lt;span&gt;&lt;span&gt;&lt;span&gt;&lt;span&gt;&lt;span&gt;&lt;span&gt;Feriados de Natal e Ano
Novo&lt;/span&gt;&lt;/span&gt;&lt;/span&gt;&lt;/span&gt;&lt;/span&gt;&lt;/span&gt;&lt;/span&gt;&lt;/span&gt;&lt;/span&gt;&lt;/span&gt;&lt;/span&gt;&lt;/span&gt;&lt;/span&gt;&lt;/span&gt;&lt;/span&gt;&lt;/span&gt;&lt;/span&gt;&lt;/span&gt;&lt;/span&gt;&lt;/span&gt;&lt;/span&gt;&lt;/span&gt;&lt;/strong&gt;&lt;/span&gt;&lt;/span&gt;&lt;/span&gt;&lt;/span&gt;&lt;/span&gt;&lt;/span&gt;&lt;/span&gt;&lt;/span&gt;&lt;/span&gt;&lt;/span&gt;&lt;/span&gt;&lt;/span&gt;&lt;/span&gt;&lt;/span&gt;&lt;/span&gt;&lt;/span&gt;&lt;/span&gt;&lt;/span&gt;&lt;br/&gt;
&lt;br/&gt;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Em virtude dos Feriados de Natal e Ano Novo, informamos o expediente do
Terminal:&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&lt;hr/&gt;
&lt;br/&gt;
&lt;span&gt;&lt;span&gt;&lt;span&gt;&lt;strong&gt;Recebimento cheios e vazios:&lt;/strong&gt;&lt;/span&gt;&lt;br/&gt;
&lt;br/&gt;
&lt;strong&gt;24/12 e 31/12:&lt;/strong&gt; operação até às &lt;strong&gt;17:00&lt;br/&gt;
									25/12 e 01/01:&lt;/strong&gt; sem recebimento&lt;br/&gt;
&lt;br/&gt;
&lt;span&gt;&lt;strong&gt;Retirada de containers de importação:&lt;/strong&gt;&lt;/span&gt;&lt;br/&gt;
&lt;br/&gt;
&lt;strong&gt;24/12 e 31/12:&lt;/strong&gt;&lt;br/&gt;
&lt;strong&gt;Cheios:&lt;/strong&gt; operação até às &lt;strong&gt;14:00&lt;br/&gt;
									Vazios: &lt;/strong&gt;operação até às &lt;strong&gt;17:00&lt;/strong&gt;&lt;br/&gt;
&lt;br/&gt;
&lt;strong&gt;25/12 e 01/01&lt;/strong&gt;: Sem retiradas&lt;/span&gt;&lt;/span&gt;&lt;br/&gt;
&lt;br/&gt;
&lt;span&gt;&lt;span&gt;&lt;span&gt;&lt;strong&gt;Armazéns | Importação e Exportação:&lt;/strong&gt;&lt;/span&gt;&lt;br/&gt;
&lt;br/&gt;
&lt;strong&gt;24/12 e 31/12:&lt;/strong&gt;&lt;br/&gt;
									Agendamento até às &lt;strong&gt;10:00&lt;/strong&gt;&lt;br/&gt;
									Expediente até às&lt;strong&gt; 12:00&lt;/strong&gt;&lt;br/&gt;
&lt;br/&gt;
&lt;strong&gt;25/12 e 01/01:&lt;/strong&gt; Sem expediente.&lt;br/&gt;
&lt;br/&gt;
&lt;span&gt;&lt;strong&gt;Atendimento ao Cliente:&lt;/strong&gt;&lt;/span&gt;&lt;br/&gt;
&lt;br/&gt;
&lt;strong&gt;24/12 e 31/12&lt;/strong&gt; - Expediente até às 12h&lt;br/&gt;
&lt;strong&gt;25/12 e 01/01&lt;/strong&gt; - Sem Expediente&lt;br/&gt;
&lt;br/&gt;
									Em caso de dúvidas, entre em contato por meio de nossos&lt;br/&gt;
									Canais de Atendimento.&lt;/span&gt;&lt;/span&gt;&lt;br/&gt;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&lt;span&gt;&lt;span&gt;&lt;span&gt;&lt;strong&gt;&lt;span&gt;&lt;span&gt;&lt;span&gt;&lt;span&gt;&lt;span&gt;&lt;span&gt;&lt;span&gt;&lt;span&gt;Central de Atendimento&lt;/span&gt;&lt;/span&gt;&lt;/span&gt;&lt;/span&gt;&lt;/span&gt;&lt;/span&gt;&lt;/span&gt;&lt;/span&gt;&lt;/strong&gt;&lt;/span&gt;&lt;/span&gt;&lt;br/&gt;
&lt;span&gt;&lt;span&gt;&lt;span&gt;&lt;span&gt;&lt;span&gt;&lt;span&gt;&lt;span&gt;&lt;span&gt;&lt;span&gt;&lt;span&gt;+55 53 3234.3030 | &lt;/span&gt;&lt;/span&gt;&lt;/span&gt;&lt;/span&gt;&lt;/span&gt;&lt;/span&gt;&lt;/span&gt;&lt;span&gt;&lt;span&gt;&lt;span&gt;&lt;span&gt;&lt;span&gt;&lt;span&gt;&lt;span&gt;atendimento.tcrg@wilsonsons.com.br&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
&lt;table border="0" cellpadding="10" cellspacing="0" width="600"&gt;
&lt;tbody&gt;
&lt;tr&gt;
&lt;td valign="top"&gt;
&lt;!-- // Begin Module: Standard Footer \ --&gt;
&lt;table border="0" cellpadding="10" cellspacing="0" width="100%"&gt;
&lt;tbody&gt;
&lt;tr&gt;
&lt;td colspan="2" valign="middle"&gt;
&lt;div&gt;
&lt;a href="https://go.pardot.com/e/845693/company-wilsonsons-/qp5klp/2276121671/h/PC5IhhhvNLWW6xExpiJmnSHZIUHNofExU7L8a--9H-I" target="_blank"&gt;&lt;img alt="Clique neste botão e acesse o Linkedin da Wilson Sons" src="http://go.pardot.com/l/845693/2021-05-17/mx34b8/845693/16212710282JcZGAjm/linkedin.png"/&gt;&lt;/a&gt;  &lt;a href="https://go.pardot.com/e/845693/wilsonsons-/qp5kls/2276121671/h/PC5IhhhvNLWW6xExpiJmnSHZIUHNofExU7L8a--9H-I" target="_blank"&gt;&lt;img alt="Clique neste botão e acesse o Instagram da Wilson Sons" src="http://go.pardot.com/l/845693/2021-05-17/mx34bq/845693/1621271119Oyp26fjp/instagram.png"/&gt;&lt;/a&gt;  &lt;img alt="Clique neste botão e acesse o Youtube da Wilson Sons" src="https://go.pardot.com/l/845693/2022-01-31/nfsnc7/845693/1643652125L2Snvvw4/youtube.png"/&gt;
&lt;/div&gt;
&lt;/td&gt;
&lt;/tr&gt;
&lt;tr&gt;
&lt;td valign="top"&gt;
&lt;div&gt;
&lt;div&gt;
&lt;em&gt;&lt;span&gt;&lt;span&gt;&lt;span&gt;&lt;span&gt;&lt;span&gt;&lt;span&gt;&lt;span&gt;&lt;span&gt;&lt;span&gt;&lt;span&gt;&lt;span&gt;&lt;span&gt;&lt;span&gt;&lt;span&gt;&lt;span&gt;&lt;span&gt;&lt;span&gt;&lt;span&gt;&lt;span&gt;&lt;span&gt;Copyright © 2025, Todos os direitos reservados.
&lt;/span&gt;&lt;/span&gt;&lt;/span&gt;&lt;/span&gt;&lt;/span&gt;&lt;/span&gt;&lt;/span&gt;&lt;/span&gt;&lt;/span&gt;&lt;/span&gt;&lt;/span&gt;&lt;/span&gt;&lt;/span&gt;&lt;/span&gt;&lt;/span&gt;&lt;/span&gt;&lt;/span&gt;&lt;/span&gt;&lt;/span&gt;&lt;/span&gt;&lt;/em&gt;&lt;br/&gt;
&lt;span&gt;&lt;a href="https://go.pardot.com/unsubscribe/u/845693/e0ea058ee7c1d2894316e9648436328c16c93446c137064d5f30b1fa88e52cf0/2276121671"&gt;&lt;span&gt;&lt;span&gt;&lt;span&gt;&lt;span&gt;&lt;span&gt;&lt;span&gt;&lt;span&gt;&lt;span&gt;cancelar a assinatura de todos os e-mails&lt;/span&gt;&lt;/span&gt;&lt;/span&gt;&lt;/span&gt;&lt;/span&gt;&lt;/span&gt;&lt;/span&gt;&lt;/span&gt;&lt;/a&gt;&lt;span&gt;&lt;span&gt;&lt;span&gt;&lt;span&gt;&lt;span&gt;&lt;span&gt;&lt;span&gt;&lt;span&gt;| &lt;/span&gt;&lt;/span&gt;&lt;/span&gt;&lt;/span&gt;&lt;/span&gt;&lt;/span&gt;&lt;/span&gt;&lt;/span&gt;&lt;a href="https://go.pardot.com/emailPreference/epc/845693/rcGkAdJiN461WztlsFMGytq-cwNQEbzBFV-zmM50zTo/e0ea058ee7c1d2894316e9648436328c16c93446c137064d5f30b1fa88e52cf0/2276121671"&gt;&lt;span&gt;&lt;span&gt;&lt;span&gt;&lt;span&gt;&lt;span&gt;&lt;span&gt;&lt;span&gt;&lt;span&gt;atualizar dados de assinatura&lt;/span&gt;&lt;/span&gt;&lt;/span&gt;&lt;/span&gt;&lt;/span&gt;&lt;/span&gt;&lt;/span&gt;&lt;/span&gt;&lt;/a&gt;&lt;/span&gt;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</si>
  <si>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https://wilsonsonstrg.zendesk.com/api/v2/help_center/pt-br/articles/41200958123533.json</t>
  </si>
  <si>
    <t>https://atendimento.teconline.com.br/hc/pt-br/articles/41200958123533-Reforma-Tribut%C3%A1ria-Nota-fiscal-e-Pre%C3%A7o-L%C3%ADquido</t>
  </si>
  <si>
    <t>Reforma Tributária | Nota fiscal e Preço Líquido</t>
  </si>
  <si>
    <t>['01KA97HSSH3T8P77CXF5TJ982P', '01KA97HXMM1DCHZW984KZNVVJS', '01KA97J28WFC1ZBF2JRH6F7HMA']</t>
  </si>
  <si>
    <t>['nota fiscal', 'reforma', 'tributária', 'preço liquido']</t>
  </si>
  <si>
    <t>&lt;!-- Facebook sharing information tags --&gt;
&lt;table border="0" cellpadding="0" cellspacing="0" width="100%"&gt;
&lt;tbody&gt;
&lt;tr&gt;
&lt;td align="center" valign="top"&gt;
&lt;!-- // Begin Template Preheader \ --&gt;
&lt;table border="0" cellpadding="10" cellspacing="0" width="600"&gt;
&lt;tbody&gt;
&lt;tr&gt;
&lt;td valign="top"&gt;
&lt;!-- // Begin Module: Standard Preheader  --&gt;
&lt;table border="0" cellpadding="10" cellspacing="0" width="100%"&gt;
&lt;tbody&gt;
&lt;tr&gt;
&lt;td valign="top"&gt;
&lt;div&gt;
&lt;div&gt;&lt;em&gt;&lt;span&gt;&lt;span&gt;&lt;span&gt;&lt;span&gt;&lt;span&gt;&lt;span&gt;&lt;span&gt;&lt;span&gt;Chegou sua atualização de informações importantes do Tecon Rio Grande.&lt;/span&gt;&lt;/span&gt;&lt;/span&gt;&lt;/span&gt;&lt;/span&gt;&lt;/span&gt;&lt;/span&gt;&lt;/span&gt;&lt;/em&gt;&lt;/div&gt;
&lt;/div&gt;
&lt;/td&gt;
&lt;td valign="top"&gt;
&lt;div&gt;
&lt;div&gt;&lt;span&gt;&lt;span&gt;&lt;span&gt;&lt;span&gt;&lt;span&gt;&lt;span&gt;&lt;span&gt;&lt;span&gt;&lt;span&gt;&lt;span&gt;&lt;span&gt;&lt;span&gt;Que tal visualizar este e-mail &lt;/span&gt;&lt;/span&gt;&lt;/span&gt;&lt;/span&gt;&lt;/span&gt;&lt;/span&gt;&lt;/span&gt;&lt;/span&gt;&lt;/span&gt;&lt;/span&gt;&lt;br/&gt;
&lt;a href="https://go.pardot.com/webmail/845693/2231642716/bf3fbdd3ee0c42575433546c29a2d97609b25f4197bdab5a6d0c11229507dad0" target="_blank"&gt;&lt;span&gt;&lt;span&gt;&lt;span&gt;&lt;span&gt;&lt;span&gt;&lt;span&gt;&lt;span&gt;&lt;span&gt;&lt;span&gt;&lt;span&gt;em seu navegador&lt;/span&gt;&lt;/span&gt;&lt;/span&gt;&lt;/span&gt;&lt;/span&gt;&lt;/span&gt;&lt;/span&gt;&lt;/span&gt;&lt;/span&gt;&lt;/span&gt;&lt;/a&gt;&lt;/span&gt;&lt;/span&gt;&lt;/div&gt;
&lt;/div&gt;
&lt;/td&gt;
&lt;/tr&gt;
&lt;/tbody&gt;
&lt;/table&gt;
&lt;!-- // End Module: Standard Preheader  --&gt;
&lt;/td&gt;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
&lt;!--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0023/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08 de
Outubro 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&lt;p&gt;&lt;span&gt;&lt;span&gt;&lt;strong&gt;Reforma Tributária | Nota fiscal e Preço Líquido&lt;/strong&gt;&lt;/span&gt;&lt;/span&gt;&lt;/p&gt;
&lt;hr/&gt;
&lt;p&gt;​&lt;br/&gt;
&lt;span&gt;&lt;span&gt;Prezados Clientes,&lt;/span&gt;&lt;/span&gt;&lt;br/&gt;
&lt;br/&gt;
&lt;span&gt;&lt;span&gt;Em atendimento às diretrizes da Reforma Tributária, &lt;strong&gt;a partir de 1º de janeiro de 2026,&lt;/strong&gt; teremos um novo formato de Nota Fiscal definido pela Prefeitura do Rio Grande. &lt;/span&gt;&lt;/span&gt;&lt;/p&gt;
&lt;div&gt;
&lt;span&gt;&lt;span&gt;Mantendo a &lt;strong&gt;transparência e clareza&lt;/strong&gt; na relação comercial, todos os serviços prestados pelo terminal terão seu &lt;strong&gt;preço líquido&lt;/strong&gt; apresentado em nossa Estrutura de Serviços e Preços, bem como em negociações e contratos.&lt;/span&gt;&lt;/span&gt;&lt;br/&gt;
																					 &lt;/div&gt;
&lt;div&gt;
&lt;span&gt;&lt;span&gt;Adicionalmente, algumas nomenclaturas de serviços serão adaptadas para se adequarem ao novo modelo da Reforma Tributária, essas alterações serão informadas na sequência.&lt;/span&gt;&lt;/span&gt;&lt;br/&gt;
																					 &lt;/div&gt;
&lt;div&gt;
&lt;span&gt;&lt;span&gt;O novo formato da Nota Fiscal &lt;strong&gt;será divulgado assim que for oficialmente disponibilizado pela Prefeitura.&lt;/strong&gt;&lt;/span&gt;&lt;/span&gt;&lt;br/&gt;
																					 &lt;/div&gt;
&lt;div&gt;
&lt;span&gt;&lt;span&gt;Estamos à disposição para quaisquer outros esclarecimentos que se façam necessários.&lt;/span&gt;&lt;/span&gt;&lt;br/&gt;
&lt;br/&gt;
&lt;span&gt;&lt;span&gt;&lt;span&gt;&lt;span&gt;&lt;span&gt;&lt;span&gt;&lt;span&gt;​​&lt;/span&gt;&lt;/span&gt;&lt;/span&gt;&lt;/span&gt;&lt;/span&gt;&lt;/span&gt;&lt;/span&gt;
&lt;/div&gt;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&lt;span&gt;&lt;span&gt;&lt;span&gt;&lt;strong&gt;&lt;span&gt;&lt;span&gt;&lt;span&gt;&lt;span&gt;&lt;span&gt;&lt;span&gt;&lt;span&gt;&lt;span&gt;&lt;span&gt;&lt;span&gt;&lt;span&gt;&lt;span&gt;Central de Atendimento&lt;/span&gt;&lt;/span&gt;&lt;/span&gt;&lt;/span&gt;&lt;/span&gt;&lt;/span&gt;&lt;/span&gt;&lt;/span&gt;&lt;/span&gt;&lt;/span&gt;&lt;/span&gt;&lt;/span&gt;&lt;/strong&gt;&lt;/span&gt;&lt;/span&gt;&lt;br/&gt;
&lt;span&gt;&lt;span&gt;&lt;span&gt;&lt;span&gt;&lt;span&gt;&lt;span&gt;&lt;span&gt;&lt;span&gt;&lt;span&gt;&lt;span&gt;&lt;span&gt;&lt;span&gt;&lt;span&gt;&lt;span&gt;+55 53 3234.3030 | &lt;/span&gt;&lt;/span&gt;&lt;/span&gt;&lt;/span&gt;&lt;/span&gt;&lt;/span&gt;&lt;/span&gt;&lt;/span&gt;&lt;/span&gt;&lt;/span&gt;&lt;/span&gt;&lt;span&gt;&lt;span&gt;&lt;span&gt;&lt;span&gt;&lt;span&gt;&lt;span&gt;&lt;span&gt;&lt;span&gt;&lt;span&gt;&lt;span&gt;&lt;span&gt;atendimento.tcrg@wilsonsons.com.br&lt;/span&gt;&lt;/span&gt;&lt;/span&gt;&lt;/span&gt;&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
&lt;table border="0" cellpadding="10" cellspacing="0" width="600"&gt;
&lt;tbody&gt;
&lt;tr&gt;
&lt;td valign="top"&gt;
&lt;!-- // Begin Module: Standard Footer \ --&gt;
&lt;table border="0" cellpadding="10" cellspacing="0" width="100%"&gt;
&lt;tbody&gt;
&lt;tr&gt;
&lt;td colspan="2" valign="middle"&gt;
&lt;div&gt;
&lt;a href="https://go.pardot.com/e/845693/company-wilsonsons-/qmmhdr/2231642716/h/iF7FgE-2yat-f8KejVLjggVilxcjmzCbh20vPVInqv4" target="_blank"&gt;&lt;img alt="Clique neste botão e acesse o Linkedin da Wilson Sons" src="http://go.pardot.com/l/845693/2021-05-17/mx34b8/845693/16212710282JcZGAjm/linkedin.png"/&gt;&lt;/a&gt;  &lt;a href="https://go.pardot.com/e/845693/wilsonsons-/qmmhdv/2231642716/h/iF7FgE-2yat-f8KejVLjggVilxcjmzCbh20vPVInqv4" target="_blank"&gt;&lt;img alt="Clique neste botão e acesse o Instagram da Wilson Sons" src="http://go.pardot.com/l/845693/2021-05-17/mx34bq/845693/1621271119Oyp26fjp/instagram.png"/&gt;&lt;/a&gt;  &lt;a href="https://go.pardot.com/e/845693/user-WilsonSonsir/qmmhdy/2231642716/h/iF7FgE-2yat-f8KejVLjggVilxcjmzCbh20vPVInqv4" target="_blank"&gt;&lt;img alt="Clique neste botão e acesse o Youtube da Wilson Sons" height="30" src="https://go.pardot.com/l/845693/2022-01-31/nfsnc7/845693/1643652125L2Snvvw4/youtube.png" width="30"/&gt;&lt;/a&gt;
&lt;/div&gt;
&lt;/td&gt;
&lt;/tr&gt;
&lt;tr&gt;
&lt;td valign="top"&gt;
&lt;div&gt;
&lt;div&gt;
&lt;em&gt;&lt;span&gt;&lt;span&gt;&lt;span&gt;&lt;span&gt;&lt;span&gt;&lt;span&gt;&lt;span&gt;&lt;span&gt;&lt;span&gt;&lt;span&gt;&lt;span&gt;&lt;span&gt;&lt;span&gt;&lt;span&gt;&lt;span&gt;&lt;span&gt;&lt;span&gt;&lt;span&gt;&lt;span&gt;&lt;span&gt;&lt;span&gt;&lt;span&gt;Copyright © 2025, Todos os direitos reservados. &lt;/span&gt;&lt;/span&gt;&lt;/span&gt;&lt;/span&gt;&lt;/span&gt;&lt;/span&gt;&lt;/span&gt;&lt;/span&gt;&lt;/span&gt;&lt;/span&gt;&lt;/span&gt;&lt;/span&gt;&lt;/span&gt;&lt;/span&gt;&lt;/span&gt;&lt;/span&gt;&lt;/span&gt;&lt;/span&gt;&lt;/span&gt;&lt;/span&gt;&lt;/span&gt;&lt;/span&gt;&lt;/em&gt;&lt;br/&gt;
&lt;span&gt;&lt;a href="https://go.pardot.com/unsubscribe/u/845693/bf3fbdd3ee0c42575433546c29a2d97609b25f4197bdab5a6d0c11229507dad0/2231642716"&gt;&lt;span&gt;&lt;span&gt;&lt;span&gt;&lt;span&gt;&lt;span&gt;&lt;span&gt;&lt;span&gt;&lt;span&gt;&lt;span&gt;&lt;span&gt;cancelar a assinatura de todos os e-mails&lt;/span&gt;&lt;/span&gt;&lt;/span&gt;&lt;/span&gt;&lt;/span&gt;&lt;/span&gt;&lt;/span&gt;&lt;/span&gt;&lt;/span&gt;&lt;/span&gt;&lt;/a&gt;&lt;span&gt;&lt;span&gt;&lt;span&gt;&lt;span&gt;&lt;span&gt;&lt;span&gt;&lt;span&gt;&lt;span&gt;&lt;span&gt;&lt;span&gt;| &lt;/span&gt;&lt;/span&gt;&lt;/span&gt;&lt;/span&gt;&lt;/span&gt;&lt;/span&gt;&lt;/span&gt;&lt;/span&gt;&lt;/span&gt;&lt;/span&gt;&lt;a href="https://go.pardot.com/emailPreference/epc/845693/nAPYIA3doskSsMwUyiAdAqQ41iHHkRZj0_-DsBXLLXg/bf3fbdd3ee0c42575433546c29a2d97609b25f4197bdab5a6d0c11229507dad0/2231642716"&gt;&lt;span&gt;&lt;span&gt;&lt;span&gt;&lt;span&gt;&lt;span&gt;&lt;span&gt;&lt;span&gt;&lt;span&gt;&lt;span&gt;&lt;span&gt;atualizar dados de assinatura&lt;/span&gt;&lt;/span&gt;&lt;/span&gt;&lt;/span&gt;&lt;/span&gt;&lt;/span&gt;&lt;/span&gt;&lt;/span&gt;&lt;/span&gt;&lt;/span&gt;&lt;/a&gt;&lt;/span&gt;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</si>
  <si>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https://wilsonsonstrg.zendesk.com/api/v2/help_center/pt-br/articles/41200676487309.json</t>
  </si>
  <si>
    <t>https://atendimento.teconline.com.br/hc/pt-br/articles/41200676487309-Regramento-de-Agendamento-para-Recebimento-de-Container-Cheio</t>
  </si>
  <si>
    <t>Regramento de Agendamento para Recebimento de Container Cheio</t>
  </si>
  <si>
    <t>['01GPY217SSC5MP9PMEN97RPEVN', '01KA971SYH39HTBZ4892W4YMF6']</t>
  </si>
  <si>
    <t>['container', 'agendamento', 'cheio', 'recebimento', 'regras', 'regra', 'regramento']</t>
  </si>
  <si>
    <t>&lt;div&gt;
&lt;table border="0" cellpadding="10" cellspacing="0" width="600"&gt;&lt;tbody&gt;&lt;tr&gt;&lt;td valign="top"&gt;&lt;table border="0" cellpadding="10" cellspacing="0" width="100%"&gt;&lt;tbody&gt;&lt;tr&gt;
&lt;td valign="top"&gt;&lt;div&gt;&lt;div&gt;&lt;em&gt;&lt;span&gt;&lt;span&gt;&lt;span&gt;&lt;span&gt;&lt;span&gt;&lt;span&gt;&lt;span&gt;&lt;span&gt;Chegou sua atualização de informações importantes do Tecon Rio Grande.&lt;/span&gt;&lt;/span&gt;&lt;/span&gt;&lt;/span&gt;&lt;/span&gt;&lt;/span&gt;&lt;/span&gt;&lt;/span&gt;&lt;/em&gt;&lt;/div&gt;&lt;/div&gt;&lt;/td&gt;
&lt;td valign="top"&gt;&lt;div&gt;&lt;div&gt;&lt;span&gt;&lt;span&gt;&lt;span&gt;&lt;span&gt;&lt;span&gt;&lt;span&gt;&lt;span&gt;&lt;span&gt;&lt;span&gt;&lt;span&gt;&lt;span&gt;&lt;span&gt;Que tal visualizar este e-mail&lt;/span&gt;&lt;/span&gt;&lt;/span&gt;&lt;/span&gt;&lt;/span&gt;&lt;/span&gt;&lt;/span&gt;&lt;/span&gt;&lt;/span&gt;&lt;/span&gt;&lt;br/&gt;&lt;a href="https://help.salesforce.com/articleView?id=pardot_view_online_link.htm" target="_blank"&gt;&lt;span&gt;&lt;span&gt;&lt;span&gt;&lt;span&gt;&lt;span&gt;&lt;span&gt;&lt;span&gt;&lt;span&gt;&lt;span&gt;&lt;span&gt;em seu navegador&lt;/span&gt;&lt;/span&gt;&lt;/span&gt;&lt;/span&gt;&lt;/span&gt;&lt;/span&gt;&lt;/span&gt;&lt;/span&gt;&lt;/span&gt;&lt;/span&gt;&lt;/a&gt;&lt;/span&gt;&lt;/span&gt;&lt;/div&gt;&lt;/div&gt;&lt;/td&gt;
&lt;/tr&gt;&lt;/tbody&gt;&lt;/table&gt;&lt;/td&gt;&lt;/tr&gt;&lt;/tbody&gt;&lt;/table&gt;
&lt;table border="0" cellpadding="0" cellspacing="0" width="600"&gt;&lt;tbody&gt;
&lt;tr&gt;&lt;td align="center" valign="top"&gt;&lt;table border="0" cellpadding="0" cellspacing="0" width="600"&gt;&lt;tbody&gt;&lt;tr&gt;&lt;td&gt; &lt;div&gt;
&lt;img alt="TECON RIO GRANDE COMUNICA: Importante!" height="327" src="https://ci3.googleusercontent.com/meips/ADKq_Nb2KjpXGdG86W4NJuMRQmJ4rwUZsmZpzEcBi7y_K1BsOsdUdvsLGa4LjGb9WkMYoJAVsNBxsTlrq0GJrLTImwNyUWkOXJiBJSI8ZE687FCY-RFzSVJAZp-kW5lwZrBXs8NN-xvucLYyLtzLxiz8IEqZAYz8=s0-d-e1-ft#http://go.pardot.com/l/845693/2022-04-04/nqrsf9/845693/1649076412AVPdnGQ3/TC_IMPORTANTE_v2.jpg" width="600"/&gt;&lt;br/&gt;
&lt;/div&gt;
&lt;/td&gt;&lt;/tr&gt;&lt;/tbody&gt;&lt;/table&gt;&lt;/td&gt;&lt;/tr&gt;
&lt;tr&gt;&lt;td align="center" valign="top"&gt;&lt;table border="0" cellpadding="0" cellspacing="0" width="600"&gt;&lt;tbody&gt;&lt;tr&gt;&lt;td valign="top"&gt;&lt;table border="0" cellpadding="20" cellspacing="0" width="100%"&gt;&lt;tbody&gt;&lt;tr&gt;&lt;td valign="top"&gt;
&lt;table border="0" cellpadding="0" cellspacing="0"&gt;&lt;tbody&gt;
&lt;tr&gt;
&lt;td&gt; &lt;/td&gt;
&lt;td&gt;&lt;table&gt;&lt;tbody&gt;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0030/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11 de Novembro 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s://ci3.googleusercontent.com/meips/ADKq_NZ0ueov0cIgnL66D_MevuAEra6nZtAeBFQ0hVvOBkZ9A6st87ZENaHQXCiCYLn_W2bq9KLnKDjjasw3PY61f2yMgkGDDa2C9dT6FqEmVsrrITOQOtHXTgdhuA_NRSnfkuD0msRJRhd-5pqa=s0-d-e1-ft#http://go.pardot.com/l/845693/2021-08-11/n41v63/845693/1628710296BvJuukZ7/TEXTURA.png" width="600"/&gt;&lt;br/&gt;
&lt;/td&gt;
&lt;/tr&gt;
&lt;tr&gt;&lt;td&gt; &lt;/td&gt;&lt;/tr&gt;
&lt;/tbody&gt;&lt;/table&gt;&lt;/td&gt;
&lt;td&gt; &lt;/td&gt;
&lt;/tr&gt;
&lt;tr&gt;
&lt;td&gt; &lt;/td&gt;
&lt;td&gt;
&lt;div&gt; &lt;/div&gt;
&lt;div&gt;&lt;table border="0" cellpadding="0" cellspacing="0"&gt;&lt;tbody&gt;&lt;tr&gt;
&lt;td&gt; &lt;/td&gt;
&lt;td&gt;&lt;table border="0" cellpadding="0" cellspacing="0"&gt;&lt;tbody&gt;
&lt;tr&gt;
&lt;td&gt; &lt;/td&gt;
&lt;td&gt; &lt;/td&gt;
&lt;td&gt; &lt;/td&gt;
&lt;td&gt; &lt;/td&gt;
&lt;/tr&gt;
&lt;tr&gt;
&lt;td&gt; &lt;/td&gt;
&lt;td colspan="3" rowspan="2"&gt;
&lt;p&gt;&lt;span&gt;&lt;span&gt;&lt;strong&gt;Regramento de Agendamento para Recebimento de Container Cheio &lt;/strong&gt;&lt;/span&gt;&lt;/span&gt;&lt;/p&gt;
&lt;hr/&gt;
&lt;p&gt;&lt;span&gt;&lt;/span&gt;&lt;span&gt;No intuito de otimizar o fluxo das operações e atender com eficiência os nossos serviços, compartilhamos as regras de &lt;strong&gt;agendamento para entrada de containers cheios&lt;/strong&gt; no terminal.&lt;/span&gt;&lt;br/&gt; &lt;/p&gt;
&lt;ul&gt;
&lt;li&gt;&lt;span&gt;o agendamento estará disponível no prazo &lt;strong&gt;mínimo de 4h&lt;/strong&gt; e &lt;strong&gt;máximo de 1 + 3 dias;&lt;/strong&gt;&lt;/span&gt;&lt;/li&gt;
&lt;li&gt;&lt;span&gt;caso o navio tenha seu ETA alterado, o agendamento deverá ser alterado para nova programação;&lt;/span&gt;&lt;/li&gt;
&lt;li&gt;&lt;span&gt;alterações de informações do agendamento podem ocorrer &lt;strong&gt;até 06 horas antes&lt;/strong&gt; do programado. Dados de motorista e veículo poderão ser alterados em até 1h;&lt;/span&gt;&lt;/li&gt;
&lt;li&gt;&lt;span&gt;o agendamento estará disponível a partir &lt;strong&gt;do fim da operação&lt;/strong&gt; do navio do serviço da semana;&lt;/span&gt;&lt;/li&gt;
&lt;li&gt;&lt;span&gt;havendo &lt;strong&gt;um cancelamento de escala&lt;/strong&gt;, o agendamento para a próxima escala do mesmo serviço &lt;strong&gt;não estará disponível;&lt;/strong&gt;&lt;/span&gt;&lt;/li&gt;
&lt;li&gt;&lt;span&gt;o agendamento gold foi &lt;strong&gt;descontinuado;&lt;/strong&gt;&lt;/span&gt;&lt;/li&gt;
&lt;li&gt;&lt;span&gt;o não cumprimento do agendamento programado incorrerá no serviço em &lt;strong&gt;&lt;em&gt;no show.&lt;/em&gt;&lt;/strong&gt;&lt;/span&gt;&lt;/li&gt;
&lt;/ul&gt;
&lt;p&gt;&lt;br/&gt;&lt;span&gt;Estas regras passam a valer a partir do &lt;strong&gt;dia 17 de novembro, &lt;/strong&gt;revogadas as divulgadas anteriormente.&lt;/span&gt;&lt;/p&gt;
&lt;p&gt;&lt;br/&gt;&lt;span&gt;&lt;span&gt;&lt;span&gt;&lt;span&gt;&lt;span&gt;&lt;span&gt;&lt;/span&gt;&lt;/span&gt;&lt;/span&gt;&lt;/span&gt;&lt;/span&gt;&lt;/span&gt;&lt;/p&gt;
&lt;/td&gt;
&lt;/tr&gt;
&lt;tr&gt;&lt;td&gt; &lt;/td&gt;&lt;/tr&gt;
&lt;tr&gt;
&lt;td&gt; &lt;/td&gt;
&lt;td&gt; &lt;/td&gt;
&lt;td&gt; &lt;/td&gt;
&lt;td&gt; &lt;/td&gt;
&lt;/tr&gt;
&lt;/tbody&gt;&lt;/table&gt;&lt;/td&gt;
&lt;/tr&gt;&lt;/tbody&gt;&lt;/table&gt;&lt;/div&gt;
&lt;/td&gt;
&lt;td&gt; &lt;/td&gt;
&lt;td&gt; &lt;/td&gt;
&lt;/tr&gt;
&lt;tr&gt;
&lt;td&gt; &lt;/td&gt;
&lt;td&gt; &lt;/td&gt;
&lt;td&gt; &lt;/td&gt;
&lt;/tr&gt;
&lt;tr&gt;
&lt;td&gt; &lt;/td&gt;
&lt;td&gt;
&lt;br/&gt;&lt;span&gt;&lt;span&gt;&lt;strong&gt;&lt;span&gt;&lt;span&gt;&lt;span&gt;&lt;span&gt;&lt;span&gt;&lt;span&gt;&lt;span&gt;&lt;span&gt;&lt;span&gt;&lt;span&gt;&lt;span&gt;&lt;span&gt;Central de Atendimento&lt;/span&gt;&lt;/span&gt;&lt;/span&gt;&lt;/span&gt;&lt;/span&gt;&lt;/span&gt;&lt;/span&gt;&lt;/span&gt;&lt;/span&gt;&lt;/span&gt;&lt;/span&gt;&lt;/span&gt;&lt;/strong&gt;&lt;/span&gt;&lt;/span&gt;&lt;br/&gt;&lt;span&gt;&lt;span&gt;&lt;span&gt;&lt;span&gt;&lt;span&gt;&lt;span&gt;&lt;span&gt;&lt;span&gt;&lt;span&gt;&lt;span&gt;&lt;span&gt;&lt;span&gt;&lt;span&gt;&lt;span&gt;+55 53 3234.3030 | &lt;/span&gt;&lt;/span&gt;&lt;/span&gt;&lt;/span&gt;&lt;/span&gt;&lt;/span&gt;&lt;/span&gt;&lt;/span&gt;&lt;/span&gt;&lt;/span&gt;&lt;/span&gt;&lt;span&gt;&lt;span&gt;&lt;span&gt;&lt;span&gt;&lt;span&gt;&lt;span&gt;&lt;span&gt;&lt;span&gt;&lt;span&gt;&lt;span&gt;&lt;span&gt;&lt;a href="mailto:atendimento.tcrg@wilsonsons.com.br" target="_blank"&gt;atendimento.tcrg@wilsonsons.com.br&lt;/a&gt;&lt;/span&gt;&lt;/span&gt;&lt;/span&gt;&lt;/span&gt;&lt;/span&gt;&lt;/span&gt;&lt;/span&gt;&lt;/span&gt;&lt;/span&gt;&lt;/span&gt;&lt;/span&gt;&lt;/span&gt;&lt;/span&gt;&lt;/span&gt;
&lt;/td&gt;
&lt;td&gt; &lt;/td&gt;
&lt;/tr&gt;
&lt;tr&gt;
&lt;td&gt; &lt;/td&gt;
&lt;td&gt; &lt;/td&gt;
&lt;/tr&gt;
&lt;tr&gt;
&lt;td&gt; &lt;/td&gt;
&lt;td&gt;&lt;table border="0" cellpadding="0" cellspacing="0"&gt;&lt;tbody&gt;&lt;tr&gt;&lt;td&gt;&lt;img alt='""' src="https://ci3.googleusercontent.com/meips/ADKq_NaIsss1M_uMD52SPd3U9G-xMtPDxpvyLir4WvJU2WguLVRZaA-XyV7tMHYlmpkavGcXDK5KNeJWlZAQQKyommr89Q2BBRfiVNxQ83xQgwgE-w7QdDEx35Z_ouEflpodAtiap8qAiVKhro0X-1MM=s0-d-e1-ft#http://go.pardot.com/l/845693/2021-05-17/mx2xf4/845693/1621263737Dk6e8hZ3/WS_TEXTURA.png"/&gt;&lt;/td&gt;&lt;/tr&gt;&lt;/tbody&gt;&lt;/table&gt;&lt;/td&gt;
&lt;td&gt; &lt;/td&gt;
&lt;td&gt; &lt;/td&gt;
&lt;/tr&gt;
&lt;tr&gt;
&lt;td&gt; &lt;/td&gt;
&lt;td&gt; &lt;/td&gt;
&lt;td&gt; &lt;/td&gt;
&lt;td&gt; &lt;/td&gt;
&lt;/tr&gt;
&lt;/tbody&gt;&lt;/table&gt;
&lt;hr/&gt;
&lt;h2&gt;&lt;img alt="" height="92" src="https://ci3.googleusercontent.com/meips/ADKq_NbJEjRp2AdzJVwRxwQqaEQio2w5xyZTDvRJgJmYSHogDrcSeuunEAHPr6gPvVVGmI-YfplhY9poaZsA870CvGnN5CcEmjUtpkw2EX674hGTuY_JxJ655qNVygx8YTvgaolEwb0Uk9j2eEC_iExRa7iekDrOk-jwGlKQAIVKU4YAY7qcegwX6AI=s0-d-e1-ft#http://go.pardot.com/l/845693/2021-05-17/mx33wj/845693/1621269268bZlHPKWW/TE_EMKT_NAV_INTERIOR_CONHECIMENTO_23.png" width="92"/&gt;&lt;/h2&gt;
&lt;/td&gt;&lt;/tr&gt;&lt;/tbody&gt;&lt;/table&gt;&lt;/td&gt;&lt;/tr&gt;&lt;/tbody&gt;&lt;/table&gt;&lt;/td&gt;&lt;/tr&gt;
&lt;tr&gt;&lt;td align="center" valign="top"&gt;&lt;table border="0" cellpadding="10" cellspacing="0" width="600"&gt;&lt;tbody&gt;&lt;tr&gt;&lt;td valign="top"&gt;&lt;table border="0" cellpadding="10" cellspacing="0" width="100%"&gt;&lt;tbody&gt;
&lt;tr&gt;&lt;td colspan="2" valign="middle"&gt;&lt;div&gt;
&lt;a href="https://www.linkedin.com/company/wilsonsons/" target="_blank"&gt;&lt;img alt="Clique neste botão e acesse o Linkedin da Wilson Sons" src="https://ci3.googleusercontent.com/meips/ADKq_Na2GyXsgH4y--vN256Gvv6MbrL6XU-KTIDOS1Nh6f_76hCzZJE-PjZrQ0I1OJUyiHgkZW_-s7VNKm1gD71za9Z1lUW4d766x3xldzgJD-2j5fHc9SMd8RN-AKedg6E9zxsLOGkFujMs6LyxKQ=s0-d-e1-ft#http://go.pardot.com/l/845693/2021-05-17/mx34b8/845693/16212710282JcZGAjm/linkedin.png"/&gt;&lt;/a&gt;  &lt;a href="https://www.instagram.com/wilsonsons/" target="_blank"&gt;&lt;img alt="Clique neste botão e acesse o Instagram da Wilson Sons" src="https://ci3.googleusercontent.com/meips/ADKq_NbnhPlpEkw5Io3xCfz53iG9rbZ1dllgycQ2bhvpV3_WTzE3TKSiW1gYtCcqptrlXStgnTfOSgMZI23hexd3BrIv5Rjl2BG4cbjJwGk7QaNF_nT4uau-jIOTn9QdsE6El3mYsAL_AQ5GUmxIzvA=s0-d-e1-ft#http://go.pardot.com/l/845693/2021-05-17/mx34bq/845693/1621271119Oyp26fjp/instagram.png"/&gt;&lt;/a&gt;  &lt;a href="https://www.youtube.com/user/WilsonSonsir" target="_blank"&gt;&lt;img alt="Clique neste botão e acesse o Youtube da Wilson Sons" height="30" src="https://ci3.googleusercontent.com/meips/ADKq_NZ97Zl6kAx7ATCY8RZSlGBjGUfZlsDzDOfmyN42sDrztPt29gaphZROk5BaOswZsf6KJIBjU2xQqgnyWVAfHUzLecto-eb1NhsaGFRtcZeMpx7Nvm0IqtZWKMiHuJlDpaqt0GT3qulNd13fNQ=s0-d-e1-ft#https://go.pardot.com/l/845693/2022-01-31/nfsnc7/845693/1643652125L2Snvvw4/youtube.png" width="30"/&gt;&lt;/a&gt;
&lt;/div&gt;&lt;/td&gt;&lt;/tr&gt;
&lt;tr&gt;&lt;td valign="top"&gt;&lt;div&gt;&lt;div&gt;
&lt;em&gt;&lt;span&gt;&lt;span&gt;&lt;span&gt;&lt;span&gt;&lt;span&gt;&lt;span&gt;&lt;span&gt;&lt;span&gt;&lt;span&gt;&lt;span&gt;&lt;span&gt;&lt;span&gt;&lt;span&gt;&lt;span&gt;&lt;span&gt;&lt;span&gt;&lt;span&gt;&lt;span&gt;&lt;span&gt;&lt;span&gt;&lt;span&gt;&lt;span&gt;Copyright © 2025, Todos os direitos reservados.&lt;/span&gt;&lt;/span&gt;&lt;/span&gt;&lt;/span&gt;&lt;/span&gt;&lt;/span&gt;&lt;/span&gt;&lt;/span&gt;&lt;/span&gt;&lt;/span&gt;&lt;/span&gt;&lt;/span&gt;&lt;/span&gt;&lt;/span&gt;&lt;/span&gt;&lt;/span&gt;&lt;/span&gt;&lt;/span&gt;&lt;/span&gt;&lt;/span&gt;&lt;/span&gt;&lt;/span&gt;&lt;/em&gt;&lt;br/&gt;&lt;a href="https://go.pardot.com/unsubscribe/u/845693" target="_blank"&gt;&lt;span&gt;&lt;span&gt;&lt;span&gt;&lt;span&gt;&lt;span&gt;&lt;span&gt;&lt;span&gt;&lt;span&gt;&lt;span&gt;&lt;span&gt;cancelar a assinatura de todos os e-mails&lt;/span&gt;&lt;/span&gt;&lt;/span&gt;&lt;/span&gt;&lt;/span&gt;&lt;/span&gt;&lt;/span&gt;&lt;/span&gt;&lt;/span&gt;&lt;/span&gt;&lt;/a&gt;&lt;span&gt;&lt;span&gt;&lt;span&gt;&lt;span&gt;&lt;span&gt;&lt;span&gt;&lt;span&gt;&lt;span&gt;&lt;span&gt;&lt;span&gt;| &lt;/span&gt;&lt;/span&gt;&lt;/span&gt;&lt;/span&gt;&lt;/span&gt;&lt;/span&gt;&lt;/span&gt;&lt;/span&gt;&lt;/span&gt;&lt;/span&gt;&lt;a href="https://go.pardot.com/emailPreference/e/epc/845693/sJoPCgXjPfvcJ9UjQB5_gmo2uYCJz-3zwQz1KNf3rDo" target="_blank"&gt;&lt;span&gt;&lt;span&gt;&lt;span&gt;&lt;span&gt;&lt;span&gt;&lt;span&gt;&lt;span&gt;&lt;span&gt;&lt;span&gt;&lt;span&gt;atualizar dados de assinatura&lt;/span&gt;&lt;/span&gt;&lt;/span&gt;&lt;/span&gt;&lt;/span&gt;&lt;/span&gt;&lt;/span&gt;&lt;/span&gt;&lt;/span&gt;&lt;/span&gt;&lt;/a&gt;
&lt;/div&gt;&lt;/div&gt;&lt;/td&gt;&lt;/tr&gt;
&lt;tr&gt;&lt;td colspan="2" valign="middle"&gt;&lt;div&gt; &lt;/div&gt;&lt;/td&gt;&lt;/tr&gt;
&lt;/tbody&gt;&lt;/table&gt;&lt;/td&gt;&lt;/tr&gt;&lt;/tbody&gt;&lt;/table&gt;&lt;/td&gt;&lt;/tr&gt;
&lt;/tbody&gt;&lt;/table&gt;
&lt;/div&gt;</t>
  </si>
  <si>
    <t>https://wilsonsonstrg.zendesk.com/api/v2/help_center/pt-br/articles/41200449568653.json</t>
  </si>
  <si>
    <t>https://atendimento.teconline.com.br/hc/pt-br/articles/41200449568653-Altera%C3%A7%C3%A3o-no-Expediente-28-e-29-11</t>
  </si>
  <si>
    <t>Alteração no Expediente | 28 e 29/11</t>
  </si>
  <si>
    <t>['01HFVFBMRJVWG47MM741BZH2Z4', '01KA96P6949WBG3BGXC9H4061S']</t>
  </si>
  <si>
    <t>['feriado', 'armazéns', 'retirada', 'expediente', 'alteração', 'recebimento']</t>
  </si>
  <si>
    <t>&lt;div&gt;
&lt;table border="0" cellpadding="10" cellspacing="0" width="600"&gt;&lt;tbody&gt;&lt;tr&gt;&lt;td valign="top"&gt;&lt;table border="0" cellpadding="10" cellspacing="0" width="100%"&gt;&lt;tbody&gt;&lt;tr&gt;
&lt;td valign="top"&gt;&lt;div&gt;&lt;div&gt;&lt;em&gt;&lt;span&gt;&lt;span&gt;&lt;span&gt;&lt;span&gt;&lt;span&gt;&lt;span&gt;&lt;span&gt;&lt;span&gt;Chegou sua atualização de informações importantes do Tecon Rio Grande.&lt;/span&gt;&lt;/span&gt;&lt;/span&gt;&lt;/span&gt;&lt;/span&gt;&lt;/span&gt;&lt;/span&gt;&lt;/span&gt;&lt;/em&gt;&lt;/div&gt;&lt;/div&gt;&lt;/td&gt;
&lt;td valign="top"&gt;&lt;div&gt;&lt;div&gt;&lt;span&gt;&lt;span&gt;&lt;span&gt;&lt;span&gt;&lt;span&gt;&lt;span&gt;&lt;span&gt;&lt;span&gt;&lt;span&gt;&lt;span&gt;&lt;span&gt;&lt;span&gt;Que tal visualizar este e-mail&lt;/span&gt;&lt;/span&gt;&lt;/span&gt;&lt;/span&gt;&lt;/span&gt;&lt;/span&gt;&lt;/span&gt;&lt;/span&gt;&lt;/span&gt;&lt;/span&gt;&lt;br/&gt;&lt;a href="https://help.salesforce.com/articleView?id=pardot_view_online_link.htm" target="_blank"&gt;&lt;span&gt;&lt;span&gt;&lt;span&gt;&lt;span&gt;&lt;span&gt;&lt;span&gt;&lt;span&gt;&lt;span&gt;&lt;span&gt;&lt;span&gt;em seu navegador&lt;/span&gt;&lt;/span&gt;&lt;/span&gt;&lt;/span&gt;&lt;/span&gt;&lt;/span&gt;&lt;/span&gt;&lt;/span&gt;&lt;/span&gt;&lt;/span&gt;&lt;/a&gt;&lt;/span&gt;&lt;/span&gt;&lt;/div&gt;&lt;/div&gt;&lt;/td&gt;
&lt;/tr&gt;&lt;/tbody&gt;&lt;/table&gt;&lt;/td&gt;&lt;/tr&gt;&lt;/tbody&gt;&lt;/table&gt;
&lt;table border="0" cellpadding="0" cellspacing="0" width="600"&gt;&lt;tbody&gt;
&lt;tr&gt;&lt;td align="center" valign="top"&gt;&lt;table border="0" cellpadding="0" cellspacing="0" width="600"&gt;&lt;tbody&gt;&lt;tr&gt;&lt;td&gt; &lt;div&gt;
&lt;img alt="TECON RIO GRANDE COMUNICA: Importante!" height="327" src="https://ci3.googleusercontent.com/meips/ADKq_Nb2KjpXGdG86W4NJuMRQmJ4rwUZsmZpzEcBi7y_K1BsOsdUdvsLGa4LjGb9WkMYoJAVsNBxsTlrq0GJrLTImwNyUWkOXJiBJSI8ZE687FCY-RFzSVJAZp-kW5lwZrBXs8NN-xvucLYyLtzLxiz8IEqZAYz8=s0-d-e1-ft#http://go.pardot.com/l/845693/2022-04-04/nqrsf9/845693/1649076412AVPdnGQ3/TC_IMPORTANTE_v2.jpg" width="600"/&gt;&lt;br/&gt;
&lt;/div&gt;
&lt;/td&gt;&lt;/tr&gt;&lt;/tbody&gt;&lt;/table&gt;&lt;/td&gt;&lt;/tr&gt;
&lt;tr&gt;&lt;td align="center" valign="top"&gt;&lt;table border="0" cellpadding="0" cellspacing="0" width="600"&gt;&lt;tbody&gt;&lt;tr&gt;&lt;td valign="top"&gt;&lt;table border="0" cellpadding="20" cellspacing="0" width="100%"&gt;&lt;tbody&gt;&lt;tr&gt;&lt;td valign="top"&gt;
&lt;table border="0" cellpadding="0" cellspacing="0"&gt;&lt;tbody&gt;
&lt;tr&gt;
&lt;td&gt; &lt;/td&gt;
&lt;td&gt;&lt;table&gt;&lt;tbody&gt;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XX/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11 de Novembro de 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s://ci3.googleusercontent.com/meips/ADKq_NZ0ueov0cIgnL66D_MevuAEra6nZtAeBFQ0hVvOBkZ9A6st87ZENaHQXCiCYLn_W2bq9KLnKDjjasw3PY61f2yMgkGDDa2C9dT6FqEmVsrrITOQOtHXTgdhuA_NRSnfkuD0msRJRhd-5pqa=s0-d-e1-ft#http://go.pardot.com/l/845693/2021-08-11/n41v63/845693/1628710296BvJuukZ7/TEXTURA.png" width="600"/&gt;&lt;br/&gt;
&lt;/td&gt;
&lt;/tr&gt;
&lt;tr&gt;&lt;td&gt; &lt;/td&gt;&lt;/tr&gt;
&lt;/tbody&gt;&lt;/table&gt;&lt;/td&gt;
&lt;td&gt; &lt;/td&gt;
&lt;/tr&gt;
&lt;tr&gt;
&lt;td&gt; &lt;/td&gt;
&lt;td&gt;
&lt;div&gt; &lt;/div&gt;
&lt;div&gt;&lt;table border="0" cellpadding="0" cellspacing="0"&gt;&lt;tbody&gt;&lt;tr&gt;
&lt;td&gt; &lt;/td&gt;
&lt;td&gt;&lt;table border="0" cellpadding="0" cellspacing="0"&gt;&lt;tbody&gt;
&lt;tr&gt;
&lt;td&gt; &lt;/td&gt;
&lt;td&gt; &lt;/td&gt;
&lt;td&gt; &lt;/td&gt;
&lt;td&gt; &lt;/td&gt;
&lt;/tr&gt;
&lt;tr&gt;
&lt;td&gt; &lt;/td&gt;
&lt;td colspan="3" rowspan="2"&gt;
&lt;p&gt;&lt;span&gt;&lt;span&gt;&lt;strong&gt;&lt;span&gt;&lt;span&gt;&lt;span&gt;&lt;span&gt;Alteração no Expediente | 28 e 29/11&lt;/span&gt;&lt;/span&gt;&lt;/span&gt;&lt;/span&gt;&lt;/strong&gt;&lt;/span&gt;&lt;/span&gt;&lt;/p&gt;
&lt;hr/&gt;
&lt;p&gt;&lt;span&gt;&lt;span&gt;&lt;span&gt;Excepcionalmente nos dias 28 e 29/11, teremos alteração no &lt;strong&gt;recebimento&lt;/strong&gt; e &lt;strong&gt;entrega&lt;/strong&gt; de containers e cargas soltas, conforme programação abaixo:&lt;br/&gt;&lt;br/&gt;&lt;span&gt;&lt;strong&gt;Recebimento cheios e vazios:&lt;/strong&gt;&lt;/span&gt;&lt;br/&gt;&lt;br/&gt;Dia 28/11: operação até às &lt;strong&gt;18:00&lt;/strong&gt;&lt;br/&gt;Dia 29/11: operação retorna às &lt;strong&gt;07:30&lt;/strong&gt;.&lt;br/&gt;&lt;br/&gt;&lt;span&gt;&lt;strong&gt;Retirada de containers de importação:&lt;/strong&gt;&lt;/span&gt;&lt;br/&gt;&lt;br/&gt;Dia 28/11:&lt;br/&gt;&lt;strong&gt;Cheios:&lt;/strong&gt; operação até às &lt;strong&gt;14:00&lt;br/&gt;Vazios: &lt;/strong&gt;operação até às &lt;strong&gt;18:00&lt;/strong&gt;&lt;br/&gt;&lt;br/&gt;Dia 29/11: expediente normal.&lt;br/&gt;&lt;br/&gt;&lt;span&gt;&lt;strong&gt;Armazéns | Importação e Exportação:&lt;/strong&gt;&lt;/span&gt;&lt;br/&gt;&lt;br/&gt;Dia 28/11:&lt;br/&gt;Agendamento até às &lt;strong&gt;14:00&lt;/strong&gt;&lt;br/&gt;Funcionamento até às&lt;strong&gt; 16:00&lt;/strong&gt;&lt;br/&gt;&lt;br/&gt;Dia 29/11: expediente normal.&lt;/span&gt;&lt;/span&gt;&lt;/span&gt;&lt;/p&gt;
&lt;p&gt;&lt;span&gt;Em caso de dúvidas, entre em contato por meio de nossos&lt;br/&gt;Canais de Atendimento.&lt;/span&gt;&lt;/p&gt;
&lt;/td&gt;
&lt;/tr&gt;
&lt;tr&gt;&lt;td&gt; &lt;/td&gt;&lt;/tr&gt;
&lt;tr&gt;
&lt;td&gt; &lt;/td&gt;
&lt;td&gt; &lt;/td&gt;
&lt;td&gt; &lt;/td&gt;
&lt;td&gt; &lt;/td&gt;
&lt;/tr&gt;
&lt;/tbody&gt;&lt;/table&gt;&lt;/td&gt;
&lt;/tr&gt;&lt;/tbody&gt;&lt;/table&gt;&lt;/div&gt;
&lt;/td&gt;
&lt;td&gt; &lt;/td&gt;
&lt;td&gt; &lt;/td&gt;
&lt;/tr&gt;
&lt;tr&gt;
&lt;td&gt; &lt;/td&gt;
&lt;td&gt; &lt;/td&gt;
&lt;td&gt; &lt;/td&gt;
&lt;/tr&gt;
&lt;tr&gt;
&lt;td&gt; &lt;/td&gt;
&lt;td&gt;
&lt;br/&gt;&lt;span&gt;&lt;span&gt;&lt;strong&gt;&lt;span&gt;&lt;span&gt;&lt;span&gt;&lt;span&gt;&lt;span&gt;&lt;span&gt;&lt;span&gt;&lt;span&gt;&lt;span&gt;&lt;span&gt;&lt;span&gt;&lt;span&gt;Central de Atendimento&lt;/span&gt;&lt;/span&gt;&lt;/span&gt;&lt;/span&gt;&lt;/span&gt;&lt;/span&gt;&lt;/span&gt;&lt;/span&gt;&lt;/span&gt;&lt;/span&gt;&lt;/span&gt;&lt;/span&gt;&lt;/strong&gt;&lt;/span&gt;&lt;/span&gt;&lt;br/&gt;&lt;span&gt;&lt;span&gt;&lt;span&gt;&lt;span&gt;&lt;span&gt;&lt;span&gt;&lt;span&gt;&lt;span&gt;&lt;span&gt;&lt;span&gt;&lt;span&gt;&lt;span&gt;&lt;span&gt;&lt;span&gt;+55 53 3234.3030 | &lt;/span&gt;&lt;/span&gt;&lt;/span&gt;&lt;/span&gt;&lt;/span&gt;&lt;/span&gt;&lt;/span&gt;&lt;/span&gt;&lt;/span&gt;&lt;/span&gt;&lt;/span&gt;&lt;span&gt;&lt;span&gt;&lt;span&gt;&lt;span&gt;&lt;span&gt;&lt;span&gt;&lt;span&gt;&lt;span&gt;&lt;span&gt;&lt;span&gt;&lt;span&gt;&lt;a href="mailto:atendimento.tcrg@wilsonsons.com.br" target="_blank"&gt;atendimento.tcrg@wilsonsons.com.br&lt;/a&gt;&lt;/span&gt;&lt;/span&gt;&lt;/span&gt;&lt;/span&gt;&lt;/span&gt;&lt;/span&gt;&lt;/span&gt;&lt;/span&gt;&lt;/span&gt;&lt;/span&gt;&lt;/span&gt;&lt;/span&gt;&lt;/span&gt;&lt;/span&gt;
&lt;/td&gt;
&lt;td&gt; &lt;/td&gt;
&lt;/tr&gt;
&lt;tr&gt;
&lt;td&gt; &lt;/td&gt;
&lt;td&gt; &lt;/td&gt;
&lt;/tr&gt;
&lt;tr&gt;
&lt;td&gt; &lt;/td&gt;
&lt;td&gt;&lt;table border="0" cellpadding="0" cellspacing="0"&gt;&lt;tbody&gt;&lt;tr&gt;&lt;td&gt;&lt;img alt='""' src="https://ci3.googleusercontent.com/meips/ADKq_NaIsss1M_uMD52SPd3U9G-xMtPDxpvyLir4WvJU2WguLVRZaA-XyV7tMHYlmpkavGcXDK5KNeJWlZAQQKyommr89Q2BBRfiVNxQ83xQgwgE-w7QdDEx35Z_ouEflpodAtiap8qAiVKhro0X-1MM=s0-d-e1-ft#http://go.pardot.com/l/845693/2021-05-17/mx2xf4/845693/1621263737Dk6e8hZ3/WS_TEXTURA.png"/&gt;&lt;/td&gt;&lt;/tr&gt;&lt;/tbody&gt;&lt;/table&gt;&lt;/td&gt;
&lt;td&gt; &lt;/td&gt;
&lt;td&gt; &lt;/td&gt;
&lt;/tr&gt;
&lt;tr&gt;
&lt;td&gt; &lt;/td&gt;
&lt;td&gt; &lt;/td&gt;
&lt;td&gt; &lt;/td&gt;
&lt;td&gt; &lt;/td&gt;
&lt;/tr&gt;
&lt;/tbody&gt;&lt;/table&gt;
&lt;hr/&gt;
&lt;h2&gt;&lt;img alt="" height="92" src="https://ci3.googleusercontent.com/meips/ADKq_NbJEjRp2AdzJVwRxwQqaEQio2w5xyZTDvRJgJmYSHogDrcSeuunEAHPr6gPvVVGmI-YfplhY9poaZsA870CvGnN5CcEmjUtpkw2EX674hGTuY_JxJ655qNVygx8YTvgaolEwb0Uk9j2eEC_iExRa7iekDrOk-jwGlKQAIVKU4YAY7qcegwX6AI=s0-d-e1-ft#http://go.pardot.com/l/845693/2021-05-17/mx33wj/845693/1621269268bZlHPKWW/TE_EMKT_NAV_INTERIOR_CONHECIMENTO_23.png" width="92"/&gt;&lt;/h2&gt;
&lt;/td&gt;&lt;/tr&gt;&lt;/tbody&gt;&lt;/table&gt;&lt;/td&gt;&lt;/tr&gt;&lt;/tbody&gt;&lt;/table&gt;&lt;/td&gt;&lt;/tr&gt;
&lt;tr&gt;&lt;td align="center" valign="top"&gt;&lt;table border="0" cellpadding="10" cellspacing="0" width="600"&gt;&lt;tbody&gt;&lt;tr&gt;&lt;td valign="top"&gt;&lt;table border="0" cellpadding="10" cellspacing="0" width="100%"&gt;&lt;tbody&gt;
&lt;tr&gt;&lt;td colspan="2" valign="middle"&gt;&lt;div&gt;
&lt;a href="https://www.linkedin.com/company/wilsonsons/" target="_blank"&gt;&lt;img alt="Clique neste botão e acesse o Linkedin da Wilson Sons" src="https://ci3.googleusercontent.com/meips/ADKq_Na2GyXsgH4y--vN256Gvv6MbrL6XU-KTIDOS1Nh6f_76hCzZJE-PjZrQ0I1OJUyiHgkZW_-s7VNKm1gD71za9Z1lUW4d766x3xldzgJD-2j5fHc9SMd8RN-AKedg6E9zxsLOGkFujMs6LyxKQ=s0-d-e1-ft#http://go.pardot.com/l/845693/2021-05-17/mx34b8/845693/16212710282JcZGAjm/linkedin.png"/&gt;&lt;/a&gt;  &lt;a href="https://twitter.com/WilsonSonsBR" target="_blank"&gt;&lt;img alt="Clique neste botão e acesse o
Twitter da Wilson Sons" src="https://ci3.googleusercontent.com/meips/ADKq_Nbsk7mFL5lVdv6doKvFXSli1XcfAQYFWhqRUiAXpW6FLK70B5GjhGqsLIVNT8t23y3xReqqAF-rP22gC4Gnmq5xeyEQOPaAUUzY2J1mOXSjP06WrCq6gO4jIMTOBc11sbRmx4gr2MZiQyhJ=s0-d-e1-ft#http://go.pardot.com/l/845693/2021-05-17/mx34bn/845693/1621271106M1JyIdPL/twitter.png"/&gt;&lt;/a&gt;  &lt;a href="https://www.instagram.com/wilsonsons/" target="_blank"&gt;&lt;img alt="Clique neste botão e acesse o Instagram da Wilson Sons" src="https://ci3.googleusercontent.com/meips/ADKq_NbnhPlpEkw5Io3xCfz53iG9rbZ1dllgycQ2bhvpV3_WTzE3TKSiW1gYtCcqptrlXStgnTfOSgMZI23hexd3BrIv5Rjl2BG4cbjJwGk7QaNF_nT4uau-jIOTn9QdsE6El3mYsAL_AQ5GUmxIzvA=s0-d-e1-ft#http://go.pardot.com/l/845693/2021-05-17/mx34bq/845693/1621271119Oyp26fjp/instagram.png"/&gt;&lt;/a&gt;  &lt;/div&gt;&lt;/td&gt;&lt;/tr&gt;
&lt;tr&gt;&lt;td valign="top"&gt;&lt;div&gt;&lt;div&gt;
&lt;em&gt;&lt;span&gt;&lt;span&gt;&lt;span&gt;&lt;span&gt;&lt;span&gt;&lt;span&gt;&lt;span&gt;&lt;span&gt;&lt;span&gt;&lt;span&gt;&lt;span&gt;&lt;span&gt;&lt;span&gt;&lt;span&gt;&lt;span&gt;&lt;span&gt;&lt;span&gt;&lt;span&gt;&lt;span&gt;&lt;span&gt;&lt;span&gt;&lt;span&gt;Copyright © 2025, Todos os direitos reservados.&lt;/span&gt;&lt;/span&gt;&lt;/span&gt;&lt;/span&gt;&lt;/span&gt;&lt;/span&gt;&lt;/span&gt;&lt;/span&gt;&lt;/span&gt;&lt;/span&gt;&lt;/span&gt;&lt;/span&gt;&lt;/span&gt;&lt;/span&gt;&lt;/span&gt;&lt;/span&gt;&lt;/span&gt;&lt;/span&gt;&lt;/span&gt;&lt;/span&gt;&lt;/span&gt;&lt;/span&gt;&lt;/em&gt;&lt;br/&gt;&lt;a href="https://go.pardot.com/unsubscribe/u/845693" target="_blank"&gt;&lt;span&gt;&lt;span&gt;&lt;span&gt;&lt;span&gt;&lt;span&gt;&lt;span&gt;&lt;span&gt;&lt;span&gt;&lt;span&gt;&lt;span&gt;cancelar a assinatura de todos os e-mails&lt;/span&gt;&lt;/span&gt;&lt;/span&gt;&lt;/span&gt;&lt;/span&gt;&lt;/span&gt;&lt;/span&gt;&lt;/span&gt;&lt;/span&gt;&lt;/span&gt;&lt;/a&gt;&lt;span&gt;&lt;span&gt;&lt;span&gt;&lt;span&gt;&lt;span&gt;&lt;span&gt;&lt;span&gt;&lt;span&gt;&lt;span&gt;&lt;span&gt;| &lt;/span&gt;&lt;/span&gt;&lt;/span&gt;&lt;/span&gt;&lt;/span&gt;&lt;/span&gt;&lt;/span&gt;&lt;/span&gt;&lt;/span&gt;&lt;/span&gt;&lt;a href="https://go.pardot.com/emailPreference/e/epc/845693/sJoPCgXjPfvcJ9UjQB5_gmo2uYCJz-3zwQz1KNf3rDo" target="_blank"&gt;&lt;span&gt;&lt;span&gt;&lt;span&gt;&lt;span&gt;&lt;span&gt;&lt;span&gt;&lt;span&gt;&lt;span&gt;&lt;span&gt;&lt;span&gt;atualizar dados de assinatura&lt;/span&gt;&lt;/span&gt;&lt;/span&gt;&lt;/span&gt;&lt;/span&gt;&lt;/span&gt;&lt;/span&gt;&lt;/span&gt;&lt;/span&gt;&lt;/span&gt;&lt;/a&gt;
&lt;/div&gt;&lt;/div&gt;&lt;/td&gt;&lt;/tr&gt;
&lt;tr&gt;&lt;td colspan="2" valign="middle"&gt;&lt;div&gt; &lt;/div&gt;&lt;/td&gt;&lt;/tr&gt;
&lt;/tbody&gt;&lt;/table&gt;&lt;/td&gt;&lt;/tr&gt;&lt;/tbody&gt;&lt;/table&gt;&lt;/td&gt;&lt;/tr&gt;
&lt;/tbody&gt;&lt;/table&gt;
&lt;/div&gt;</t>
  </si>
  <si>
    <t>https://wilsonsonstrg.zendesk.com/api/v2/help_center/pt-br/articles/40886099111565.json</t>
  </si>
  <si>
    <t>https://atendimento.teconline.com.br/hc/pt-br/articles/40886099111565-Tampas-Traseiras-Acesso-Gate</t>
  </si>
  <si>
    <t>Tampas Traseiras | Acesso Gate</t>
  </si>
  <si>
    <t>['01H1VJZ6SZ8D3GG1DY9JZ0JSX0', '01H5A915Z8VKN3BQ6ED05QW9DP', '01HNAKQ0CE9AQWTKQKN531VWG4', '01K99W3Z5A14ZEZBR51XF3488X', '01K99W471ZWTFWM6CYJ9719T23']</t>
  </si>
  <si>
    <t>['gate', 'motorista', 'carroceria', 'baixada', 'baixadas', 'tampa', 'tampas', 'traseira', 'traseiras']</t>
  </si>
  <si>
    <t>&lt;!-- Facebook sharing information tags --&gt;
&lt;table border="0" cellpadding="0" cellspacing="0" width="100%"&gt;
&lt;tbody&gt;
&lt;tr&gt;
&lt;td align="center" valign="top"&gt;
&lt;!-- // Begin Template Preheader \ --&gt;
&lt;table border="0" cellpadding="10" cellspacing="0" width="600"&gt;
&lt;tbody&gt;
&lt;tr&gt;
&lt;td valign="top"&gt;
&lt;!-- // Begin Module: Standard Preheader  --&gt;
&lt;table border="0" cellpadding="10" cellspacing="0" width="100%"&gt;
&lt;tbody&gt;
&lt;tr&gt;
&lt;td valign="top"&gt;
&lt;div&gt;
&lt;div&gt;&lt;em&gt;&lt;span&gt;&lt;span&gt;&lt;span&gt;&lt;span&gt;&lt;span&gt;&lt;span&gt;&lt;span&gt;&lt;span&gt;Chegou sua atualização de informações importantes do Tecon Rio Grande.&lt;/span&gt;&lt;/span&gt;&lt;/span&gt;&lt;/span&gt;&lt;/span&gt;&lt;/span&gt;&lt;/span&gt;&lt;/span&gt;&lt;/em&gt;&lt;/div&gt;
&lt;/div&gt;
&lt;/td&gt;
&lt;td valign="top"&gt;
&lt;div&gt;
&lt;div&gt;&lt;span&gt;&lt;span&gt;&lt;span&gt;&lt;span&gt;&lt;span&gt;&lt;span&gt;&lt;span&gt;&lt;span&gt;&lt;span&gt;&lt;span&gt;&lt;span&gt;&lt;span&gt;Que tal visualizar este e-mail &lt;/span&gt;&lt;/span&gt;&lt;/span&gt;&lt;/span&gt;&lt;/span&gt;&lt;/span&gt;&lt;/span&gt;&lt;/span&gt;&lt;/span&gt;&lt;/span&gt;&lt;br/&gt;
&lt;a href="https://go.pardot.com/webmail/845693/2255592794/bf3fbdd3ee0c42575433546c29a2d97609b25f4197bdab5a6d0c11229507dad0" target="_blank"&gt;&lt;span&gt;&lt;span&gt;&lt;span&gt;&lt;span&gt;&lt;span&gt;&lt;span&gt;&lt;span&gt;&lt;span&gt;&lt;span&gt;&lt;span&gt;em seu navegador&lt;/span&gt;&lt;/span&gt;&lt;/span&gt;&lt;/span&gt;&lt;/span&gt;&lt;/span&gt;&lt;/span&gt;&lt;/span&gt;&lt;/span&gt;&lt;/span&gt;&lt;/a&gt;&lt;/span&gt;&lt;/span&gt;&lt;/div&gt;
&lt;/div&gt;
&lt;/td&gt;
&lt;/tr&gt;
&lt;/tbody&gt;
&lt;/table&gt;
&lt;!-- // End Module: Standard Preheader  --&gt;
&lt;/td&gt;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
&lt;!--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0028/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05 de Novembro
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&lt;p&gt;&lt;span&gt;&lt;span&gt;&lt;strong&gt;Tampas Traseiras | Acesso Gate&lt;/strong&gt;&lt;/span&gt;&lt;/span&gt;&lt;/p&gt;
&lt;hr/&gt;
&lt;p&gt;&lt;span&gt;&lt;span&gt;​​​​&lt;/span&gt;&lt;/span&gt;&lt;span&gt;&lt;span&gt;&lt;span&gt;&lt;span&gt;&lt;span&gt;&lt;span&gt;&lt;span&gt;&lt;span&gt;&lt;span&gt;Atenção Motorista:&lt;/span&gt;&lt;/span&gt;&lt;/span&gt;&lt;/span&gt;&lt;/span&gt;&lt;/span&gt;&lt;/span&gt;&lt;/span&gt;&lt;/span&gt;&lt;/p&gt;
&lt;p&gt;&lt;span&gt;&lt;span&gt;&lt;span&gt;&lt;span&gt;&lt;span&gt;&lt;span&gt;&lt;span&gt;&lt;span&gt;&lt;span&gt;Solicitamos que mantenha as &lt;strong&gt;tampas traseiras da carroceria baixadas&lt;/strong&gt; ao entrar no terminal. Isso garante a leitura correta do &lt;strong&gt;OCR&lt;/strong&gt; e evita atrasos na operação.&lt;br/&gt;
&lt;br/&gt;
									              &lt;img alt="" height="232" src="https://go.pardot.com/l/845693/2025-11-04/qnbbrw/845693/1762265754P9u1LP2V/Inserir_um_t__tulo.jpg" width="400"/&gt;&lt;/span&gt;&lt;/span&gt;&lt;/span&gt;&lt;/span&gt;&lt;/span&gt;&lt;/span&gt;&lt;/span&gt;&lt;/span&gt;&lt;/span&gt;&lt;/p&gt;
&lt;p&gt;&lt;span&gt;&lt;span&gt;Agradecemos a colaboração e em caso de dúvidas, estamos à disposição.&lt;/span&gt;&lt;/span&gt;&lt;br/&gt;
&lt;span&gt;​​&lt;/span&gt;&lt;span&gt;&lt;span&gt;&lt;span&gt;&lt;span&gt;&lt;span&gt;&lt;span&gt;&lt;span&gt;​&lt;/span&gt;&lt;/span&gt;&lt;/span&gt;&lt;/span&gt;&lt;/span&gt;&lt;/span&gt;&lt;/span&gt;&lt;/p&gt;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&lt;span&gt;&lt;span&gt;&lt;span&gt;&lt;strong&gt;&lt;span&gt;&lt;span&gt;&lt;span&gt;&lt;span&gt;&lt;span&gt;&lt;span&gt;&lt;span&gt;&lt;span&gt;&lt;span&gt;&lt;span&gt;&lt;span&gt;&lt;span&gt;Central de Atendimento&lt;/span&gt;&lt;/span&gt;&lt;/span&gt;&lt;/span&gt;&lt;/span&gt;&lt;/span&gt;&lt;/span&gt;&lt;/span&gt;&lt;/span&gt;&lt;/span&gt;&lt;/span&gt;&lt;/span&gt;&lt;/strong&gt;&lt;/span&gt;&lt;/span&gt;&lt;br/&gt;
&lt;span&gt;&lt;span&gt;&lt;span&gt;&lt;span&gt;&lt;span&gt;&lt;span&gt;&lt;span&gt;&lt;span&gt;&lt;span&gt;&lt;span&gt;&lt;span&gt;&lt;span&gt;&lt;span&gt;&lt;span&gt;+55 53 3234.3030 | &lt;/span&gt;&lt;/span&gt;&lt;/span&gt;&lt;/span&gt;&lt;/span&gt;&lt;/span&gt;&lt;/span&gt;&lt;/span&gt;&lt;/span&gt;&lt;/span&gt;&lt;/span&gt;&lt;span&gt;&lt;span&gt;&lt;span&gt;&lt;span&gt;&lt;span&gt;&lt;span&gt;&lt;span&gt;&lt;span&gt;&lt;span&gt;&lt;span&gt;&lt;span&gt;atendimento.tcrg@wilsonsons.com.br&lt;/span&gt;&lt;/span&gt;&lt;/span&gt;&lt;/span&gt;&lt;/span&gt;&lt;/span&gt;&lt;/span&gt;&lt;/span&gt;&lt;/span&gt;&lt;/span&gt;&lt;/span&gt;&lt;/span&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
&lt;table border="0" cellpadding="10" cellspacing="0" width="600"&gt;
&lt;tbody&gt;
&lt;tr&gt;
&lt;td valign="top"&gt;
&lt;!-- // Begin Module: Standard Footer \ --&gt;
&lt;table border="0" cellpadding="10" cellspacing="0" width="100%"&gt;
&lt;tbody&gt;
&lt;tr&gt;
&lt;td colspan="2" valign="middle"&gt;
&lt;div&gt;
&lt;a href="https://go.pardot.com/e/845693/company-wilsonsons-/qncdll/2255592794/h/uqsr_PAv0kNSbSb57OVxcKGslQaWEBe3zK_3MN0Pdfc" target="_blank"&gt;&lt;img alt="Clique neste botão e acesse o Linkedin da Wilson Sons" src="http://go.pardot.com/l/845693/2021-05-17/mx34b8/845693/16212710282JcZGAjm/linkedin.png"/&gt;&lt;/a&gt;  &lt;a href="https://go.pardot.com/e/845693/wilsonsons-/qncdlp/2255592794/h/uqsr_PAv0kNSbSb57OVxcKGslQaWEBe3zK_3MN0Pdfc" target="_blank"&gt;&lt;img alt="Clique neste botão e acesse o Instagram da Wilson Sons" src="http://go.pardot.com/l/845693/2021-05-17/mx34bq/845693/1621271119Oyp26fjp/instagram.png"/&gt;&lt;/a&gt;  &lt;a href="https://go.pardot.com/e/845693/user-WilsonSonsir/qncdls/2255592794/h/uqsr_PAv0kNSbSb57OVxcKGslQaWEBe3zK_3MN0Pdfc" target="_blank"&gt;&lt;img alt="Clique neste botão e acesse o Youtube da Wilson Sons" height="30" src="https://go.pardot.com/l/845693/2022-01-31/nfsnc7/845693/1643652125L2Snvvw4/youtube.png" width="30"/&gt;&lt;/a&gt;
&lt;/div&gt;
&lt;/td&gt;
&lt;/tr&gt;
&lt;tr&gt;
&lt;td valign="top"&gt;
&lt;div&gt;
&lt;div&gt;
&lt;em&gt;&lt;span&gt;&lt;span&gt;&lt;span&gt;&lt;span&gt;&lt;span&gt;&lt;span&gt;&lt;span&gt;&lt;span&gt;&lt;span&gt;&lt;span&gt;&lt;span&gt;&lt;span&gt;&lt;span&gt;&lt;span&gt;&lt;span&gt;&lt;span&gt;&lt;span&gt;&lt;span&gt;&lt;span&gt;&lt;span&gt;&lt;span&gt;&lt;span&gt;Copyright © 2025, Todos os direitos reservados. &lt;/span&gt;&lt;/span&gt;&lt;/span&gt;&lt;/span&gt;&lt;/span&gt;&lt;/span&gt;&lt;/span&gt;&lt;/span&gt;&lt;/span&gt;&lt;/span&gt;&lt;/span&gt;&lt;/span&gt;&lt;/span&gt;&lt;/span&gt;&lt;/span&gt;&lt;/span&gt;&lt;/span&gt;&lt;/span&gt;&lt;/span&gt;&lt;/span&gt;&lt;/span&gt;&lt;/span&gt;&lt;/em&gt;&lt;br/&gt;
&lt;span&gt;&lt;a href="https://go.pardot.com/unsubscribe/u/845693/bf3fbdd3ee0c42575433546c29a2d97609b25f4197bdab5a6d0c11229507dad0/2255592794"&gt;&lt;span&gt;&lt;span&gt;&lt;span&gt;&lt;span&gt;&lt;span&gt;&lt;span&gt;&lt;span&gt;&lt;span&gt;&lt;span&gt;&lt;span&gt;cancelar a assinatura de todos os e-mails&lt;/span&gt;&lt;/span&gt;&lt;/span&gt;&lt;/span&gt;&lt;/span&gt;&lt;/span&gt;&lt;/span&gt;&lt;/span&gt;&lt;/span&gt;&lt;/span&gt;&lt;/a&gt;&lt;span&gt;&lt;span&gt;&lt;span&gt;&lt;span&gt;&lt;span&gt;&lt;span&gt;&lt;span&gt;&lt;span&gt;&lt;span&gt;&lt;span&gt;| &lt;/span&gt;&lt;/span&gt;&lt;/span&gt;&lt;/span&gt;&lt;/span&gt;&lt;/span&gt;&lt;/span&gt;&lt;/span&gt;&lt;/span&gt;&lt;/span&gt;&lt;a href="https://go.pardot.com/emailPreference/epc/845693/4DD3ntMo5VK3_0m1EkPgkpwqJfX0O5x1L-bGVr7KeHA/bf3fbdd3ee0c42575433546c29a2d97609b25f4197bdab5a6d0c11229507dad0/2255592794"&gt;&lt;span&gt;&lt;span&gt;&lt;span&gt;&lt;span&gt;&lt;span&gt;&lt;span&gt;&lt;span&gt;&lt;span&gt;&lt;span&gt;&lt;span&gt;atualizar dados de assinatura&lt;/span&gt;&lt;/span&gt;&lt;/span&gt;&lt;/span&gt;&lt;/span&gt;&lt;/span&gt;&lt;/span&gt;&lt;/span&gt;&lt;/span&gt;&lt;/span&gt;&lt;/a&gt;&lt;/span&gt;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</si>
  <si>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https://wilsonsonstrg.zendesk.com/api/v2/help_center/pt-br/articles/39657211014157.json</t>
  </si>
  <si>
    <t>https://atendimento.teconline.com.br/hc/pt-br/articles/39657211014157-09-09-2025-Comunicado-Importante-Agendamento-Entrada-de-Container-Cheio</t>
  </si>
  <si>
    <t>09/09/2025 - [Comunicado Importante] - Agendamento | Entrada de Container Cheio</t>
  </si>
  <si>
    <t>&lt;p&gt;[Comunicado Importante] - Agendamento | Entrada de Container Cheio&lt;/p&gt;&lt;div&gt;&lt;table&gt;&lt;tbody&gt;&lt;tr&gt;&lt;td&gt;
&lt;div&gt;&lt;table&gt;&lt;tbody&gt;&lt;tr&gt;&lt;td&gt; &lt;/td&gt;&lt;/tr&gt;&lt;/tbody&gt;&lt;/table&gt;&lt;/div&gt;&lt;div&gt;&lt;table&gt;&lt;tbody&gt;
&lt;tr&gt;&lt;td&gt;&lt;div&gt;&lt;table&gt;&lt;tbody&gt;&lt;tr&gt;&lt;td&gt;&lt;div&gt;
&lt;strong&gt;&lt;img alt="TECON RIO GRANDE COMUNICA: Importante!" height="327" src="http://go.pardot.com/l/845693/2022-04-04/nqrsf9/845693/1649076412AVPdnGQ3/TC_IMPORTANTE_v2.jpg" width="600"/&gt;&lt;/strong&gt;&lt;br/&gt; &lt;/div&gt;&lt;/td&gt;&lt;/tr&gt;&lt;/tbody&gt;&lt;/table&gt;&lt;/div&gt;&lt;/td&gt;&lt;/tr&gt;
&lt;tr&gt;&lt;td&gt;&lt;div&gt;&lt;table&gt;&lt;tbody&gt;&lt;tr&gt;&lt;td&gt;&lt;div&gt;&lt;table&gt;&lt;tbody&gt;&lt;tr&gt;&lt;td&gt;
&lt;div&gt;&lt;table&gt;&lt;tbody&gt;
&lt;tr&gt;
&lt;td&gt; &lt;/td&gt;
&lt;td&gt;&lt;div&gt;&lt;table&gt;&lt;tbody&gt;
&lt;tr&gt;
&lt;td&gt; &lt;/td&gt;
&lt;td colspan="3" rowspan="2"&gt;
&lt;h1&gt;
&lt;span&gt;&lt;span&gt;Nº 0021/2025&lt;/span&gt;&lt;/span&gt;&lt;br/&gt;&lt;span&gt;&lt;span&gt;Rio Grande, 09 de Setembro 2025&lt;/span&gt;&lt;/span&gt;
&lt;/h1&gt;
&lt;p&gt;&lt;img alt='""' height="20" src="http://go.pardot.com/l/845693/2021-08-11/n41v63/845693/1628710296BvJuukZ7/TEXTURA.png" width="600"/&gt;&lt;br/&gt;​​​​​&lt;/p&gt;
&lt;/td&gt;
&lt;/tr&gt;
&lt;tr&gt;&lt;td&gt; &lt;/td&gt;&lt;/tr&gt;
&lt;/tbody&gt;&lt;/table&gt;&lt;/div&gt;&lt;/td&gt;
&lt;td&gt; &lt;/td&gt;
&lt;/tr&gt;
&lt;tr&gt;
&lt;td&gt; &lt;/td&gt;
&lt;td&gt;
&lt;div&gt; &lt;/div&gt;
&lt;div&gt;&lt;div&gt;&lt;table&gt;&lt;tbody&gt;&lt;tr&gt;
&lt;td&gt; &lt;/td&gt;
&lt;td&gt;&lt;div&gt;&lt;table&gt;&lt;tbody&gt;
&lt;tr&gt;
&lt;td&gt; &lt;/td&gt;
&lt;td&gt; &lt;/td&gt;
&lt;td&gt; &lt;/td&gt;
&lt;td&gt; &lt;/td&gt;
&lt;/tr&gt;
&lt;tr&gt;
&lt;td&gt; &lt;/td&gt;
&lt;td colspan="3" rowspan="2"&gt;
&lt;p&gt;&lt;span&gt;&lt;strong&gt;Agendamento | Entrada de Container Cheio &lt;/strong&gt;&lt;/span&gt;&lt;/p&gt;
&lt;hr/&gt;
&lt;p&gt;​&lt;span&gt;No intuito de otimizar o fluxo das operações e atendimento com eficiência de nossos serviços, a partir do dia &lt;strong&gt;18 de setembro&lt;/strong&gt; ajustaremos &lt;strong&gt;temporariamente&lt;/strong&gt; as regras abaixo:&lt;/span&gt;&lt;br/&gt; &lt;/p&gt;
&lt;ul&gt;&lt;li&gt;&lt;p&gt;&lt;span&gt;O agendamento para entrega de &lt;strong&gt;container cheio&lt;/strong&gt; estará disponível &lt;strong&gt;somente&lt;/strong&gt; após a finalização da operação do navio/serviço da semana anterior.&lt;/span&gt;&lt;/p&gt;&lt;/li&gt;&lt;/ul&gt;
&lt;ul&gt;&lt;li&gt;&lt;p&gt;&lt;span&gt;Os horários de agendamento disponíveis serão da &lt;strong&gt;data atual do dia&lt;/strong&gt; &lt;strong&gt;mais o próximo dia útil&lt;/strong&gt;.&lt;/span&gt;&lt;/p&gt;&lt;/li&gt;&lt;/ul&gt;
&lt;p&gt;&lt;br/&gt;&lt;span&gt;Em caso de dúvidas, entre em contato por meio dos nossos Canais de Atendimento.&lt;/span&gt;&lt;br/&gt;&lt;span&gt;&lt;span&gt;​​&lt;/span&gt;&lt;/span&gt;&lt;/p&gt;
&lt;/td&gt;
&lt;/tr&gt;
&lt;tr&gt;&lt;td&gt; &lt;/td&gt;&lt;/tr&gt;
&lt;tr&gt;
&lt;td&gt; &lt;/td&gt;
&lt;td&gt; &lt;/td&gt;
&lt;td&gt; &lt;/td&gt;
&lt;td&gt; &lt;/td&gt;
&lt;/tr&gt;
&lt;/tbody&gt;&lt;/table&gt;&lt;/div&gt;&lt;/td&gt;
&lt;/tr&gt;&lt;/tbody&gt;&lt;/table&gt;&lt;/div&gt;&lt;/div&gt;
&lt;/td&gt;
&lt;td&gt; &lt;/td&gt;
&lt;td&gt; &lt;/td&gt;
&lt;/tr&gt;
&lt;tr&gt;
&lt;td&gt; &lt;/td&gt;
&lt;td&gt; &lt;/td&gt;
&lt;td&gt; &lt;/td&gt;
&lt;/tr&gt;
&lt;tr&gt;
&lt;td&gt; &lt;/td&gt;
&lt;td&gt;
&lt;br/&gt;&lt;span&gt;&lt;span&gt;&lt;strong&gt;Central de Atendimento&lt;/strong&gt;&lt;/span&gt;&lt;/span&gt;&lt;br/&gt;&lt;span&gt;&lt;span&gt;+55 53 3234.3030 | &lt;/span&gt;&lt;span&gt;atendimento.tcrg@wilsonsons.com.br&lt;/span&gt;&lt;/span&gt;
&lt;/td&gt;
&lt;td&gt; &lt;/td&gt;
&lt;/tr&gt;
&lt;tr&gt;
&lt;td&gt; &lt;/td&gt;
&lt;td&gt; &lt;/td&gt;
&lt;/tr&gt;
&lt;tr&gt;
&lt;td&gt; &lt;/td&gt;
&lt;td&gt;&lt;div&gt;&lt;table&gt;&lt;tbody&gt;&lt;tr&gt;&lt;td&gt;&lt;img alt='""' src="http://go.pardot.com/l/845693/2021-05-17/mx2xf4/845693/1621263737Dk6e8hZ3/WS_TEXTURA.png"/&gt;&lt;/td&gt;&lt;/tr&gt;&lt;/tbody&gt;&lt;/table&gt;&lt;/div&gt;&lt;/td&gt;
&lt;td&gt; &lt;/td&gt;
&lt;td&gt; &lt;/td&gt;
&lt;/tr&gt;
&lt;tr&gt;
&lt;td&gt; &lt;/td&gt;
&lt;td&gt; &lt;/td&gt;
&lt;td&gt; &lt;/td&gt;
&lt;td&gt; &lt;/td&gt;
&lt;/tr&gt;
&lt;/tbody&gt;&lt;/table&gt;&lt;/div&gt;&lt;hr/&gt;
&lt;h2&gt;&lt;img alt="" height="92" src="http://go.pardot.com/l/845693/2021-05-17/mx33wj/845693/1621269268bZlHPKWW/TE_EMKT_NAV_INTERIOR_CONHECIMENTO_23.png" width="92"/&gt;&lt;/h2&gt;
&lt;/td&gt;&lt;/tr&gt;&lt;/tbody&gt;&lt;/table&gt;&lt;/div&gt;&lt;/td&gt;&lt;/tr&gt;&lt;/tbody&gt;&lt;/table&gt;&lt;/div&gt;&lt;/td&gt;&lt;/tr&gt;
&lt;tr&gt;&lt;td&gt;&lt;div&gt;&lt;table&gt;&lt;tbody&gt;&lt;tr&gt;&lt;td&gt; &lt;/td&gt;&lt;/tr&gt;&lt;/tbody&gt;&lt;/table&gt;&lt;/div&gt;&lt;/td&gt;&lt;/tr&gt;
&lt;/tbody&gt;&lt;/table&gt;&lt;/div&gt;
&lt;/td&gt;&lt;/tr&gt;&lt;/tbody&gt;&lt;/table&gt;&lt;/div&gt;</t>
  </si>
  <si>
    <t>https://wilsonsonstrg.zendesk.com/api/v2/help_center/pt-br/articles/39656940905229.json</t>
  </si>
  <si>
    <t>https://atendimento.teconline.com.br/hc/pt-br/articles/39656940905229-26-08-2025-Comunicado-Importante-Feriados-M%C3%AAs-de-Setembro</t>
  </si>
  <si>
    <t>26/08/2025 - [Comunicado Importante] - Feriados | Mês de Setembro</t>
  </si>
  <si>
    <t>['01H90WBJBCCZDGRHGT3Y9WHEE4']</t>
  </si>
  <si>
    <t>['Feriados | Mês de Setembro']</t>
  </si>
  <si>
    <t>&lt;p&gt;[Horário Especial] - Tecon Rio Grande Comunica&lt;/p&gt;&lt;div&gt;&lt;table&gt;&lt;tbody&gt;&lt;tr&gt;&lt;td&gt;
&lt;div&gt;&lt;table&gt;
&lt;tbody&gt;&lt;tr&gt;&lt;td&gt; &lt;/td&gt;&lt;/tr&gt;&lt;/tbody&gt;
&lt;/table&gt;&lt;/div&gt;&lt;div&gt;&lt;table&gt;&lt;tbody&gt;
&lt;tr&gt;&lt;td&gt;
&lt;p&gt; &lt;/p&gt;
&lt;div&gt;&lt;table&gt;
&lt;tbody&gt;&lt;tr&gt;&lt;td&gt;&lt;div&gt;
&lt;strong&gt;&lt;img alt="TECON RIO GRANDE COMUNICA: Horário Especial" height="350" src="http://go.pardot.com/l/845693/2021-08-11/n41v31/845693/1628709696YAcKJloG/TE_TOPO.jpg" width="600"/&gt;  &lt;/strong&gt;&lt;br/&gt; &lt;/div&gt;&lt;/td&gt;&lt;/tr&gt;&lt;/tbody&gt;
&lt;/table&gt;&lt;/div&gt;
&lt;/td&gt;&lt;/tr&gt;
&lt;tr&gt;&lt;td&gt;&lt;div&gt;&lt;table&gt;&lt;tbody&gt;&lt;tr&gt;&lt;td&gt;&lt;div&gt;&lt;table&gt;&lt;tbody&gt;&lt;tr&gt;&lt;td&gt;
&lt;div&gt;&lt;table&gt;&lt;tbody&gt;
&lt;tr&gt;
&lt;td&gt; &lt;/td&gt;
&lt;td&gt;&lt;div&gt;&lt;table&gt;&lt;tbody&gt;
&lt;tr&gt;
&lt;td&gt; &lt;/td&gt;
&lt;td colspan="3" rowspan="2"&gt;
&lt;h1&gt;
&lt;span&gt;&lt;span&gt;Nº 0018/2025&lt;/span&gt;&lt;/span&gt;&lt;br/&gt;&lt;span&gt;&lt;span&gt;Rio Grande, 26 de Agosto de 2025&lt;/span&gt;&lt;/span&gt;
&lt;/h1&gt;
&lt;p&gt;&lt;img alt='""' height="20" src="http://go.pardot.com/l/845693/2021-08-11/n41v63/845693/1628710296BvJuukZ7/TEXTURA.png" width="600"/&gt;&lt;br/&gt;​​​​​&lt;/p&gt;
&lt;/td&gt;
&lt;/tr&gt;
&lt;tr&gt;&lt;td&gt; &lt;/td&gt;&lt;/tr&gt;
&lt;/tbody&gt;&lt;/table&gt;&lt;/div&gt;&lt;/td&gt;
&lt;td&gt; &lt;/td&gt;
&lt;/tr&gt;
&lt;tr&gt;
&lt;td&gt; &lt;/td&gt;
&lt;td&gt;
&lt;div&gt; &lt;/div&gt;
&lt;div&gt;&lt;div&gt;&lt;table&gt;&lt;tbody&gt;&lt;tr&gt;
&lt;td&gt; &lt;/td&gt;
&lt;td&gt;&lt;div&gt;&lt;table&gt;&lt;tbody&gt;
&lt;tr&gt;
&lt;td&gt; &lt;/td&gt;
&lt;td&gt; &lt;/td&gt;
&lt;td&gt; &lt;/td&gt;
&lt;td&gt; &lt;/td&gt;
&lt;/tr&gt;
&lt;tr&gt;
&lt;td&gt; &lt;/td&gt;
&lt;td colspan="3" rowspan="2"&gt;
&lt;p&gt;&lt;br/&gt;&lt;span&gt;&lt;strong&gt;Feriados | Mês de Setembro&lt;/strong&gt;&lt;/span&gt;&lt;br/&gt;&lt;br/&gt;&lt;span&gt;Em virtude do Feriado da Independência do Brasil, &lt;strong&gt;no dia 07 de setembro&lt;/strong&gt; e da Revolução Farroupilha, &lt;strong&gt;no dia 20 de setembro&lt;/strong&gt;, informamos o expediente do Terminal:&lt;/span&gt;&lt;br/&gt;  &lt;/p&gt;
&lt;hr/&gt;
&lt;p&gt;&lt;br/&gt;&lt;span&gt;&lt;strong&gt;Recebimento de containers Cheios e Vazios: &lt;/strong&gt;&lt;/span&gt;&lt;br/&gt;&lt;span&gt;07/09 - Sem expediente&lt;/span&gt;&lt;br/&gt;&lt;span&gt;20/09 - Sem expediente&lt;/span&gt;&lt;br/&gt;&lt;br/&gt;&lt;span&gt;&lt;strong&gt;Retirada de containers Cheios e Vazios:&lt;/strong&gt;&lt;/span&gt;&lt;br/&gt;&lt;span&gt;07/09 - Sem expediente&lt;/span&gt;&lt;br/&gt;&lt;span&gt;20/09 - Sem expediente&lt;/span&gt;&lt;br/&gt;&lt;br/&gt;&lt;span&gt;&lt;strong&gt;Armazéns:&lt;/strong&gt;&lt;/span&gt;&lt;br/&gt;&lt;span&gt;07/09 - Sem expediente&lt;/span&gt;&lt;br/&gt;&lt;span&gt;20/09 - Sem expediente&lt;/span&gt;&lt;br/&gt;&lt;br/&gt;&lt;span&gt;Havendo necessidade de entrega ou retirada, encaminhe sua solicitação aos nossos Canais de Atendimento para análise de viabilidade.&lt;/span&gt;&lt;br/&gt; &lt;/p&gt;
&lt;/td&gt;
&lt;/tr&gt;
&lt;tr&gt;&lt;td&gt; &lt;/td&gt;&lt;/tr&gt;
&lt;tr&gt;
&lt;td&gt; &lt;/td&gt;
&lt;td&gt; &lt;/td&gt;
&lt;td&gt; &lt;/td&gt;
&lt;td&gt; &lt;/td&gt;
&lt;/tr&gt;
&lt;/tbody&gt;&lt;/table&gt;&lt;/div&gt;&lt;/td&gt;
&lt;/tr&gt;&lt;/tbody&gt;&lt;/table&gt;&lt;/div&gt;&lt;/div&gt;
&lt;/td&gt;
&lt;td&gt; &lt;/td&gt;
&lt;td&gt; &lt;/td&gt;
&lt;/tr&gt;
&lt;tr&gt;
&lt;td&gt; &lt;/td&gt;
&lt;td&gt; &lt;/td&gt;
&lt;td&gt; &lt;/td&gt;
&lt;/tr&gt;
&lt;tr&gt;
&lt;td&gt; &lt;/td&gt;
&lt;td&gt;
&lt;br/&gt;&lt;span&gt;&lt;span&gt;&lt;strong&gt;Central de Atendimento&lt;/strong&gt;&lt;/span&gt;&lt;/span&gt;&lt;br/&gt;&lt;span&gt;&lt;span&gt;+55 53 3234.3030 | &lt;/span&gt;&lt;span&gt;atendimento.tcrg@wilsonsons.com.br&lt;/span&gt;&lt;/span&gt;
&lt;/td&gt;
&lt;td&gt; &lt;/td&gt;
&lt;/tr&gt;
&lt;tr&gt;
&lt;td&gt; &lt;/td&gt;
&lt;td&gt; &lt;/td&gt;
&lt;/tr&gt;
&lt;tr&gt;
&lt;td&gt; &lt;/td&gt;
&lt;td&gt;&lt;div&gt;&lt;table&gt;&lt;tbody&gt;&lt;tr&gt;&lt;td&gt;&lt;img alt='""' src="http://go.pardot.com/l/845693/2021-05-17/mx2xf4/845693/1621263737Dk6e8hZ3/WS_TEXTURA.png"/&gt;&lt;/td&gt;&lt;/tr&gt;&lt;/tbody&gt;&lt;/table&gt;&lt;/div&gt;&lt;/td&gt;
&lt;td&gt; &lt;/td&gt;
&lt;td&gt; &lt;/td&gt;
&lt;/tr&gt;
&lt;tr&gt;
&lt;td&gt; &lt;/td&gt;
&lt;td&gt; &lt;/td&gt;
&lt;td&gt; &lt;/td&gt;
&lt;td&gt; &lt;/td&gt;
&lt;/tr&gt;
&lt;/tbody&gt;&lt;/table&gt;&lt;/div&gt;&lt;hr/&gt;
&lt;h2&gt;&lt;img alt="" height="92" src="http://go.pardot.com/l/845693/2021-05-17/mx33wj/845693/1621269268bZlHPKWW/TE_EMKT_NAV_INTERIOR_CONHECIMENTO_23.png" width="92"/&gt;&lt;/h2&gt;
&lt;/td&gt;&lt;/tr&gt;&lt;/tbody&gt;&lt;/table&gt;&lt;/div&gt;&lt;/td&gt;&lt;/tr&gt;&lt;/tbody&gt;&lt;/table&gt;&lt;/div&gt;&lt;/td&gt;&lt;/tr&gt;
&lt;tr&gt;&lt;td&gt; &lt;/td&gt;&lt;/tr&gt;
&lt;/tbody&gt;&lt;/table&gt;&lt;/div&gt;
&lt;/td&gt;&lt;/tr&gt;&lt;/tbody&gt;&lt;/table&gt;&lt;/div&gt;</t>
  </si>
  <si>
    <t>https://wilsonsonstrg.zendesk.com/api/v2/help_center/pt-br/articles/39406117531405.json</t>
  </si>
  <si>
    <t>https://atendimento.teconline.com.br/hc/pt-br/articles/39406117531405-Manual-de-Aprova%C3%A7%C3%A3o-de-Drafts</t>
  </si>
  <si>
    <t>Manual de Aprovação de Drafts</t>
  </si>
  <si>
    <t>['01HQDJ3TH752A734MG7NWZXQP6', '01K4N06KMH8EMWM6X214FGEEAZ', '01K4N06Y79X41F3NEMDA3PXGD1']</t>
  </si>
  <si>
    <t>['faturamento', 'draft', 'PO', 'faturas', 'nfe']</t>
  </si>
  <si>
    <t>&lt;p&gt;Este manual tem como objetivo orientar de forma prática e simplificada o processo de análise, aprovação ou reprovação de drafts no sistema. &lt;/p&gt;&lt;ul&gt;&lt;li&gt;&lt;p&gt;&lt;span&gt;&lt;strong&gt;Prazos para Aprovação e Retorno de PO&lt;/strong&gt;&lt;/span&gt;&lt;strong&gt;&lt;span&gt;&lt;/span&gt;&lt;/strong&gt;&lt;/p&gt;&lt;/li&gt;&lt;/ul&gt;&lt;p&gt;&lt;span&gt;• Serviços Acessórios: até &lt;strong&gt;48 horas&lt;/strong&gt;&lt;/span&gt;&lt;br/&gt;&lt;span&gt;• Navio: até &lt;strong&gt;24 horas&lt;/strong&gt;&lt;/span&gt;&lt;br/&gt;&lt;br/&gt;&lt;span&gt;&lt;strong&gt;Observações: &lt;/strong&gt;Caso não haja retorno dentro do prazo, as NFs poderão ser emitidas sem aprovação prévia e/ou PO.&lt;/span&gt;&lt;/p&gt;&lt;ul&gt;&lt;li&gt;
&lt;span&gt;&lt;strong&gt;Status do Draft &lt;/strong&gt;&lt;/span&gt;&lt;strong&gt;&lt;span&gt;&lt;/span&gt;&lt;/strong&gt;
&lt;/li&gt;&lt;/ul&gt;&lt;p&gt;&lt;strong&gt;Pendente: &lt;/strong&gt;Draft enviado pela equipe de faturamento e aguardando aprovação do cliente/armador.&lt;/p&gt;&lt;p&gt;&lt;strong&gt;Em andamento: &lt;/strong&gt;Draft está em processo de análise pelo cliente/armador.&lt;/p&gt;&lt;p&gt;&lt;strong&gt;Aprovado: &lt;/strong&gt;Todas as ordens de serviços foram aprovadas.&lt;/p&gt;&lt;p&gt;&lt;strong&gt;Reprovado: &lt;/strong&gt;Todas as ordens foram reprovadas. Obrigatório informar o motivo.&lt;/p&gt;&lt;p&gt;&lt;strong&gt;Finalizado: &lt;/strong&gt;Não houve retorno dentro do prazo e o faturista finalizou para emissão da NF.&lt;/p&gt;&lt;p&gt;&lt;strong&gt;Parcialmente Aprovado: &lt;/strong&gt;Parte das ordens aprovadas e parte reprovadas. Será necessário ajuste da equipe de faturamento.&lt;/p&gt;&lt;p&gt; &lt;/p&gt;&lt;p&gt;Segue descrito abaixo o procedimento.&lt;strong&gt;&lt;span&gt;&lt;/span&gt;&lt;/strong&gt;&lt;/p&gt;&lt;p&gt;1. Acesse o sistema Drafts pelo link: www.teconline.com.br/draft&lt;br/&gt;2. Clique no botão **Draft** para visualizar todos os drafts enviados.&lt;br/&gt;3. Utilize os filtros (Serviço, Operação, Período, Situação, Usuário) para localizar o draft desejado.&lt;br/&gt;4. Clique no ícone&lt;span&gt; &lt;/span&gt;&lt;span&gt;(olho) para abrir o detalhamento do draft.&lt;/span&gt;&lt;/p&gt;&lt;p&gt; &lt;/p&gt;&lt;p&gt;&lt;img height="216" src="https://atendimento.teconline.com.br/hc/article_attachments/39406117489677" width="602"/&gt;&lt;/p&gt;&lt;p&gt;&lt;span&gt;&lt;span&gt;&lt;strong&gt;Aprovação com Obrigatoriedade de PO&lt;/strong&gt;&lt;/span&gt;&lt;/span&gt;&lt;/p&gt;&lt;p&gt;&lt;strong&gt;&lt;span&gt;&lt;/span&gt;&lt;/strong&gt;&lt;/p&gt;&lt;p&gt;1. Clique em 'Marcar todas as OSs'.&lt;/p&gt;&lt;p&gt;2. Clique em 'Inserir PO'.&lt;/p&gt;&lt;p&gt;&lt;img height="224" src="https://atendimento.teconline.com.br/hc/article_attachments/39406117491597" width="602"/&gt;&lt;/p&gt;&lt;p&gt;3. Informe o número da PO e clique em 'Aprovar'.&lt;/p&gt;&lt;p&gt;&lt;img height="243" src="https://atendimento.teconline.com.br/hc/article_attachments/39406117492749" width="602"/&gt;&lt;/p&gt;&lt;p&gt;4. Verifique se o status mudou para Aprovado e a coluna PO foi preenchida.&lt;/p&gt;&lt;p&gt;&lt;img height="308" src="https://atendimento.teconline.com.br/hc/article_attachments/39406117493261" width="602"/&gt;&lt;/p&gt;&lt;p&gt;5. Clique em 'Confirmar Draft' no canto inferior direito.&lt;/p&gt;&lt;p&gt;&lt;img height="303" src="https://atendimento.teconline.com.br/hc/article_attachments/39406093743373" width="602"/&gt;&lt;/p&gt;&lt;p&gt;&lt;span&gt;&lt;strong&gt;Observação:&lt;/strong&gt; Custos aprovados geram automaticamente a emissão da NF. Se houver PO, ela constará na observação da NF.&lt;/span&gt;&lt;/p&gt;&lt;p&gt;&lt;br/&gt;&lt;strong&gt;Observação:&lt;/strong&gt; Custos reprovados devem ser justificados. A equipe de faturamento fará ajustes e reenviará.&lt;/p&gt;&lt;p&gt; &lt;/p&gt;&lt;p&gt;&lt;span&gt;&lt;span&gt;&lt;strong&gt;Aprovação sem Obrigatoriedade de PO&lt;/strong&gt;&lt;/span&gt;&lt;/span&gt;&lt;strong&gt;&lt;span&gt;&lt;/span&gt;&lt;/strong&gt;&lt;/p&gt;&lt;p&gt;1. Clique em 'Marcar todas as OSs'.&lt;/p&gt;&lt;p&gt;2. Clique em 'Aprovar'.&lt;/p&gt;&lt;p&gt;&lt;img height="301" src="https://atendimento.teconline.com.br/hc/article_attachments/39406117494669" width="602"/&gt;&lt;/p&gt;&lt;p&gt;3. O status mudará automaticamente para Aprovado.&lt;/p&gt;&lt;p&gt;&lt;img height="304" src="https://atendimento.teconline.com.br/hc/article_attachments/39406117497101" width="602"/&gt;&lt;/p&gt;&lt;p&gt;4. Clique em 'Confirmar Draft' no canto inferior direito.&lt;/p&gt;&lt;p&gt;&lt;img height="304" src="https://atendimento.teconline.com.br/hc/article_attachments/39406117498381" width="602"/&gt;&lt;/p&gt;&lt;p&gt;&lt;span&gt;&lt;strong&gt;Observação:&lt;/strong&gt; Custos aprovados acionam a emissão automática da NF. Custos reprovados retornam para ajustes e novo envio.&lt;/span&gt;&lt;/p&gt;&lt;p&gt;&lt;span&gt;&lt;strong&gt;Reprovação:&lt;/strong&gt;&lt;/span&gt;&lt;strong&gt;&lt;span&gt;&lt;/span&gt;&lt;/strong&gt;&lt;/p&gt;&lt;p&gt;Existem duas formas de reprovar:&lt;/p&gt;&lt;p&gt;&lt;span&gt;• **Reprovar tudo:** clique em 'Marcar todas as OSs' &amp;gt; 'Reprovar'.&lt;/span&gt;&lt;br/&gt;&lt;span&gt;• **Reprovar parcialmente:** selecione manualmente as OSs desejadas &amp;gt; 'Reprovar'.&lt;/span&gt;&lt;/p&gt;&lt;p&gt;&lt;span&gt;&lt;strong&gt;Observação&lt;/strong&gt;: As OSs reprovadas serão revisadas pela equipe de faturamento e reenviadas. As OSs aprovadas serão faturadas normalmente.&lt;/span&gt;&lt;/p&gt;&lt;p&gt; &lt;/p&gt;&lt;p&gt;&lt;span&gt;&lt;span&gt;&lt;strong&gt;Atenção!&lt;/strong&gt;&lt;/span&gt;&lt;/span&gt;&lt;/p&gt;&lt;h4&gt;&lt;span&gt;CUSTOS APROVADOS:&lt;/span&gt;&lt;/h4&gt;&lt;p&gt;Ao aprovar os custos das ordens de serviços selecionadas isso acionará a emissão automática da Nota Fiscal.&lt;/p&gt;&lt;p&gt;Caso tenha sido informada uma PO, a mesma constará no campo de observação da NF.&lt;/p&gt;&lt;h4&gt;&lt;span&gt;CUSTOS REPROVADOS:&lt;/span&gt;&lt;/h4&gt;&lt;p&gt;Ao reprovar os custos das ordens de serviços, a equipe de faturamento atuará na revisão de acordo com a justificativa informada e será enviado um novo draft para essas ordens de serviços.&lt;/p&gt;&lt;p&gt; &lt;/p&gt;&lt;p&gt;&lt;span&gt;&lt;strong&gt;Deseja prosseguir?&lt;/strong&gt;&lt;/span&gt;&lt;br/&gt; &lt;/p&gt;&lt;p&gt;&lt;img height="255" src="https://atendimento.teconline.com.br/hc/article_attachments/39406093750157" width="602"/&gt;&lt;/p&gt;&lt;p&gt;Ao clicar em SIM: NF será enviada automaticamente para a fila de emissão.&lt;/p&gt;&lt;p&gt;Ao clicar em NÃO: Retorna para tela anterior e é possível rever o processo novamente. Ao clicar em Desfazer alterações, as ordens de serviços retornam ao status Pendente e limpam o campo PO.&lt;/p&gt;&lt;p&gt; &lt;/p&gt;&lt;p&gt;Contatos para Suporte&lt;strong&gt;&lt;span&gt;&lt;/span&gt;&lt;/strong&gt;&lt;/p&gt;&lt;p&gt;&lt;span&gt;• setorfaturamento.teconrg@wilsonsons.com.br&lt;/span&gt;&lt;br/&gt;&lt;span&gt;• atendimentoarmador.tcrg@wilsonsons.com.br&lt;/span&gt;&lt;/p&gt;</t>
  </si>
  <si>
    <t>https://wilsonsonstrg.zendesk.com/api/v2/help_center/pt-br/articles/38085354542221.json</t>
  </si>
  <si>
    <t>https://atendimento.teconline.com.br/hc/pt-br/articles/38085354542221-Transfer%C3%AAncias-de-Lote</t>
  </si>
  <si>
    <t>Exportação - Cabotagem</t>
  </si>
  <si>
    <t>Transferências de Lote</t>
  </si>
  <si>
    <t>['01K07WN3ETS987MM165XTWGDWT', '01K07WNFKYMHN800A972SMWYGJ', '01K07WNM4KEG20WQ54G2FYGV5V']</t>
  </si>
  <si>
    <t>['transferência', 'realocação']</t>
  </si>
  <si>
    <t>&lt;p&gt;Neste artigo você aprenderá as seguintes funções:&lt;/p&gt;&lt;p&gt;&lt;br/&gt; &lt;/p&gt;&lt;p&gt;&lt;strong&gt;1. Transferência de Porto&lt;/strong&gt;&lt;/p&gt;&lt;p&gt;&lt;strong&gt;2. Transferência de Booking&lt;/strong&gt;&lt;/p&gt;&lt;p&gt;&lt;strong&gt;3. Transferência de Navio&lt;/strong&gt;&lt;/p&gt;&lt;p&gt;&lt;strong&gt;4. Transferência de Navio/POD&lt;/strong&gt;&lt;/p&gt;&lt;p&gt;&lt;strong&gt;5. Programação de TRA/MTY&lt;/strong&gt;&lt;/p&gt;&lt;p&gt;&lt;br/&gt; &lt;/p&gt;&lt;p&gt;&lt;img height="62" src="https://atendimento.teconline.com.br/hc/article_attachments/38085354504205" width="173"/&gt;&lt;/p&gt;&lt;p&gt;Tela: Tela de Consulta das Transferências já realizadas&lt;/p&gt;&lt;p&gt;&lt;img height="84" src="https://atendimento.teconline.com.br/hc/article_attachments/38085354507021" width="602"/&gt;&lt;/p&gt;&lt;p&gt;Botão: Execução de novos ajustes&lt;/p&gt;&lt;p&gt;&lt;br/&gt; &lt;/p&gt;&lt;p&gt;&lt;img height="51" src="https://atendimento.teconline.com.br/hc/article_attachments/38085354509965" width="139"/&gt;&lt;/p&gt;&lt;p&gt;&lt;br/&gt; &lt;/p&gt;&lt;p&gt;&lt;span&gt;&lt;strong&gt;1. Transferência de Porto&lt;/strong&gt;&lt;/span&gt;&lt;br/&gt; &lt;/p&gt;&lt;p&gt;&lt;strong&gt;Passo 1:&lt;/strong&gt;&lt;/p&gt;&lt;p&gt;No campo &lt;strong&gt;Tipo&lt;/strong&gt;, selecione a opção &lt;strong&gt;Transferência de Porto.&lt;/strong&gt;&lt;/p&gt;&lt;p&gt;&lt;br/&gt; &lt;/p&gt;&lt;p&gt;&lt;strong&gt;Passo 2:&lt;/strong&gt;&lt;/p&gt;&lt;p&gt;No campo &lt;strong&gt;Subtipo&lt;/strong&gt;, escolha entre as opções &lt;strong&gt;Container &lt;/strong&gt;ou &lt;strong&gt;Booking&lt;/strong&gt;, conforme o que será utilizado como referência para consulta e posterior troca das unidades.&lt;/p&gt;&lt;p&gt;&lt;br/&gt; &lt;/p&gt;&lt;p&gt;&lt;img height="285" src="https://atendimento.teconline.com.br/hc/article_attachments/38085354510477" width="397"/&gt;&lt;/p&gt;&lt;p&gt;&lt;br/&gt; &lt;/p&gt;&lt;p&gt;&lt;strong&gt;Passo 3:&lt;/strong&gt;&lt;/p&gt;&lt;p&gt;Informe o &lt;strong&gt;Booking &lt;/strong&gt;ou os &lt;strong&gt;Containers &lt;/strong&gt;desejados e clique no ícone da lupa para consultar as unidades.&lt;/p&gt;&lt;p&gt;&lt;br/&gt; &lt;/p&gt;&lt;p&gt;&lt;img height="104" src="https://atendimento.teconline.com.br/hc/article_attachments/38085354514957" width="602"/&gt;&lt;/p&gt;&lt;p&gt;&lt;br/&gt; &lt;/p&gt;&lt;p&gt;&lt;strong&gt;Observação:&lt;/strong&gt; Os campos &lt;strong&gt;Operação Atual&lt;/strong&gt; e &lt;strong&gt;POD Atual&lt;/strong&gt; serão preenchidos automaticamente com base nas informações registradas no sistema do terminal.&lt;/p&gt;&lt;p&gt;&lt;br/&gt; &lt;/p&gt;&lt;p&gt;&lt;strong&gt;Passo 4:&lt;/strong&gt;&lt;/p&gt;&lt;p&gt;Selecione o novo &lt;strong&gt;POD&lt;/strong&gt;, informe o &lt;strong&gt;motivo da transferência&lt;/strong&gt; e marque o campo &lt;strong&gt;Flag de Custos&lt;/strong&gt; da seguinte forma:&lt;/p&gt;&lt;p&gt;&lt;strong&gt;Marcado:&lt;/strong&gt; Caso os custos sejam do cliente.&lt;/p&gt;&lt;p&gt;&lt;strong&gt;Desmarcado:&lt;/strong&gt; Caso os custos sejam absorvidos pelo armador.&lt;/p&gt;&lt;p&gt;&lt;br/&gt; &lt;/p&gt;&lt;p&gt;&lt;img height="67" src="https://atendimento.teconline.com.br/hc/article_attachments/38085333493645" width="202"/&gt;&lt;/p&gt;&lt;p&gt;&lt;br/&gt; &lt;/p&gt;&lt;p&gt;&lt;strong&gt;Observação:&lt;/strong&gt; Alguns motivos específicos, ao serem selecionados, bloqueiam automaticamente a edição do campo &lt;strong&gt;Flag de Custos&lt;/strong&gt;, não permitindo sua marcação ou desmarcação.&lt;/p&gt;&lt;p&gt;&lt;strong&gt;Passo 5:&lt;/strong&gt;&lt;/p&gt;&lt;p&gt;Clique no botão &lt;strong&gt;Adicionar Dados&lt;/strong&gt;.&lt;/p&gt;&lt;p&gt;&lt;br/&gt; &lt;/p&gt;&lt;ul&gt;&lt;li&gt;&lt;p&gt;Essa ação &lt;strong&gt;não realiza modificações no sistema&lt;/strong&gt;, apenas prepara os dados para exibição e validação.&lt;/p&gt;&lt;/li&gt;&lt;/ul&gt;&lt;p&gt;&lt;br/&gt; &lt;/p&gt;&lt;p&gt;&lt;img height="124" src="https://atendimento.teconline.com.br/hc/article_attachments/38085333494029" width="602"/&gt;&lt;/p&gt;&lt;p&gt;&lt;br/&gt;&lt;strong&gt;Passo 6:&lt;/strong&gt;&lt;/p&gt;&lt;p&gt;Após clicar em &lt;strong&gt;Adicionar Dados&lt;/strong&gt;, as unidades serão exibidas em formato de lista, com a possibilidade de realizar alterações.&lt;/p&gt;&lt;p&gt;&lt;br/&gt; &lt;/p&gt;&lt;p&gt;&lt;img height="71" src="https://atendimento.teconline.com.br/hc/article_attachments/38085354518029" width="602"/&gt;&lt;/p&gt;&lt;p&gt;&lt;br/&gt; &lt;/p&gt;&lt;p&gt;Quando todas as informações estiverem corretas, clique no botão &lt;strong&gt;Confirmar Transferências&lt;/strong&gt;, localizado no canto inferior direito da tela, para efetivar o ajuste no sistema do terminal.&lt;/p&gt;&lt;p&gt;&lt;br/&gt; &lt;/p&gt;&lt;p&gt;&lt;img height="195" src="https://atendimento.teconline.com.br/hc/article_attachments/38085333498509" width="602"/&gt;&lt;/p&gt;&lt;p&gt;&lt;img height="78" src="https://atendimento.teconline.com.br/hc/article_attachments/38085333499533" width="120"/&gt;&lt;/p&gt;&lt;p&gt;&lt;br/&gt; &lt;/p&gt;&lt;p&gt;&lt;strong&gt;Observação:&lt;/strong&gt; Após a confirmação, o sistema exibirá uma nova tela onde será possível inserir os &lt;strong&gt;e-mails dos destinatários&lt;/strong&gt; que receberão uma cópia do comprovante da modificação realizada (com todos os detalhes). Lembrando que o terminal também receberá automaticamente uma cópia deste comprovante.&lt;/p&gt;&lt;p&gt;&lt;br/&gt; &lt;/p&gt;&lt;p&gt;&lt;span&gt;&lt;strong&gt;2. Transferência de Booking;&lt;/strong&gt;&lt;/span&gt;&lt;/p&gt;&lt;p&gt;&lt;strong&gt;Passo 1:&lt;/strong&gt;&lt;br/&gt;No campo Tipo, selecione a opção &lt;strong&gt;Transferência de Booking.&lt;/strong&gt;&lt;/p&gt;&lt;p&gt;&lt;img height="230" src="https://atendimento.teconline.com.br/hc/article_attachments/38085333500173" width="352"/&gt;&lt;/p&gt;&lt;p&gt;&lt;strong&gt;Passo 2:&lt;/strong&gt;&lt;br/&gt;No campo Subtipo, selecione a opção &lt;strong&gt;Booking&lt;/strong&gt;, que será utilizada como referência para consulta e ajuste no sistema.&lt;/p&gt;&lt;p&gt;&lt;strong&gt;Passo 3:&lt;/strong&gt;&lt;br/&gt;Informe o &lt;strong&gt;Booking atual&lt;/strong&gt; da(s) unidade(s) e clique em Pesquisar.&lt;/p&gt;&lt;p&gt;Após a inclusão e pesquisa, os campos &lt;strong&gt;Operação Atual&lt;/strong&gt; e &lt;strong&gt;POD Atual&lt;/strong&gt; serão preenchidos automaticamente com as informações registradas pelo terminal, referentes à reserva.&lt;/p&gt;&lt;p&gt;&lt;img height="116" src="https://atendimento.teconline.com.br/hc/article_attachments/38085354522125" width="602"/&gt;&lt;/p&gt;&lt;p&gt;&lt;strong&gt;Passo 4:&lt;/strong&gt;&lt;br/&gt;Indique o &lt;strong&gt;motivo da transferência&lt;/strong&gt; e defina no campo &lt;strong&gt;Flag de Custos&lt;/strong&gt; quem será o responsável pelos custos:&lt;/p&gt;&lt;ul&gt;
&lt;li&gt;Marcado: Quando os custos forem do cliente.&lt;br/&gt;&lt;br/&gt; &lt;/li&gt;
&lt;li&gt;Desmarcado: Quando os custos forem do armador.&lt;/li&gt;
&lt;/ul&gt;&lt;p&gt;&lt;br/&gt; &lt;/p&gt;&lt;p&gt;&lt;img height="113" src="https://atendimento.teconline.com.br/hc/article_attachments/38085354523917" width="602"/&gt;&lt;/p&gt;&lt;p&gt;&lt;img height="84" src="https://atendimento.teconline.com.br/hc/article_attachments/38085354526989" width="216"/&gt;&lt;/p&gt;&lt;p&gt;&lt;strong&gt;Passo 5:&lt;/strong&gt;&lt;br/&gt;No campo &lt;strong&gt;Booking Novo&lt;/strong&gt;, insira o novo código de booking para o qual as unidades serão transferidas.&lt;/p&gt;&lt;p&gt;&lt;img height="115" src="https://atendimento.teconline.com.br/hc/article_attachments/38085333502989" width="602"/&gt;&lt;/p&gt;&lt;p&gt;Após a inclusão e nova pesquisa, os campos &lt;strong&gt;Operação Atual&lt;/strong&gt; e &lt;strong&gt;POD Atual&lt;/strong&gt; também serão preenchidos automaticamente com as informações registradas pelo terminal, referentes à nova reserva.&lt;/p&gt;&lt;p&gt;&lt;strong&gt;Passo 6:&lt;/strong&gt;&lt;/p&gt;&lt;p&gt;Após clicar em &lt;strong&gt;Adicionar Dados&lt;/strong&gt;, as unidades serão exibidas em formato de lista, com a possibilidade de realizar alterações.&lt;/p&gt;&lt;p&gt;&lt;br/&gt; &lt;/p&gt;&lt;p&gt;&lt;img height="101" src="https://atendimento.teconline.com.br/hc/article_attachments/38085354529677" width="602"/&gt;&lt;/p&gt;&lt;p&gt;&lt;br/&gt;&lt;br/&gt; &lt;/p&gt;&lt;p&gt;Quando todas as informações estiverem corretas, clique no botão &lt;strong&gt;Confirmar Transferências&lt;/strong&gt;, localizado no canto inferior direito da tela, para efetivar o ajuste no sistema do terminal.&lt;/p&gt;&lt;p&gt;&lt;img height="78" src="https://atendimento.teconline.com.br/hc/article_attachments/38085333499533" width="120"/&gt;&lt;/p&gt;&lt;p&gt;&lt;br/&gt; &lt;/p&gt;&lt;p&gt;&lt;strong&gt;Observação:&lt;/strong&gt; Após a confirmação, o sistema exibirá uma nova tela onde será possível inserir os &lt;strong&gt;e-mails dos destinatários&lt;/strong&gt; que receberão uma cópia do comprovante da modificação realizada (com todos os detalhes). Lembrando que o terminal também receberá automaticamente uma cópia deste comprovante.&lt;/p&gt;&lt;p&gt;&lt;br/&gt; &lt;/p&gt;&lt;p&gt;&lt;span&gt;&lt;strong&gt;3. Transferência de Navio&lt;/strong&gt;&lt;/span&gt;&lt;/p&gt;&lt;p&gt;&lt;strong&gt;Passo 1:&lt;/strong&gt;&lt;br/&gt;No campo Tipo, selecione a opção Transferência de Navio.&lt;/p&gt;&lt;p&gt;&lt;strong&gt;Passo 2:&lt;/strong&gt;&lt;br/&gt;No campo Subtipo, escolha entre as opções Container, Booking ou Navio (realizada em lote), conforme o que será utilizado como referência para consulta e ajuste no sistema.&lt;/p&gt;&lt;p&gt;&lt;img height="330" src="https://atendimento.teconline.com.br/hc/article_attachments/38085354530061" width="428"/&gt;&lt;/p&gt;&lt;p&gt;&lt;strong&gt;Passo 3:&lt;/strong&gt;&lt;br/&gt;Informe o container, booking e/ou o navio atual das unidades e clique em Pesquisar.&lt;/p&gt;&lt;p&gt;&lt;img height="92" src="https://atendimento.teconline.com.br/hc/article_attachments/38085354530445" width="602"/&gt;&lt;/p&gt;&lt;p&gt;Após a inclusão e pesquisa, os campos Operação Atual e POD Atual serão preenchidos automaticamente com as informações registradas pelo terminal, referentes à reserva.&lt;/p&gt;&lt;p&gt;&lt;strong&gt;Passo 4:&lt;/strong&gt;&lt;br/&gt;Informe a nova operação, selecione o motivo da transferência e defina no campo Flag de Custos quem será o responsável pelos custos:&lt;/p&gt;&lt;ul&gt;
&lt;li&gt;Marcado: Quando os custos forem do cliente.&lt;br/&gt;&lt;br/&gt; &lt;/li&gt;
&lt;li&gt;Desmarcado: Quando os custos forem do armador.&lt;br/&gt;&lt;br/&gt; &lt;/li&gt;
&lt;/ul&gt;&lt;p&gt;&lt;img height="84" src="https://atendimento.teconline.com.br/hc/article_attachments/38085354526989" width="216"/&gt;&lt;/p&gt;&lt;p&gt;&lt;br/&gt; &lt;/p&gt;&lt;p&gt;&lt;strong&gt;Passo 5:&lt;/strong&gt;&lt;br/&gt;Preencha o campo Período Absorvido.&lt;/p&gt;&lt;p&gt;&lt;img height="36" src="https://atendimento.teconline.com.br/hc/article_attachments/38085333504525" width="602"/&gt;&lt;/p&gt;&lt;p&gt;&lt;strong&gt;Observação&lt;/strong&gt;: O sistema definirá automaticamente a diferença de datas entre os navios envolvidos, não permitindo a redução desse período. No entanto, será possível que o armador absorva um período superior ao pré-definido, caso seja de interesse.&lt;/p&gt;&lt;p&gt;&lt;br/&gt; &lt;/p&gt;&lt;p&gt;&lt;span&gt;&lt;strong&gt;4. Transferência de Navio/POD&lt;/strong&gt;&lt;/span&gt;&lt;/p&gt;&lt;p&gt;&lt;strong&gt;Passo 1:&lt;/strong&gt;&lt;br/&gt;No campo Tipo, selecione a opção Transferência de Navio/POD.&lt;/p&gt;&lt;p&gt;&lt;strong&gt;Passo 2:&lt;/strong&gt;&lt;br/&gt;No campo Subtipo, escolha a opção Container, a qual será utilizado como referência para consulta e ajuste no sistema.&lt;/p&gt;&lt;p&gt;&lt;img height="286" src="https://atendimento.teconline.com.br/hc/article_attachments/38085354531853" width="430"/&gt;&lt;/p&gt;&lt;p&gt;&lt;strong&gt;Passo 3:&lt;/strong&gt;&lt;br/&gt;Informe o container(s) e clique em Pesquisar.&lt;/p&gt;&lt;p&gt;Após a inclusão e pesquisa, os campos Operação Atual e POD Atual serão preenchidos automaticamente com as informações registradas pelo terminal, referentes à reserva.&lt;/p&gt;&lt;p&gt;&lt;img height="89" src="https://atendimento.teconline.com.br/hc/article_attachments/38085354533517" width="602"/&gt;&lt;/p&gt;&lt;p&gt;&lt;strong&gt;Passo 4:&lt;/strong&gt;&lt;br/&gt;Informe a nova operação e o novo POD, selecione o motivo da transferência e defina no campo Flag de Custos quem será o responsável pelos custos:&lt;/p&gt;&lt;ul&gt;
&lt;li&gt;Marcado: Quando os custos forem do cliente.&lt;br/&gt;&lt;br/&gt; &lt;/li&gt;
&lt;li&gt;Desmarcado: Quando os custos forem do armador.&lt;/li&gt;
&lt;/ul&gt;&lt;p&gt;&lt;img height="84" src="https://atendimento.teconline.com.br/hc/article_attachments/38085354526989" width="216"/&gt;&lt;br/&gt;&lt;br/&gt; &lt;/p&gt;&lt;p&gt;&lt;strong&gt;Passo 5:&lt;/strong&gt;&lt;br/&gt;Preencha o campo Período Absorvido.&lt;/p&gt;&lt;p&gt;&lt;img height="36" src="https://atendimento.teconline.com.br/hc/article_attachments/38085333504525" width="602"/&gt;&lt;/p&gt;&lt;p&gt;&lt;strong&gt;Observação&lt;/strong&gt;: O sistema definirá automaticamente a diferença de datas entre os navios envolvidos, não permitindo a redução desse período. No entanto, será possível que o armador absorva um período superior ao pré-definido, caso seja de interesse.&lt;/p&gt;&lt;p&gt; &lt;/p&gt;&lt;p&gt;&lt;span&gt;&lt;strong&gt;5. Programação de TRA/MTY&lt;/strong&gt;&lt;/span&gt;&lt;/p&gt;&lt;p&gt;&lt;strong&gt;Passo 1:&lt;/strong&gt;&lt;br/&gt;No campo Tipo, selecione a opção Programação de TRA/MTY.&lt;/p&gt;&lt;p&gt;&lt;strong&gt;Passo 2:&lt;/strong&gt;&lt;br/&gt;No campo Subtipo, escolha a opção Container, que será utilizada como referência para consulta e ajuste no sistema.&lt;/p&gt;&lt;p&gt;&lt;br/&gt; &lt;/p&gt;&lt;p&gt;&lt;img height="258" src="https://atendimento.teconline.com.br/hc/article_attachments/38085333506701" width="382"/&gt;&lt;/p&gt;&lt;p&gt;&lt;strong&gt;Passo 3:&lt;/strong&gt;&lt;br/&gt;Informe a categoria dos containers que serão modificados, cole as unidades desejadas e clique em Pesquisar.&lt;/p&gt;&lt;p&gt;&lt;img height="264" src="https://atendimento.teconline.com.br/hc/article_attachments/38085333507213" width="269"/&gt;&lt;/p&gt;&lt;p&gt;&lt;img height="59" src="https://atendimento.teconline.com.br/hc/article_attachments/38085333507981" width="602"/&gt;&lt;/p&gt;&lt;p&gt;&lt;strong&gt;Passo 4:&lt;/strong&gt;&lt;br/&gt;Informe a nova operação, o POD (Porto de Destino) e o destino final.&lt;/p&gt;&lt;p&gt;&lt;img height="107" src="https://atendimento.teconline.com.br/hc/article_attachments/38085333508877" width="602"/&gt;&lt;/p&gt;&lt;p&gt;&lt;strong&gt;Observação&lt;/strong&gt;: Estará disponível um menu suspenso para troca de categoria, caso seja necessário realizar essa alteração.&lt;/p&gt;&lt;p&gt;&lt;img height="234" src="https://atendimento.teconline.com.br/hc/article_attachments/38085354537613" width="254"/&gt;&lt;/p&gt;&lt;p&gt;&lt;br/&gt; &lt;/p&gt;</t>
  </si>
  <si>
    <t>https://wilsonsonstrg.zendesk.com/api/v2/help_center/pt-br/articles/37649625863565.json</t>
  </si>
  <si>
    <t>https://atendimento.teconline.com.br/hc/pt-br/articles/37649625863565-26-06-2025-Comunicado-Importante-Retirada-de-Vazios-Castanhas</t>
  </si>
  <si>
    <t>26/06/2025 - [Comunicado Importante] - Retirada de Vazios | Castanhas</t>
  </si>
  <si>
    <t>['01HEQD5DYGANV89FDRMHHM4H3V', '01HQ6CKTS3WGYJXMZ7J4EPYDMH']</t>
  </si>
  <si>
    <t>['castanhas']</t>
  </si>
  <si>
    <t>&lt;!-- Facebook sharing information tags --&gt;
&lt;table border="0" cellpadding="0" cellspacing="0" width="100%"&gt;
&lt;tbody&gt;
&lt;tr&gt;
&lt;td align="center" valign="top"&gt;
&lt;!-- // Begin Template Preheader \ --&gt;
&lt;table border="0" cellpadding="10" cellspacing="0" width="600"&gt;
&lt;tbody&gt;
&lt;tr&gt;
&lt;td valign="top"&gt;
&lt;!-- // Begin Module: Standard Preheader  --&gt;
&lt;table border="0" cellpadding="10" cellspacing="0" width="100%"&gt;
&lt;tbody&gt;
&lt;tr&gt;
&lt;td valign="top"&gt;
&lt;div&gt;
&lt;div&gt;
&lt;/div&gt;
&lt;/div&gt;
&lt;/td&gt;
&lt;td valign="top"&gt;
&lt;div&gt;
&lt;div&gt;
&lt;span&gt;&lt;span&gt;&lt;span&gt;&lt;span&gt;&lt;span&gt;&lt;span&gt;&lt;span&gt;&lt;span&gt;&lt;span&gt;&lt;span&gt;&lt;span&gt;&lt;span&gt;Que tal visualizar este e-mail &lt;/span&gt;&lt;/span&gt;&lt;/span&gt;&lt;/span&gt;&lt;/span&gt;&lt;/span&gt;&lt;/span&gt;&lt;/span&gt;&lt;/span&gt;&lt;/span&gt;&lt;br/&gt;
&lt;a href="https://go.pardot.com/webmail/845693/2154386208/d7b3f70c199c7c7d9242dfd1b8bc8eab44e13be0be978b0e2308cada734f82ff" target="_blank"&gt;&lt;span&gt;&lt;span&gt;&lt;span&gt;&lt;span&gt;&lt;span&gt;&lt;span&gt;&lt;span&gt;&lt;span&gt;&lt;span&gt;&lt;span&gt;em seu navegador&lt;/span&gt;&lt;/span&gt;&lt;/span&gt;&lt;/span&gt;&lt;/span&gt;&lt;/span&gt;&lt;/span&gt;&lt;/span&gt;&lt;/span&gt;&lt;/span&gt;&lt;/a&gt;&lt;/span&gt;&lt;/span&gt;
&lt;/div&gt;
&lt;/div&gt;
&lt;/td&gt;
&lt;/tr&gt;
&lt;/tbody&gt;
&lt;/table&gt;
&lt;!-- // End Module: Standard Preheader  --&gt;
&lt;/td&gt;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
&lt;!--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Nº
0015/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br/&gt;
&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Rio Grande, 26 de Junho de
2025&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lt;/span&gt;
&lt;/h1&gt;
&lt;img alt='""' height="20" src="http://go.pardot.com/l/845693/2021-08-11/n41v63/845693/1628710296BvJuukZ7/TEXTURA.png" width="600"/&gt;&lt;br/&gt;
                                                    ​​​​​
                                                  &lt;/td&gt;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
&lt;span&gt;&lt;span&gt;&lt;strong&gt;Retirada de Vazios | Castanhas&lt;/strong&gt;&lt;/span&gt;&lt;/span&gt;
&lt;/p&gt;
&lt;hr/&gt;
&lt;p&gt;
&lt;span&gt;&lt;span&gt;Prezados,&lt;/span&gt;&lt;/span&gt;&lt;br/&gt;
&lt;br/&gt;
&lt;span&gt;&lt;span&gt;Solicitamos que, após a retirada de containers vazios do Terminal, a &lt;strong&gt;colocação das castanhas &lt;/strong&gt;seja realizada após a saída do gate, na &lt;strong&gt;área de&lt;/strong&gt; &lt;strong&gt;peação&lt;/strong&gt;, que fica localizada &lt;strong&gt;à direita na saída do gate&lt;/strong&gt;. Este procedimento visa garantir a segurança e evitar acidentes durante o transporte de vazios. &lt;/span&gt;&lt;/span&gt;&lt;br/&gt;
&lt;br/&gt;
&lt;span&gt;&lt;span&gt;Em caso de dúvidas, entre em contato por meio de nossos Canais de Atendimento.&lt;/span&gt;&lt;/span&gt;
&lt;/p&gt;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
&lt;span&gt;&lt;span&gt;&lt;span&gt;&lt;strong&gt;&lt;span&gt;&lt;span&gt;&lt;span&gt;&lt;span&gt;&lt;span&gt;&lt;span&gt;&lt;span&gt;&lt;span&gt;&lt;span&gt;&lt;span&gt;&lt;span&gt;&lt;span&gt;Central de Atendimento&lt;/span&gt;&lt;/span&gt;&lt;/span&gt;&lt;/span&gt;&lt;/span&gt;&lt;/span&gt;&lt;/span&gt;&lt;/span&gt;&lt;/span&gt;&lt;/span&gt;&lt;/span&gt;&lt;/span&gt;&lt;/strong&gt;&lt;/span&gt;&lt;/span&gt;&lt;br/&gt;
&lt;span&gt;&lt;span&gt;&lt;span&gt;&lt;span&gt;&lt;span&gt;&lt;span&gt;&lt;span&gt;&lt;span&gt;&lt;span&gt;&lt;span&gt;&lt;span&gt;&lt;span&gt;&lt;span&gt;&lt;span&gt;+55 53 3234.3030 | &lt;/span&gt;&lt;/span&gt;&lt;/span&gt;&lt;/span&gt;&lt;/span&gt;&lt;/span&gt;&lt;/span&gt;&lt;/span&gt;&lt;/span&gt;&lt;/span&gt;&lt;/span&gt;&lt;span&gt;&lt;span&gt;&lt;span&gt;&lt;span&gt;&lt;span&gt;&lt;span&gt;&lt;span&gt;&lt;span&gt;&lt;span&gt;&lt;span&gt;&lt;span&gt;atendimento.tcrg@wilsonsons.com.br&lt;/span&gt;&lt;/span&gt;&lt;/span&gt;&lt;/span&gt;&lt;/span&gt;&lt;/span&gt;&lt;/span&gt;&lt;/span&gt;&lt;/span&gt;&lt;/span&gt;&lt;/span&gt;&lt;/span&gt;&lt;/span&gt;&lt;/span&gt;&lt;/span&gt;
&lt;/td&gt;
&lt;td&gt; &lt;/td&gt;
&lt;/tr&gt;
&lt;tr&gt;
&lt;td&gt; &lt;/td&gt;
&lt;td&gt; &lt;/td&gt;
&lt;/tr&gt;
&lt;tr&gt;
&lt;td&gt; &lt;/td&gt;
&lt;td&gt;
&lt;table border="0" cellpadding="0" cellspacing="0"&gt;
&lt;tbody&gt;
&lt;tr&gt;
&lt;td&gt;
&lt;img alt='""' src="http://go.pardot.com/l/845693/2021-05-17/mx2xf4/845693/1621263737Dk6e8hZ3/WS_TEXTURA.png"/&gt;
&lt;/td&gt;
&lt;/tr&gt;
&lt;/tbody&gt;
&lt;/table&gt;
&lt;/td&gt;
&lt;td&gt; &lt;/td&gt;
&lt;td&gt; &lt;/td&gt;
&lt;/tr&gt;
&lt;tr&gt;
&lt;td&gt; &lt;/td&gt;
&lt;td&gt; &lt;/td&gt;
&lt;td&gt; &lt;/td&gt;
&lt;td&gt; &lt;/td&gt;
&lt;/tr&gt;
&lt;/tbody&gt;
&lt;/table&gt;
&lt;hr/&gt;
&lt;h2&gt;
&lt;img alt="" height="92" src="http://go.pardot.com/l/845693/2021-05-17/mx33wj/845693/1621269268bZlHPKWW/TE_EMKT_NAV_INTERIOR_CONHECIMENTO_23.png" width="92"/&gt;
&lt;/h2&gt;
&lt;/td&gt;
&lt;/tr&gt;
&lt;/tbody&gt;
&lt;/table&gt;
&lt;!-- // End Module: Standard Postcard Content \ --&gt;
&lt;/td&gt;
&lt;/tr&gt;
&lt;/tbody&gt;
&lt;/table&gt;
&lt;!-- // End Template Body \ --&gt;
&lt;/td&gt;
&lt;/tr&gt;
&lt;tr&gt;
&lt;td align="center" valign="top"&gt;
&lt;!-- // Begin Template Footer \ --&gt;
&lt;table border="0" cellpadding="10" cellspacing="0" width="600"&gt;
&lt;tbody&gt;
&lt;tr&gt;
&lt;td valign="top"&gt;
&lt;!-- // Begin Module: Standard Footer \ --&gt;
&lt;table border="0" cellpadding="10" cellspacing="0" width="100%"&gt;
&lt;tbody&gt;
&lt;tr&gt;
&lt;td colspan="2" valign="middle"&gt;
&lt;div&gt;
&lt;a href="https://go.pardot.com/e/845693/company-wilsonsons-/qktsst/2154386208/h/4LNbAQw-H_uaNV97gtNtA1cOmsKT5vD3zYSrsZjydzQ" target="_blank"&gt;&lt;img alt="Clique neste botão e acesse o Linkedin da Wilson Sons" src="http://go.pardot.com/l/845693/2021-05-17/mx34b8/845693/16212710282JcZGAjm/linkedin.png"/&gt;&lt;/a&gt;  &lt;a href="https://go.pardot.com/e/845693/WilsonsonsBR/qktst4/2154386208/h/4LNbAQw-H_uaNV97gtNtA1cOmsKT5vD3zYSrsZjydzQ" target="_blank"&gt;&lt;img alt="Clique neste botão e acesse o Facebook da Wilson Sons" height="30" src="http://go.pardot.com/l/845693/2021-05-17/mx34bl/845693/1621271090cdlUQKWd/facebook.png" width="30"/&gt;&lt;/a&gt;  &lt;a href="https://go.pardot.com/e/845693/wilsonsons-/qktssx/2154386208/h/4LNbAQw-H_uaNV97gtNtA1cOmsKT5vD3zYSrsZjydzQ" target="_blank"&gt;&lt;img alt="Clique neste botão e acesse o Instagram da Wilson Sons" src="http://go.pardot.com/l/845693/2021-05-17/mx34bq/845693/1621271119Oyp26fjp/instagram.png"/&gt;&lt;/a&gt;  
                                    &lt;/div&gt;
&lt;/td&gt;
&lt;/tr&gt;
&lt;tr&gt;
&lt;td valign="top"&gt;
&lt;div&gt;
&lt;div&gt;
&lt;em&gt;&lt;span&gt;&lt;span&gt;&lt;span&gt;&lt;span&gt;&lt;span&gt;&lt;span&gt;&lt;span&gt;&lt;span&gt;&lt;span&gt;&lt;span&gt;&lt;span&gt;&lt;span&gt;&lt;span&gt;&lt;span&gt;&lt;span&gt;&lt;span&gt;&lt;span&gt;&lt;span&gt;&lt;span&gt;&lt;span&gt;&lt;span&gt;&lt;span&gt;Copyright © 2025. Todos os direitos reservados. &lt;/span&gt;&lt;/span&gt;&lt;/span&gt;&lt;/span&gt;&lt;/span&gt;&lt;/span&gt;&lt;/span&gt;&lt;/span&gt;&lt;/span&gt;&lt;/span&gt;&lt;/span&gt;&lt;/span&gt;&lt;/span&gt;&lt;/span&gt;&lt;/span&gt;&lt;/span&gt;&lt;/span&gt;&lt;/span&gt;&lt;/span&gt;&lt;/span&gt;&lt;/span&gt;&lt;/span&gt;&lt;/em&gt;&lt;br/&gt;
&lt;span&gt;&lt;a&gt;&lt;/a&gt;&lt;/span&gt;
&lt;/div&gt;
&lt;/div&gt;
&lt;/td&gt;
&lt;/tr&gt;
&lt;tr&gt;
&lt;td colspan="2" valign="middle"&gt;
&lt;div&gt; &lt;/div&gt;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</si>
  <si>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https://wilsonsonstrg.zendesk.com/api/v2/help_center/pt-br/articles/35458668968205.json</t>
  </si>
  <si>
    <t>https://atendimento.teconline.com.br/hc/pt-br/articles/35458668968205-31-03-2025-Hor%C3%A1rio-Especial-Tecon-Rio-Grande-Comunica</t>
  </si>
  <si>
    <t>31/03/2025 - [Horário Especial] - Tecon Rio Grande Comunica</t>
  </si>
  <si>
    <t>['feriado', 'páscoa']</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</si>
  <si>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008/2025&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31 de Março de 2025&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 | Páscoa e Tiradentes&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de Páscoa e Tiradentes&lt;strong&gt;, &lt;/strong&gt;informamos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 (ch + Vz):&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span&gt;&lt;/span&gt;&lt;br/&gt;&lt;br/&gt;&lt;font face="Arial, Helvetica, sans-serif"&gt;&lt;span&gt;&lt;strong&gt;18/04: Sem Expediente&lt;br/&gt;19/04: Normal&lt;br/&gt;21/04: Sem Expediente&lt;/strong&gt;&lt;/span&gt;&lt;/font&gt;&lt;br/&gt;&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tirada de containers Vazios:&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span&gt;&lt;/span&gt;&lt;br/&gt;&lt;br/&gt;&lt;font face="Arial, Helvetica, sans-serif"&gt;&lt;span&gt;&lt;strong&gt;18/04: Sem Expediente&lt;br/&gt;19/04: Normal&lt;br/&gt;21/04: Sem Expediente&lt;/strong&gt;&lt;/span&gt;&lt;/font&gt;&lt;br/&gt;&lt;font face="Arial, Helvetica, sans-serif"&gt;&lt;span&gt;&lt;strong&gt;PTI: Sem Expediente em 18 e 21.&lt;/strong&gt;&lt;/span&gt;&lt;/font&gt;&lt;br/&gt;&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tirada de containers Cheios:&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span&gt;&lt;/span&gt;&lt;br/&gt;&lt;br/&gt;&lt;font face="Arial, Helvetica, sans-serif"&gt;&lt;span&gt;&lt;strong&gt;18/04: Sem Expediente&lt;br/&gt;19/04: Normal&lt;br/&gt;21/04: Sem Expediente&lt;/strong&gt;&lt;/span&gt;&lt;/font&gt;&lt;br/&gt;&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span&gt;&lt;/span&gt;&lt;br/&gt;&lt;br/&gt;&lt;font face="Arial, Helvetica, sans-serif"&gt;&lt;span&gt;&lt;strong&gt;18/04: Sem expediente&lt;br/&gt;&lt;br/&gt;19/04: &lt;br/&gt;Armimp: Normal&lt;br/&gt;Armexp: Sem expediente&lt;br/&gt;&lt;br/&gt;21/04: Sem expediente&lt;/strong&gt;&lt;/span&gt;&lt;/font&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trong&gt;Atendimento:&lt;/strong&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font face="Arial, Helvetica, sans-serif"&gt;&lt;span&gt;&lt;strong&gt;Sem expediente&lt;/strong&gt;&lt;/span&gt;&lt;/font&gt;&lt;br/&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&lt;/td&gt;
&lt;/tr&gt;
&lt;/tbody&gt;
&lt;/table&gt;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</si>
  <si>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https://wilsonsonstrg.zendesk.com/api/v2/help_center/pt-br/articles/35219054400013.json</t>
  </si>
  <si>
    <t>https://atendimento.teconline.com.br/hc/pt-br/articles/35219054400013-21-03-2025-Container-Vazio</t>
  </si>
  <si>
    <t>21/03/2025 - Container Vazio</t>
  </si>
  <si>
    <t>['01H1MK8705RK7959RXWZZHSDSW', '01JPX4WH4E27JB4QB224XFQ9P0']</t>
  </si>
  <si>
    <t>['vazio', 'tramela']</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</si>
  <si>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0007/2025&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21 de Março de 2025&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sans-serif"&gt;&lt;span&gt;&lt;strong&gt;Container Vazio &lt;/strong&gt;&lt;/span&gt;&lt;/font&gt;&lt;/p&gt;
&lt;hr/&gt;
&lt;p&gt;&lt;span&gt;&lt;font face="Arial, Helvetica, sans-serif"&gt;Prezados,&lt;br/&gt;&lt;br/&gt;Para evitar acidentes e possíveis avarias nos containers vazios durante as movimentações, é imprescindível que os depots enviem as unidades ao terminal com as tramelas devidamente fechadas.&lt;br/&gt;&lt;br/&gt;Ressaltamos que eventuais incidentes decorrentes do não cumprimento deste procedimento, assim como os custos de manuseio para ajustes de unidades identificadas em desacordo serão de responsabilidade do remente.&lt;/font&gt;&lt;/span&gt;&lt;br/&gt;&lt;br/&gt;Procedimento Correto:&lt;br/&gt;&lt;img alt="" height="168" src="https://go.pardot.com/l/845693/2025-03-21/qhjfnq/845693/1742577676SRtwgIdG/image__4_.png" width="423"/&gt;&lt;br/&gt;&lt;br/&gt;Procedimento Incorreto:&lt;br/&gt;&lt;img alt="" height="185" src="https://go.pardot.com/l/845693/2025-03-21/qhjfnt/845693/1742577704euWhMNgV/image__5_.png" width="194"/&gt;&lt;br/&gt;&lt;br/&gt;&lt;span&gt;&lt;span&gt;Em caso de dúvidas, entre em contato por meio de nossos Canais de Atendimento.&lt;/span&gt;&lt;/span&gt;&lt;/p&gt;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</si>
  <si>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https://wilsonsonstrg.zendesk.com/api/v2/help_center/pt-br/articles/34977454727309.json</t>
  </si>
  <si>
    <t>https://atendimento.teconline.com.br/hc/pt-br/articles/34977454727309-07-03-2025-Comunicado-Importante-Hor%C3%A1rio-de-Agendamento</t>
  </si>
  <si>
    <t>07/03/2025 - [Comunicado Importante] - Horário de Agendamento</t>
  </si>
  <si>
    <t>['01GPY217SSC5MP9PMEN97RPEVN', '01HE3FX3Y4VBP64H30WNHAZWAV']</t>
  </si>
  <si>
    <t>['Agendamento', 'Fila']</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</si>
  <si>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0006/2025&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07 de Março de 2025&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sans-serif"&gt;&lt;span&gt;&lt;strong&gt;Horário Agendamento&lt;/strong&gt;&lt;/span&gt;&lt;/font&gt;&lt;/p&gt;
&lt;hr/&gt;
&lt;p&gt;&lt;span&gt;&lt;font face="Arial, Helvetica, sans-serif"&gt;Prezados,&lt;br/&gt;&lt;br/&gt;Alguns veículos estão chegando ao terminal antes do horário agendado, o que está impactando no fluxo operacional do gate e causando congestionamento na rodovia.&lt;br/&gt;Solicitamos que os horários sejam respeitados.&lt;br/&gt;Lembramos que os motoristas que chegarem antes do horário agendado estarão sujeitos à aplicação da Política de Consequência.&lt;/font&gt;&lt;/span&gt;&lt;/p&gt;
&lt;p&gt;&lt;br/&gt;&lt;span&gt;&lt;span&gt;Em caso de dúvidas, entre em contato por meio de nossos Canais de Atendimento.&lt;/span&gt;&lt;/span&gt;&lt;/p&gt;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</si>
  <si>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https://wilsonsonstrg.zendesk.com/api/v2/help_center/pt-br/articles/34533744033293.json</t>
  </si>
  <si>
    <t>https://atendimento.teconline.com.br/hc/pt-br/articles/34533744033293-Monitoramento-de-Hor%C3%A1rios-Esgotados</t>
  </si>
  <si>
    <t>Monitoramento de Horários Esgotados</t>
  </si>
  <si>
    <t>['01GPY217SSC5MP9PMEN97RPEVN', '01J2ETMFZ0QX34YHC6SZ9EZ63J']</t>
  </si>
  <si>
    <t>['agendamento', 'monitoramento']</t>
  </si>
  <si>
    <t>&lt;p&gt;Agora você pode &lt;strong&gt;acompanhar as vagas para agendamento &lt;/strong&gt;de um jeito muito mais fácil e rápido!&lt;/p&gt;
&lt;p&gt;Com o novo sistema de &lt;strong&gt;Monitoramento de Horários Esgotados&lt;/strong&gt;, você poderá reservar um horário por janela de agendamento e ser avisado por e-mail assim que o horário for liberado, seja por desistência ou qualquer outra alteração na programação.&lt;/p&gt;
&lt;p&gt;&lt;strong&gt;Como funciona?&lt;/strong&gt;&lt;/p&gt;
&lt;ol&gt;
&lt;li&gt;&lt;strong&gt; Clique no ícone  &lt;img src="https://atendimento.teconline.com.br/hc/article_attachments/34533728251277"/&gt; ao lado do horário esgotado desejado:                                                                     &lt;img src="https://atendimento.teconline.com.br/hc/article_attachments/34533744032141"/&gt;   &lt;/strong&gt;&lt;/li&gt;
&lt;li&gt;
&lt;strong&gt;Informe o número do Booking e Container: e clique em &lt;span&gt;Confirmar:&lt;/span&gt;                                                          &lt;/strong&gt;&lt;strong&gt;&lt;img src="https://atendimento.teconline.com.br/hc/article_attachments/34533744032397"/&gt;                                                                           &lt;/strong&gt;
&lt;/li&gt;
&lt;li&gt;&lt;strong&gt;Após a confirmação aparecerá a seguinte mensagem abaixo:                                                                    &lt;img src="https://atendimento.teconline.com.br/hc/article_attachments/34533728252941"/&gt;&lt;/strong&gt;&lt;/li&gt;
&lt;/ol&gt;
&lt;p&gt;&lt;strong&gt;Vantagens:&lt;/strong&gt;&lt;/p&gt;
&lt;ul&gt;
&lt;li&gt;
&lt;strong&gt;Agilidade:&lt;/strong&gt; Seja notificado sobre novas vagas e agende seu serviço rapidamente.&lt;/li&gt;
&lt;li&gt;
&lt;strong&gt;Eficiência:&lt;/strong&gt; Evite consultas constantes no Teconline e otimize seu tempo.&lt;/li&gt;
&lt;/ul&gt;
&lt;p&gt;&lt;strong&gt;Regras:&lt;/strong&gt;&lt;/p&gt;
&lt;ul&gt;
&lt;li&gt;Você pode reservar apenas uma vaga por hora.&lt;/li&gt;
&lt;li&gt;Ao tentar realizar uma reserva o sistema apresentará a mensagem abaixo, orientando sobre o monitoramento ativo e com a opção para cancelar a reserva atual e entre na fila novamente.&lt;/li&gt;
&lt;/ul&gt;
&lt;p&gt;&lt;img src="https://atendimento.teconline.com.br/hc/article_attachments/34533744032653"/&gt;&lt;/p&gt;
&lt;p&gt; &lt;/p&gt;
&lt;p&gt;Caso ainda hajam dúvidas, entre em contato com o nosso atendimento ao cliente pelos meios abaixo:&lt;br/&gt;E-mail: &lt;span&gt;atendimento.tcrg@wilsonsons.com.br&lt;/span&gt;&lt;/p&gt;
&lt;p&gt;Telefone: (53) 32343030&lt;/p&gt;
&lt;p&gt;WhatsApp: (53) 32343030&lt;/p&gt;
&lt;p&gt;&lt;span&gt;&lt;span&gt;Chat: &lt;/span&gt;&lt;a href="https://atendimento.teconline.com.br/"&gt;&lt;span&gt;https://atendimento.teconline.com.br&lt;/span&gt;&lt;/a&gt;&lt;span&gt; e &lt;/span&gt;&lt;a href="http://www.teconline.com.br/"&gt;&lt;span&gt;http://www.teconline.com.br&lt;/span&gt;&lt;/a&gt;&lt;/span&gt;&lt;/p&gt;</t>
  </si>
  <si>
    <t>https://wilsonsonstrg.zendesk.com/api/v2/help_center/pt-br/articles/32788615559437.json</t>
  </si>
  <si>
    <t>https://atendimento.teconline.com.br/hc/pt-br/articles/32788615559437-17-12-2024-Comunicado-Importante-Passagem-no-Scanner-Orienta%C3%A7%C3%A3o-para-Motoristas</t>
  </si>
  <si>
    <t>17/12/2024 - [Comunicado Importante] - Passagem no Scanner | Orientação para Motoristas</t>
  </si>
  <si>
    <t>['01H1VJZTTMSC9E2FK6SC533WHP', '01H5A90ZR2BMP0R031YAXZ1D6A', '01JFAEJPAEYNNJBW8N3N92A9M9']</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</si>
  <si>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0033/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16 de Dezembro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sans-serif"&gt;&lt;span&gt;&lt;strong&gt;Passagem no Scanner | Orientação para Motoristas&lt;/strong&gt;&lt;/span&gt;&lt;/font&gt;&lt;/p&gt;
&lt;hr/&gt;
&lt;p&gt;&lt;span&gt;&lt;span&gt;Visando garantir a segurança e o bom andamento da operação, lembramos que é &lt;strong&gt;proibido&lt;/strong&gt; &lt;strong&gt;parar o caminhão&lt;/strong&gt; próximo ao scanner para entrar em contato com a equipe operacional.&lt;br/&gt;&lt;br/&gt;Reforçamos que o procedimento correto é: logo após passar pelo scanner, seguir &lt;strong&gt;diretamente&lt;/strong&gt; para o lote indicado no ticket emitido na entrada.&lt;/span&gt;&lt;/span&gt;&lt;br/&gt;&lt;br/&gt;&lt;span&gt;&lt;span&gt;Em caso de dúvidas, entre em contato por meio de nossos Canais de Atendimento.&lt;/span&gt;&lt;/span&gt;&lt;/p&gt;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</si>
  <si>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https://wilsonsonstrg.zendesk.com/api/v2/help_center/pt-br/articles/32765029645453.json</t>
  </si>
  <si>
    <t>https://atendimento.teconline.com.br/hc/pt-br/articles/32765029645453-16-12-2024-Comunicado-Importante-Passagem-no-Scanner-Orienta%C3%A7%C3%A3o-para-Motoristas</t>
  </si>
  <si>
    <t>16/12/2024 - [Comunicado Importante] - Passagem no Scanner | Orientação para Motoristas</t>
  </si>
  <si>
    <t>['01H1VJZ0K3W26BGAVYDENZ09Y1']</t>
  </si>
  <si>
    <t>['Motoristas', 'Scanner', 'Orientação', 'Passagem', 'Passagem no Scanner']</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</si>
  <si>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0033/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16 de Dezembro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sans-serif"&gt;&lt;span&gt;&lt;strong&gt;Passagem no Scanner | Orientação para Motoristas&lt;/strong&gt;&lt;/span&gt;&lt;/font&gt;&lt;/p&gt;
&lt;hr/&gt;
&lt;p&gt;&lt;span&gt;&lt;span&gt;Visando garantir a segurança e o bom andamento da operação, lembramos que é &lt;strong&gt;proibido&lt;/strong&gt; &lt;strong&gt;parar o caminhão&lt;/strong&gt; próximo ao scanner para entrar em contato com a equipe operacional.&lt;br/&gt;&lt;br/&gt;Reforçamos que o procedimento correto é: logo após passar pelo scanner, seguir &lt;strong&gt;diretamente&lt;/strong&gt; para o lote indicado no ticket emitido na entrada.&lt;/span&gt;&lt;/span&gt;&lt;br/&gt;&lt;br/&gt;&lt;span&gt;&lt;span&gt;Em caso de dúvidas, entre em contato por meio de nossos Canais de Atendimento.&lt;/span&gt;&lt;/span&gt;&lt;/p&gt;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</si>
  <si>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https://wilsonsonstrg.zendesk.com/api/v2/help_center/pt-br/articles/32750085420813.json</t>
  </si>
  <si>
    <t>https://atendimento.teconline.com.br/hc/pt-br/articles/32750085420813-13-12-24-Comunicado-Importante-Novo-Link-de-Acesso-Rainbow</t>
  </si>
  <si>
    <t>13/12/24 - [Comunicado Importante] - Novo Link de Acesso | Rainbow</t>
  </si>
  <si>
    <t>['rainbow', 'como usar o rainbow', 'acesso ao rainbow', 'Rainbow', 'Login para rainbow', 'novo link']</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</si>
  <si>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XX/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13 de Dezembro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sans-serif"&gt;&lt;span&gt;&lt;strong&gt;Novo link de acesso ao Rainbow&lt;/strong&gt;&lt;/span&gt;&lt;/font&gt;&lt;/p&gt;
&lt;hr/&gt;
&lt;p&gt;&lt;span&gt;&lt;span&gt;Comunicamos que está disponível um &lt;strong&gt;novo link&lt;/strong&gt; de acesso ao sistema &lt;strong&gt;Rainbow&lt;/strong&gt;. A ferramenta Rainbow é utilizada para prestadores de serviços e clientes que tem acesso à área alfandegada.&lt;/span&gt;&lt;/span&gt;&lt;/p&gt;
&lt;p&gt;&lt;span&gt;&lt;span&gt;Acesse abaixo o novo link:&lt;br/&gt;&lt;br/&gt;&lt;a href="https://go.pardot.com/e/845693/2024-12-13/qdl5zx/1948153578/h/U3YOuslb6fR1oR90i9WFWLLa6-LotjZeEZUHr6SfRUQ"&gt;Rainbow&lt;/a&gt;&lt;/span&gt;&lt;/span&gt;&lt;br/&gt;&lt;br/&gt;&lt;span&gt;&lt;span&gt;Em caso de dúvidas, entre em contato por meio de nossos Canais de Atendimento.&lt;/span&gt;&lt;/span&gt;&lt;/p&gt;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</si>
  <si>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https://wilsonsonstrg.zendesk.com/api/v2/help_center/pt-br/articles/32382131940749.json</t>
  </si>
  <si>
    <t>https://atendimento.teconline.com.br/hc/pt-br/articles/32382131940749-03-12-24-Hor%C3%A1rio-Especial-Tecon-Rio-Grande-Comunica</t>
  </si>
  <si>
    <t>03/12/24 - [Horário Especial] - Tecon Rio Grande Comunica</t>
  </si>
  <si>
    <t>['01H90WBJBCCZDGRHGT3Y9WHEE4', '01JBF4REEZM7Z6V35JDD9D7VGX', '01JE6FBP47DNFHQC5FZ9R209M7']</t>
  </si>
  <si>
    <t>['feriado', 'natal', 'expediente', 'vazio', 'ano novo', 'feriado de natal', 'armazem', 'cheios', 'vazios', 'feriados', 'ano', 'novo', 'cheio']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</si>
  <si>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0030/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03 de Dezembro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s de Natal e Ano Nov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dos feriados de Natal e Ano Novo,&lt;strong&gt; &lt;/strong&gt;informamos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e retirada de containers:&lt;/font&gt;&lt;/font&gt;&lt;/font&gt;&lt;/font&gt;&lt;/font&gt;&lt;/font&gt;&lt;/font&gt;&lt;/font&gt;&lt;/font&gt;&lt;/font&gt;&lt;/font&gt;&lt;/font&gt;&lt;/font&gt;&lt;/font&gt;&lt;/font&gt;&lt;/font&gt;&lt;/font&gt;&lt;/font&gt;&lt;/font&gt;&lt;/font&gt;&lt;/strong&gt;&lt;br/&gt;&lt;br/&gt;&lt;u&gt;&lt;strong&gt;Cheios e Vazios:&lt;/strong&gt;&lt;/u&gt;&lt;br/&gt;&lt;br/&gt;&lt;font&gt;&lt;font&gt;&lt;font&gt;&lt;font&gt;&lt;font&gt;&lt;font&gt;&lt;font&gt;&lt;font&gt;&lt;font&gt;&lt;font&gt;&lt;font&gt;&lt;font&gt;&lt;font&gt;&lt;font&gt;&lt;font&gt;&lt;font&gt;&lt;font&gt;&lt;font&gt;&lt;font&gt;&lt;font&gt;&lt;strong&gt;24/12&lt;/strong&gt; e &lt;strong&gt;31/12 &lt;/strong&gt;- Operação até às 18h&lt;br/&gt;&lt;strong&gt;25/12&lt;/strong&gt; e &lt;strong&gt;01/01/2025&lt;/strong&gt; - Sem operação&lt;br/&gt;&lt;strong&gt;26/12&lt;/strong&gt; e &lt;strong&gt;02/01/2025&lt;/strong&gt; - Operação inicia às 07h30&lt;/font&gt;&lt;/font&gt;&lt;/font&gt;&lt;/font&gt;&lt;/font&gt;&lt;/font&gt;&lt;/font&gt;&lt;/font&gt;&lt;/font&gt;&lt;/font&gt;&lt;/font&gt;&lt;/font&gt;&lt;/font&gt;&lt;/font&gt;&lt;/font&gt;&lt;/font&gt;&lt;/font&gt;&lt;/font&gt;&lt;/font&gt;&lt;/font&gt;&lt;br/&gt;&lt;br/&gt;&lt;u&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u&gt;&lt;br/&gt;&lt;br/&gt;&lt;font&gt;&lt;font&gt;&lt;font&gt;&lt;font&gt;&lt;font&gt;&lt;font&gt;&lt;font&gt;&lt;font&gt;&lt;font&gt;&lt;font&gt;&lt;font&gt;&lt;font&gt;&lt;font&gt;&lt;font&gt;&lt;font&gt;&lt;font&gt;&lt;font&gt;&lt;font&gt;&lt;font&gt;&lt;font&gt;&lt;strong&gt;24/12&lt;/strong&gt; e &lt;strong&gt;31/12&lt;/strong&gt; - Expediente até às 12h&lt;br/&gt;&lt;strong&gt;25/12&lt;/strong&gt; e &lt;strong&gt;01/01/2025&lt;/strong&gt; - Sem Expediente&lt;/font&gt;&lt;/font&gt;&lt;/font&gt;&lt;/font&gt;&lt;/font&gt;&lt;/font&gt;&lt;/font&gt;&lt;/font&gt;&lt;/font&gt;&lt;/font&gt;&lt;/font&gt;&lt;/font&gt;&lt;/font&gt;&lt;/font&gt;&lt;/font&gt;&lt;/font&gt;&lt;/font&gt;&lt;/font&gt;&lt;/font&gt;&lt;/font&gt;&lt;br/&gt;&lt;br/&gt;&lt;u&gt;&lt;strong&gt;&lt;font&gt;&lt;font&gt;&lt;font&gt;&lt;font&gt;&lt;font&gt;&lt;font&gt;&lt;font&gt;&lt;font&gt;&lt;font&gt;&lt;font&gt;&lt;font&gt;&lt;font&gt;&lt;font&gt;&lt;font&gt;&lt;font&gt;&lt;font&gt;&lt;font&gt;&lt;font&gt;&lt;font&gt;&lt;font&gt;Atendimento ao Cliente:&lt;/font&gt;&lt;/font&gt;&lt;/font&gt;&lt;/font&gt;&lt;/font&gt;&lt;/font&gt;&lt;/font&gt;&lt;/font&gt;&lt;/font&gt;&lt;/font&gt;&lt;/font&gt;&lt;/font&gt;&lt;/font&gt;&lt;/font&gt;&lt;/font&gt;&lt;/font&gt;&lt;/font&gt;&lt;/font&gt;&lt;/font&gt;&lt;/font&gt;&lt;/strong&gt;&lt;/u&gt;&lt;br/&gt;&lt;br/&gt;&lt;font&gt;&lt;font&gt;&lt;font&gt;&lt;font&gt;&lt;font&gt;&lt;font&gt;&lt;font&gt;&lt;font&gt;&lt;font&gt;&lt;font&gt;&lt;font&gt;&lt;font&gt;&lt;font&gt;&lt;font&gt;&lt;font&gt;&lt;font&gt;&lt;font&gt;&lt;font&gt;&lt;font&gt;&lt;font&gt;&lt;strong&gt;24/12&lt;/strong&gt; e &lt;strong&gt;31/12&lt;/strong&gt; - Expediente até às 12h&lt;br/&gt;&lt;strong&gt;25/12&lt;/strong&gt; e &lt;strong&gt;01/01/2025&lt;/strong&gt; - 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</si>
  <si>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https://wilsonsonstrg.zendesk.com/api/v2/help_center/pt-br/articles/32342362768781.json</t>
  </si>
  <si>
    <t>https://atendimento.teconline.com.br/hc/pt-br/articles/32342362768781-02-12-2024-Comunicado-Importante-Altera%C3%A7%C3%A3o-no-Expediente-21-e-22-12-ERRATA</t>
  </si>
  <si>
    <t>02/12/2024 - [Comunicado Importante] - Alteração no Expediente | 21 e 22/12 | ERRATA</t>
  </si>
  <si>
    <t>['01H1VJZ6SZ8D3GG1DY9JZ0JSX0', '01HFVFBMRJVWG47MM741BZH2Z4']</t>
  </si>
  <si>
    <t>['Alteração de Expediente', 'Gate']</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</si>
  <si>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0028/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02 de Dezembro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&lt;p&gt;&lt;span&gt;&lt;span&gt;&lt;strong&gt;&lt;span&gt;&lt;font&gt;&lt;font&gt;&lt;font&gt;&lt;font&gt;Alteração no Expediente | 21 e 22/12 | ERRATA&lt;/font&gt;&lt;/font&gt;&lt;/font&gt;&lt;/font&gt;&lt;/span&gt;&lt;/strong&gt;&lt;/span&gt;&lt;/span&gt;&lt;/p&gt;
&lt;hr/&gt;
&lt;p&gt;&lt;span&gt;&lt;span&gt;Excepcionalmente nos dias 21 e 22/12, teremos alteração no &lt;strong&gt;recebimento&lt;/strong&gt; e &lt;strong&gt;entrega&lt;/strong&gt; de containers e cargas soltas, conforme programação abaixo:&lt;br/&gt;&lt;br/&gt;&lt;strong&gt;Recebimento e entrega de containers:&lt;/strong&gt;&lt;br/&gt;&lt;br/&gt;Dia 21/12: operação até às &lt;strong&gt;18:00&lt;/strong&gt;&lt;br/&gt;Dia 22/12: sem operação.&lt;/span&gt;&lt;/span&gt;&lt;br/&gt;&lt;br/&gt;&lt;span&gt;&lt;span&gt;&lt;strong&gt;Armazéns:&lt;/strong&gt;&lt;br/&gt;&lt;br/&gt;Dia 21/12: funcionamento até às &lt;strong&gt;18:00&lt;/strong&gt;&lt;br/&gt;Dia 22/12: sem expediente.&lt;br/&gt;&lt;br/&gt;Em caso de dúvidas, entre em contato por meio de nossos&lt;br/&gt;Canais de Atendimento.&lt;/span&gt;&lt;/span&gt;&lt;/p&gt;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</si>
  <si>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https://wilsonsonstrg.zendesk.com/api/v2/help_center/pt-br/articles/31894433750669.json</t>
  </si>
  <si>
    <t>https://atendimento.teconline.com.br/hc/pt-br/articles/31894433750669-14-11-2024-Hor%C3%A1rio-Especial-Tecon-Rio-Grande-Comunica</t>
  </si>
  <si>
    <t>14/11/2024 - [Horário Especial] - Tecon Rio Grande Comunica</t>
  </si>
  <si>
    <t>['01H90WBJBCCZDGRHGT3Y9WHEE4', '01HEQDDN36RS5DQGXJ8ADCKVFY', '01JCP6XD8HHHEF6ZDFYR6EM7HQ']</t>
  </si>
  <si>
    <t>['feriado', 'Proclamação da República', 'Consciência Negra']</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</si>
  <si>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0027/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14 de Novembro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s | Mês de Novembr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dos feriados da Proclamação da República, no dia&lt;strong&gt; 15/11/24 &lt;/strong&gt;e Dia Nacional da Consciência Negra&lt;strong&gt;, no dia 20/11/24, &lt;/strong&gt;informamos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lt;u&gt;&lt;strong&gt;15/11&lt;/strong&gt;&lt;/u&gt; - Cheios e Vazios: Normal&lt;br/&gt;&lt;u&gt;&lt;strong&gt;20/11&lt;/strong&gt;&lt;/u&gt; - Sem Expediente&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lt;strong&gt;&lt;u&gt;15/11&lt;/u&gt;&lt;/strong&gt;&lt;br/&gt;Cheios: Sem Expediente&lt;br/&gt;Vazios: Normal&lt;br/&gt;PTI: Sem Expediente&lt;br/&gt;&lt;br/&gt;&lt;strong&gt;&lt;u&gt;20/11&lt;/u&gt;&lt;/strong&gt;&lt;br/&gt;Cheios e Vazios: Sem Expediente&lt;br/&gt;PTI: Sem Expediente&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font&gt;&lt;font&gt;&lt;font&gt;&lt;font&gt;&lt;font&gt;&lt;font&gt;&lt;font&gt;&lt;font&gt;&lt;font&gt;&lt;font&gt;&lt;font&gt;&lt;font&gt;&lt;font&gt;&lt;font&gt;&lt;font&gt;&lt;font&gt;&lt;font&gt;&lt;font&gt;&lt;font&gt;&lt;font&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&lt;/td&gt;
&lt;/tr&gt;
&lt;/tbody&gt;
&lt;/table&gt;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</si>
  <si>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https://wilsonsonstrg.zendesk.com/api/v2/help_center/pt-br/articles/31784146316813.json</t>
  </si>
  <si>
    <t>https://atendimento.teconline.com.br/hc/pt-br/articles/31784146316813-11-11-2024-Novo-Procedimento-Agendamento-de-Retirada-e-Entrega-de-Containers</t>
  </si>
  <si>
    <t>11/11/2024 - [Novo Procedimento] - Agendamento de Retirada e Entrega de Containers</t>
  </si>
  <si>
    <t>['DI', 'container', 'agendamento', 'retirada', 'entrega', 'novembro', 'Exportação', 'containers', 'Cabotagem', 'agendamentos', '18']</t>
  </si>
  <si>
    <t>&lt;p&gt; &lt;/p&gt;
&lt;p&gt; &lt;/p&gt;
&lt;!-- Facebook sharing information tags --&gt;
&lt;p&gt;&lt;/p&gt;
&lt;table border="0" cellpadding="0" cellspacing="0" width="100%"&gt;
&lt;tbody&gt;
&lt;tr&gt;
&lt;td align="center" valign="top"&gt;
&lt;table border="0" cellpadding="0" cellspacing="0" width="705"&gt;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0026/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11 de Novembro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sans-serif"&gt;&lt;span&gt;&lt;strong&gt;Agendamento de Retirada e Entrega de Containers&lt;/strong&gt;&lt;/span&gt;&lt;/font&gt;&lt;/p&gt;
&lt;hr/&gt;​&lt;br/&gt;&lt;span&gt;&lt;span&gt;Com o objetivo de otimizar a ocupação do terminal e melhorar o atendimento no carregamento e descarga de containers, a partir de &lt;br/&gt;&lt;strong&gt;18&lt;/strong&gt; &lt;strong&gt;de novembro de 2024&lt;/strong&gt;, os agendamentos terão as seguintes alterações:&lt;/span&gt;&lt;/span&gt;&lt;br/&gt; 
&lt;div&gt;
&lt;span&gt;&lt;span&gt;- &lt;strong&gt;Retirada de Importação DI&lt;/strong&gt; - o primeiro horário disponível para retirada será a partir de 06 horas do horário de agendamento (ex: efetuando o agendamento às 8h, os horários disponíveis serão das 14h em diante);&lt;br/&gt;&lt;br/&gt;- &lt;strong&gt;Entrega de Exportação/Cabotagem &lt;/strong&gt;- o primeiro horário disponível para entrega será a partir de 04 horas do horário de agendamento (ex: efetuando o agendamento às 8h, os horários disponíveis serão das 12h em diante);&lt;br/&gt;&lt;br/&gt;-&lt;strong&gt; Exclusão de agendamento por alteração efetuada pelo armador de navio no booking &lt;/strong&gt;- o agendador será notificado por e-mail informando alteração e disponibilizando o reagendamento da entrega do container;&lt;br/&gt;&lt;br/&gt;- &lt;strong&gt;Exclusão de agendamento por alteração efetuada pelo armador do ETA no navio (12h+) &lt;/strong&gt;- o agendador será notificado por e-mail informando alteração e disponibilizando o reagendamento da entrega do container;&lt;br/&gt;&lt;br/&gt;&lt;br/&gt;Em caso de dúvidas e maiores informações, gentileza entrar em contato por meio de nossos Canais de Atendimento.&lt;/span&gt;&lt;/span&gt;&lt;br/&gt; &lt;/div&gt;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&lt;br/&gt;&lt;span&gt;&lt;font color="#001c42"&gt;&lt;span&gt;&lt;strong&gt;Central de Atendimento&lt;/strong&gt;&lt;/span&gt;&lt;/font&gt;&lt;br/&gt;&lt;span&gt;&lt;span&gt;&lt;font&gt;&lt;font&gt;&lt;font&gt;&lt;font&gt;&lt;font&gt;&lt;font&gt;&lt;font&gt;&lt;font&gt;&lt;font&gt;&lt;font&gt;+55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</si>
  <si>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https://wilsonsonstrg.zendesk.com/api/v2/help_center/pt-br/articles/31598015164813.json</t>
  </si>
  <si>
    <t>https://atendimento.teconline.com.br/hc/pt-br/articles/31598015164813-14-10-2024-Comunicado-Importante-Recebimento-de-Containers-Cheios-DRY</t>
  </si>
  <si>
    <t>14/10/2024 - [Comunicado Importante] - Recebimento de Containers Cheios DRY</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</si>
  <si>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0023/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14 de Outubro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sans-serif"&gt;&lt;span&gt;&lt;strong&gt;Recebimento de Containers Cheios DRY&lt;/strong&gt;&lt;/span&gt;&lt;/font&gt;&lt;/p&gt;
&lt;hr/&gt;
&lt;p&gt;​&lt;span&gt;&lt;span&gt;Com o objetivo de otimizar a ocupação do terminal e &lt;strong&gt;melhorar o nível de atendimento do pátio&lt;/strong&gt; junto aos transportadores, comunicamos que a partir do dia &lt;strong&gt;21 de outubro de 2024&lt;/strong&gt;, o recebimento de cargas &lt;strong&gt;Dry, Open Top, Flat Rack, Tank&lt;/strong&gt; passará &lt;strong&gt;temporariamente &lt;/strong&gt;p​ara &lt;strong&gt;sete dias antes do ETA&lt;/strong&gt; do navio.&lt;/span&gt;&lt;/span&gt;&lt;br/&gt;&lt;br/&gt;&lt;span&gt;&lt;span&gt;Em caso de dúvidas, entre em contato por meio dos nossos Canais de Atendimento.&lt;/span&gt;&lt;/span&gt;&lt;/p&gt;
&lt;p&gt;​​&lt;span&gt;&lt;span&gt;&lt;span&gt;&lt;font&gt;&lt;font&gt;&lt;font&gt;&lt;font&gt;​&lt;/font&gt;&lt;/font&gt;&lt;/font&gt;&lt;/font&gt;&lt;/span&gt;&lt;/span&gt;&lt;/span&gt;&lt;/p&gt;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</si>
  <si>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https://wilsonsonstrg.zendesk.com/api/v2/help_center/pt-br/articles/31482849083917.json</t>
  </si>
  <si>
    <t>https://atendimento.teconline.com.br/hc/pt-br/articles/31482849083917-30-10-2024-Hor%C3%A1rio-Especial-Tecon-Rio-Grande-Comunica</t>
  </si>
  <si>
    <t>30/10/2024 - [Horário Especial] - Tecon Rio Grande Comunica</t>
  </si>
  <si>
    <t>['01H90WBJBCCZDGRHGT3Y9WHEE4', '01JBF4RV1GVS976E8F9FSXSWNZ']</t>
  </si>
  <si>
    <t>['feriado', 'novembro']</t>
  </si>
  <si>
    <t>&lt;p&gt; &lt;/p&gt;
&lt;p&gt; &lt;/p&gt;
&lt;!-- Facebook sharing information tags --&gt;
&lt;p&gt;&lt;/p&gt;
&lt;table border="0" cellpadding="0" cellspacing="0" width="100%"&gt;
&lt;tbody&gt;
&lt;tr&gt;
&lt;td align="center" valign="top"&gt;
&lt;!-- // Begin Template Preheader \ --&gt;
&lt;table border="0" cellpadding="10" cellspacing="0" width="600"&gt;
&lt;tbody&gt;
&lt;tr&gt;
&lt;td valign="top"&gt;
&lt;!-- // Begin Module: Standard Preheader  --&gt;
&lt;table border="0" cellpadding="10" cellspacing="0" width="100%"&gt;
&lt;tbody&gt;
&lt;tr&gt;
&lt;td valign="top"&gt;
&lt;div&gt;
&lt;div&gt;&lt;em&gt;&lt;font&gt;&lt;font&gt;&lt;font&gt;&lt;font&gt;&lt;font&gt;&lt;font&gt;Chegou sua atualização de horário especial do Tecon Rio Grande.&lt;/font&gt;&lt;/font&gt;&lt;/font&gt;&lt;/font&gt;&lt;/font&gt;&lt;/font&gt;&lt;/em&gt;&lt;/div&gt;
&lt;/div&gt;
&lt;/td&gt;
&lt;td valign="top"&gt;
&lt;div&gt;
&lt;div&gt;&lt;span&gt;&lt;span&gt;&lt;font&gt;&lt;font&gt;&lt;font&gt;&lt;font&gt;&lt;font&gt;&lt;font&gt;&lt;font&gt;&lt;font&gt;Que tal visualizar este e-mail &lt;/font&gt;&lt;/font&gt;&lt;/font&gt;&lt;/font&gt;&lt;/font&gt;&lt;/font&gt;&lt;/font&gt;&lt;/font&gt;&lt;br/&gt;&lt;a href="https://go.pardot.com/webmail/845693/1882516881/d7b3f70c199c7c7d9242dfd1b8bc8eab44e13be0be978b0e2308cada734f82ff" target="_blank"&gt;&lt;font&gt;&lt;font&gt;&lt;font&gt;&lt;font&gt;&lt;font&gt;&lt;font&gt;&lt;font&gt;&lt;font&gt;em seu navegador&lt;/font&gt;&lt;/font&gt;&lt;/font&gt;&lt;/font&gt;&lt;/font&gt;&lt;/font&gt;&lt;/font&gt;&lt;/font&gt;&lt;/a&gt;&lt;/span&gt;&lt;/span&gt;&lt;/div&gt;
&lt;/div&gt;
&lt;/td&gt;
&lt;/tr&gt;
&lt;/tbody&gt;
&lt;/table&gt;
&lt;!-- // End Module: Standard Preheader  --&gt;
&lt;/td&gt;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0024/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30 de Outubro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s | Mês de Novembr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dos Feriados de Finados, no dia &lt;strong&gt;02/11/24&lt;/strong&gt;,&lt;strong&gt; &lt;/strong&gt;Proclamação da República, no dia&lt;strong&gt; 15/11/24 &lt;/strong&gt;e Dia Nacional da Consciência Negra&lt;strong&gt;, no dia 20/11/24, &lt;/strong&gt;informamos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font&gt;&lt;font&gt;&lt;font&gt;&lt;font&gt;&lt;font&gt;&lt;font&gt;&lt;font&gt;&lt;font&gt;&lt;font&gt;&lt;font&gt;&lt;font&gt;&lt;font&gt;&lt;font&gt;&lt;font&gt;&lt;font&gt;&lt;font&gt;&lt;font&gt;&lt;font&gt;&lt;font&gt;&lt;font&gt;Cheios e Vazios: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Cheios: Sem Expediente&lt;br/&gt;Vazios: Normal&lt;br/&gt;PTI: Sem Expediente&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font&gt;&lt;font&gt;&lt;font&gt;&lt;font&gt;&lt;font&gt;&lt;font&gt;&lt;font&gt;&lt;font&gt;&lt;font&gt;&lt;font&gt;&lt;font&gt;&lt;font&gt;&lt;font&gt;&lt;font&gt;&lt;font&gt;&lt;font&gt;&lt;font&gt;&lt;font&gt;&lt;font&gt;&lt;font&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</si>
  <si>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https://wilsonsonstrg.zendesk.com/api/v2/help_center/pt-br/articles/31055242863629.json</t>
  </si>
  <si>
    <t>https://atendimento.teconline.com.br/hc/pt-br/articles/31055242863629-14-07-2024-Comunicado-Importante-Recebimento-de-Containers-Cheios-DRY</t>
  </si>
  <si>
    <t>Canais de Atendimento ao Cliente</t>
  </si>
  <si>
    <t>14/07/2024 - [Comunicado Importante] - Recebimento de Containers Cheios DRY</t>
  </si>
  <si>
    <t>['01HDPMRYGCAEBK51JA28DA246Z', '01HZMQH7GN1R9RYB9VBCGZH49N', '01JA6CY06Q5PSE3M6B8P4XSJGZ']</t>
  </si>
  <si>
    <t>['abertura de gate', 'Recebimento de Containers Cheios DRY']</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</si>
  <si>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0023/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14 de Outubro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sans-serif"&gt;&lt;span&gt;&lt;strong&gt;Recebimento de Containers Cheios DRY&lt;/strong&gt;&lt;/span&gt;&lt;/font&gt;&lt;/p&gt;
&lt;hr/&gt;
&lt;p&gt;​&lt;span&gt;&lt;span&gt;Com o objetivo de otimizar a ocupação do terminal e &lt;strong&gt;melhorar o nível de atendimento do pátio&lt;/strong&gt; junto aos transportadores, comunicamos que a partir do dia &lt;strong&gt;21 de outubro de 2024&lt;/strong&gt;, o recebimento de cargas &lt;strong&gt;Dry, Open Top, Flat Rack, Tank&lt;/strong&gt; passará &lt;strong&gt;temporariamente &lt;/strong&gt;p​ara &lt;strong&gt;sete dias antes do ETA&lt;/strong&gt; do navio.&lt;/span&gt;&lt;/span&gt;&lt;br/&gt;&lt;br/&gt;&lt;span&gt;&lt;span&gt;Em caso de dúvidas, entre em contato por meio dos nossos Canais de Atendimento.&lt;/span&gt;&lt;/span&gt;&lt;/p&gt;
&lt;p&gt;​​&lt;span&gt;&lt;span&gt;&lt;span&gt;&lt;font&gt;&lt;font&gt;&lt;font&gt;&lt;font&gt;​&lt;/font&gt;&lt;/font&gt;&lt;/font&gt;&lt;/font&gt;&lt;/span&gt;&lt;/span&gt;&lt;/span&gt;&lt;/p&gt;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</si>
  <si>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https://wilsonsonstrg.zendesk.com/api/v2/help_center/pt-br/articles/30762383780749.json</t>
  </si>
  <si>
    <t>https://atendimento.teconline.com.br/hc/pt-br/articles/30762383780749-01-10-2024-Hor%C3%A1rio-Especial-Tecon-Rio-Grande-Comunica</t>
  </si>
  <si>
    <t>01/10/2024 - [Horário Especial] - Tecon Rio Grande Comunica</t>
  </si>
  <si>
    <t>['01J99503TRA5B49TFMF5MFD7WR']</t>
  </si>
  <si>
    <t>['agendamento', 'vazio']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</si>
  <si>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0020/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01 de Outubro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sans-serif"&gt;&lt;span&gt;&lt;strong&gt;Retirada de Containers Vazios | Agendamento&lt;/strong&gt;&lt;/span&gt;&lt;/font&gt;&lt;/p&gt;
&lt;hr/&gt;
&lt;p&gt;​&lt;span&gt;&lt;span&gt;Visando ​​​​a eficiência na utilização das vagas de agendamento, &lt;strong&gt;a partir de 1º/11/2024&lt;/strong&gt;, as vagas para &lt;strong&gt;Retirada de Vazios de Importação &lt;/strong&gt;ficarão concentradas&lt;strong&gt; no período das 22h às 08h. &lt;/strong&gt;A quantidade total de vagas oferecidas por dia permanecerá inalterada.&lt;/span&gt;&lt;/span&gt;&lt;br/&gt;&lt;br/&gt;&lt;span&gt;&lt;span&gt;Em caso de dúvidas, entre em contato por meio dos nossos Canais de Atendimento.&lt;/span&gt;&lt;/span&gt;&lt;/p&gt;
&lt;p&gt;​​&lt;span&gt;&lt;span&gt;&lt;span&gt;&lt;font&gt;&lt;font&gt;&lt;font&gt;&lt;font&gt;​&lt;/font&gt;&lt;/font&gt;&lt;/font&gt;&lt;/font&gt;&lt;/span&gt;&lt;/span&gt;&lt;/span&gt;&lt;/p&gt;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&lt;br/&gt;&lt;span&gt;&lt;span&gt;&lt;span&gt;&lt;strong&gt;&lt;font&gt;&lt;font&gt;&lt;font&gt;&lt;font&gt;&lt;font&gt;&lt;font&gt;&lt;font&gt;&lt;font&gt;&lt;font&gt;&lt;font&gt;&lt;font&gt;&lt;font&gt;Atendimento Armador&lt;/font&gt;&lt;/font&gt;&lt;/font&gt;&lt;/font&gt;&lt;/font&gt;&lt;/font&gt;&lt;/font&gt;&lt;/font&gt;&lt;/font&gt;&lt;/font&gt;&lt;/font&gt;&lt;/font&gt;&lt;/strong&gt;&lt;/span&gt;&lt;/span&gt;&lt;br/&gt;&lt;span&gt;&lt;span&gt;&lt;font&gt;&lt;font&gt;&lt;font&gt;&lt;font&gt;&lt;font&gt;&lt;font&gt;&lt;font&gt;&lt;font&gt;&lt;font&gt;&lt;font&gt;&lt;font&gt;&lt;font&gt;+55 53 3234.3145 | &lt;/font&gt;&lt;/font&gt;&lt;/font&gt;&lt;/font&gt;&lt;/font&gt;&lt;/font&gt;&lt;/font&gt;&lt;/font&gt;&lt;/font&gt;&lt;/font&gt;&lt;/font&gt;&lt;font&gt;&lt;font&gt;&lt;font&gt;&lt;font&gt;&lt;font&gt;&lt;font&gt;&lt;font&gt;&lt;font&gt;&lt;font&gt;&lt;font&gt;&lt;font&gt;atendimentoarmador.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</si>
  <si>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https://wilsonsonstrg.zendesk.com/api/v2/help_center/pt-br/articles/30761980899213.json</t>
  </si>
  <si>
    <t>https://atendimento.teconline.com.br/hc/pt-br/articles/30761980899213-03-10-2024-Hor%C3%A1rio-Especial-Tecon-Rio-Grande-Comunica</t>
  </si>
  <si>
    <t>03/10/2024 - [Horário Especial] - Tecon Rio Grande Comunica</t>
  </si>
  <si>
    <t>['nossa senhora aparecida', '12 de outubro', 'dia das crianças']</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</si>
  <si>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0021/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3 de Outubro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 | Mês de Outubr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de Nossa Senhora Aparecida, no dia &lt;strong&gt;12&lt;/strong&gt;&lt;strong&gt; de outubro&lt;/strong&gt;, 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font&gt;&lt;font&gt;&lt;font&gt;&lt;font&gt;&lt;font&gt;&lt;font&gt;&lt;font&gt;&lt;font&gt;&lt;font&gt;&lt;font&gt;&lt;font&gt;&lt;font&gt;&lt;font&gt;&lt;font&gt;&lt;font&gt;&lt;font&gt;&lt;font&gt;&lt;font&gt;&lt;font&gt;&lt;font&gt;Cheios e Vazios: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Cheios: Sem Expediente&lt;br/&gt;Vazios: Normal&lt;br/&gt;PTI: Sem Expediente&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font&gt;&lt;font&gt;&lt;font&gt;&lt;font&gt;&lt;font&gt;&lt;font&gt;&lt;font&gt;&lt;font&gt;&lt;font&gt;&lt;font&gt;&lt;font&gt;&lt;font&gt;&lt;font&gt;&lt;font&gt;&lt;font&gt;&lt;font&gt;&lt;font&gt;&lt;font&gt;&lt;font&gt;&lt;font&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&lt;br/&gt;&lt;!--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</si>
  <si>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https://wilsonsonstrg.zendesk.com/api/v2/help_center/pt-br/articles/30354274293133.json</t>
  </si>
  <si>
    <t>https://atendimento.teconline.com.br/hc/pt-br/articles/30354274293133-06-09-2024-Novo-Procedimento-Acesso-ao-Terminal-Scanner-2</t>
  </si>
  <si>
    <t>06/09/2024 - [Novo Procedimento] Acesso ao Terminal | Scanner 2</t>
  </si>
  <si>
    <t>['01H5A90ZR2BMP0R031YAXZ1D6A']</t>
  </si>
  <si>
    <t>['scanner']</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</si>
  <si>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0019/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06 de Setembro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sans-serif"&gt;&lt;span&gt;&lt;strong&gt;Acesso ao Terminal | Scanner 2&lt;/strong&gt;&lt;/span&gt;&lt;/font&gt;&lt;/p&gt;
&lt;hr/&gt;​&lt;br/&gt;&lt;span&gt;&lt;span&gt;Comunicamos que a partir do dia &lt;strong&gt;09 de setembro de 2024&lt;/strong&gt;, a &lt;strong&gt;entrada &lt;/strong&gt;&lt;br/&gt;de &lt;strong&gt;containers cheios&lt;/strong&gt; deverá ocorrer somente por meio do &lt;strong&gt;Scanner 2.&lt;/strong&gt;&lt;br/&gt;​​​&lt;/span&gt;&lt;/span&gt;
&lt;div&gt;
&lt;span&gt;&lt;span&gt;Em caso de dúvidas, gentileza entrar em contato por meio de nossos Canais de Atendimento.&lt;/span&gt;&lt;/span&gt;&lt;br/&gt; &lt;/div&gt;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&lt;br/&gt;&lt;span&gt;&lt;font color="#001c42"&gt;&lt;span&gt;&lt;strong&gt;Central de Atendimento&lt;/strong&gt;&lt;/span&gt;&lt;/font&gt;&lt;br/&gt;&lt;span&gt;&lt;span&gt;&lt;font&gt;&lt;font&gt;&lt;font&gt;&lt;font&gt;&lt;font&gt;&lt;font&gt;&lt;font&gt;&lt;font&gt;&lt;font&gt;&lt;font&gt;+55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</si>
  <si>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https://wilsonsonstrg.zendesk.com/api/v2/help_center/pt-br/articles/29674349356173.json</t>
  </si>
  <si>
    <t>https://atendimento.teconline.com.br/hc/pt-br/articles/29674349356173-19-08-2024-Hor%C3%A1rio-Especial-Tecon-Rio-Grande-Comunica</t>
  </si>
  <si>
    <t>19/08/2024 - [Horário Especial] - Tecon Rio Grande Comunica</t>
  </si>
  <si>
    <t>['horários', 'Feriados | Mês de Setembro']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</si>
  <si>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0018/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19 de Agosto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s | Mês de Setembr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da Independência do Brasil, no dia &lt;strong&gt;07 de setembro &lt;/strong&gt;e da Revolução Farroupilha,&lt;strong&gt; no dia 20 de setembro&lt;/strong&gt;,&lt;strong&gt; &lt;/strong&gt;informamos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Cheios: Sem Expediente&lt;br/&gt;Vazios: Normal&lt;br/&gt;PTI: Sem Expediente&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Sem Expediente&lt;br/&gt;&lt;br/&gt;&lt;strong&gt;Atendimento:&lt;/strong&gt;&lt;br/&gt;&lt;br/&gt;Sem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</si>
  <si>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https://wilsonsonstrg.zendesk.com/api/v2/help_center/pt-br/articles/28301456374797.json</t>
  </si>
  <si>
    <t>https://atendimento.teconline.com.br/hc/pt-br/articles/28301456374797-10-07-2024-Comunicado-Importante-Notifica%C3%A7%C3%A3o-Programa%C3%A7%C3%A3o-de-Navios</t>
  </si>
  <si>
    <t>10/07/2024 -  [Comunicado Importante] - Notificação | Programação de Navios</t>
  </si>
  <si>
    <t>['Programação Navios']</t>
  </si>
  <si>
    <t>&lt;p&gt; &lt;/p&gt;
&lt;p&gt; &lt;/p&gt;
&lt;!-- Facebook sharing information tags --&gt;
&lt;p&gt;&lt;/p&gt;
&lt;table border="0" cellpadding="0" cellspacing="0" width="100%"&gt;
&lt;tbody&gt;
&lt;tr&gt;
&lt;td align="center" valign="top"&gt;
&lt;!-- // Begin Template Preheader \ --&gt;
&lt;table border="0" cellpadding="10" cellspacing="0" width="600"&gt;
&lt;tbody&gt;
&lt;tr&gt;
&lt;td valign="top"&gt;
&lt;!-- // Begin Module: Standard Preheader  --&gt;
&lt;table border="0" cellpadding="10" cellspacing="0" width="100%"&gt;
&lt;tbody&gt;
&lt;tr&gt;
&lt;td valign="top"&gt;
&lt;div&gt;
&lt;div&gt;&lt;em&gt;&lt;font&gt;&lt;font&gt;&lt;font&gt;&lt;font&gt;&lt;font&gt;&lt;font&gt;&lt;font&gt;&lt;font&gt;Chegou sua atualização de informações importantes do Tecon Rio Grande.&lt;/font&gt;&lt;/font&gt;&lt;/font&gt;&lt;/font&gt;&lt;/font&gt;&lt;/font&gt;&lt;/font&gt;&lt;/font&gt;&lt;/em&gt;&lt;/div&gt;
&lt;/div&gt;
&lt;/td&gt;
&lt;td valign="top"&gt;
&lt;div&gt;
&lt;div&gt;&lt;span&gt;&lt;span&gt;&lt;font&gt;&lt;font&gt;&lt;font&gt;&lt;font&gt;&lt;font&gt;&lt;font&gt;&lt;font&gt;&lt;font&gt;&lt;font&gt;&lt;font&gt;Que tal visualizar este e-mail &lt;/font&gt;&lt;/font&gt;&lt;/font&gt;&lt;/font&gt;&lt;/font&gt;&lt;/font&gt;&lt;/font&gt;&lt;/font&gt;&lt;/font&gt;&lt;/font&gt;&lt;br/&gt;&lt;a href="https://go.pardot.com/webmail/845693/1720970599/d7b3f70c199c7c7d9242dfd1b8bc8eab44e13be0be978b0e2308cada734f82ff" target="_blank"&gt;&lt;font&gt;&lt;font&gt;&lt;font&gt;&lt;font&gt;&lt;font&gt;&lt;font&gt;&lt;font&gt;&lt;font&gt;&lt;font&gt;&lt;font&gt;em seu navegador&lt;/font&gt;&lt;/font&gt;&lt;/font&gt;&lt;/font&gt;&lt;/font&gt;&lt;/font&gt;&lt;/font&gt;&lt;/font&gt;&lt;/font&gt;&lt;/font&gt;&lt;/a&gt;&lt;/span&gt;&lt;/span&gt;&lt;/div&gt;
&lt;/div&gt;
&lt;/td&gt;
&lt;/tr&gt;
&lt;/tbody&gt;
&lt;/table&gt;
&lt;!-- // End Module: Standard Preheader  --&gt;
&lt;/td&gt;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0017/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08 de Julho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sans-serif"&gt;&lt;span&gt;&lt;strong&gt;Notificação | Programação de Navios &lt;/strong&gt;&lt;/span&gt;&lt;/font&gt;&lt;/p&gt;
&lt;hr/&gt;
&lt;p&gt;​&lt;span&gt;&lt;span&gt;Com o propósito de trazer mais agilidade no acesso as informações da &lt;strong&gt;programação de navios&lt;/strong&gt;, apresentamos uma &lt;strong&gt;nova funcionalidade&lt;/strong&gt; em nosso site &lt;em&gt;Teconline. &lt;/em&gt;&lt;br/&gt;&lt;br/&gt;Além de consultar e monitorar todas as programações em tempo real, agora é possível &lt;strong&gt;personalizar consultas&lt;/strong&gt; e programar notificações, caso o navio de determinado serviço seja cancelado ou reativado, você receberá uma &lt;strong&gt;notificação por e-mail.&lt;/strong&gt;&lt;br/&gt;&lt;br/&gt;Acompanhe o passo a passo no manual abaixo:&lt;br/&gt;&lt;br/&gt;&lt;a href="https://go.pardot.com/e/845693/32-ProgramaC3A7C3A3o-de-Navios/q727zn/1720970599/h/_hHlDfQ1oQV84cZzO_LNTpb7jKPt--BHz-vub5vz3C0"&gt;Programação de Navios&lt;/a&gt;&lt;br/&gt;&lt;br/&gt;Em caso de dúvidas, gentileza entrar em contato por meio dos&lt;br/&gt;nossos Canais de Atendimento.&lt;/span&gt;&lt;/span&gt;&lt;/p&gt;
&lt;p&gt;​​&lt;span&gt;&lt;span&gt;&lt;span&gt;&lt;font&gt;&lt;font&gt;&lt;font&gt;&lt;font&gt;​&lt;/font&gt;&lt;/font&gt;&lt;/font&gt;&lt;/font&gt;&lt;/span&gt;&lt;/span&gt;&lt;/span&gt;&lt;/p&gt;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</si>
  <si>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https://wilsonsonstrg.zendesk.com/api/v2/help_center/pt-br/articles/27323227298957.json</t>
  </si>
  <si>
    <t>https://atendimento.teconline.com.br/hc/pt-br/articles/27323227298957-05-06-2024-Comunicado-Importante-Recebimento-de-Containers-Cheios-DRY</t>
  </si>
  <si>
    <t>05/06/2024 - [Comunicado Importante] - Recebimento de Containers Cheios DRY</t>
  </si>
  <si>
    <t>['01HDPMRYGCAEBK51JA28DA246Z', '01HZMQH2QHYPZ9731JWJ1ANK9C', '01HZMQH7GN1R9RYB9VBCGZH49N']</t>
  </si>
  <si>
    <t>['Recebimento de Containers Cheios DRY']</t>
  </si>
  <si>
    <t>&lt;p&gt; &lt;/p&gt;
&lt;p&gt; &lt;/p&gt;
&lt;!-- Facebook sharing information tags --&gt;
&lt;p&gt; &lt;/p&gt;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0015/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05 de Junho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sans-serif"&gt;&lt;span&gt;&lt;strong&gt;Recebimento de Containers Cheios DRY&lt;/strong&gt;&lt;/span&gt;&lt;/font&gt;&lt;/p&gt;
&lt;hr/&gt;
&lt;p&gt;​&lt;span&gt;&lt;span&gt;Com o objetivo de otimizar a ocupação do terminal e &lt;strong&gt;melhorar o nível de atendimento do pátio&lt;/strong&gt; junto aos transportadores, comunicamos que a partir do dia &lt;strong&gt;17 de junho&lt;/strong&gt;, o recebimento de cargas &lt;strong&gt;Dry, Open Top, Flat Rack, Tank&lt;/strong&gt; passará &lt;strong&gt;temporariamente&lt;/strong&gt;&lt;br/&gt;​p​ara &lt;strong&gt;sete dias antes do deadline&lt;/strong&gt; do navio.&lt;/span&gt;&lt;/span&gt;&lt;br/&gt;&lt;br/&gt;&lt;span&gt;&lt;span&gt;Em caso de dúvidas, entre em contato por meio dos nossos Canais de Atendimento.&lt;/span&gt;&lt;/span&gt;&lt;/p&gt;
&lt;p&gt;​​&lt;span&gt;&lt;span&gt;&lt;span&gt;&lt;font&gt;&lt;font&gt;&lt;font&gt;&lt;font&gt;​&lt;/font&gt;&lt;/font&gt;&lt;/font&gt;&lt;/font&gt;&lt;/span&gt;&lt;/span&gt;&lt;/span&gt;&lt;/p&gt;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&lt;br/&gt;&lt;!-- // End Template Footer \ --&gt;
&lt;/td&gt;
&lt;/tr&gt;
&lt;/tbody&gt;
&lt;/table&gt;
&lt;/td&gt;
&lt;/tr&gt;
&lt;/tbody&gt;
&lt;/table&gt;
&lt;!--
          This email was originally designed by the wonderful folks at MailChimp and remixed by Pardot.
          It is licensed under CC BY-SA 3.0
        --&gt;</t>
  </si>
  <si>
    <t>https://wilsonsonstrg.zendesk.com/api/v2/help_center/pt-br/articles/27127276969741.json</t>
  </si>
  <si>
    <t>https://atendimento.teconline.com.br/hc/pt-br/articles/27127276969741-28-05-2024-Novo-Procedimento-Libera%C3%A7%C3%A3o-de-Ve%C3%ADculos-Importados</t>
  </si>
  <si>
    <t>28/05/2024 - [Novo Procedimento] - Liberação de Veículos Importados</t>
  </si>
  <si>
    <t>['01GPY217SSC5MP9PMEN97RPEVN', '01H3AENBGGJDH75ZE0K34Q0JH8', '01HZ24BV5VKQHVE4MTJJJM19SV', '01HZ24CFKJB8Q9B0VH333CNHHW']</t>
  </si>
  <si>
    <t>['Importados', 'Liberação', 'Veículos']</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</si>
  <si>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0014/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28 de Maio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sans-serif"&gt;&lt;span&gt;&lt;strong&gt;Liberação de Veículos Importados&lt;/strong&gt;&lt;/span&gt;&lt;/font&gt;&lt;/p&gt;
&lt;hr/&gt;​&lt;br/&gt;&lt;span&gt;&lt;span&gt;Conforme consta na &lt;/span&gt;&lt;/span&gt;&lt;span&gt;PORTARIA ALF/RGE Nº 44, DE 15 DE MAIO&lt;br/&gt;DE 2024, i&lt;/span&gt;&lt;span&gt;&lt;span&gt;nformamos que a partir do dia &lt;strong&gt;03/06/2024&lt;/strong&gt;, para liberação de veículos &lt;strong&gt;importados&lt;/strong&gt; por &lt;strong&gt;pessoa física&lt;/strong&gt;, será exigido o comprovante de pré cadastro no Renavam.&lt;br/&gt;&lt;br/&gt;&lt;span&gt;&lt;span&gt;&lt;span&gt;&lt;span&gt;&lt;span&gt;&lt;span&gt;&lt;span&gt;&lt;span&gt;O arquivo deve ser anexado no campo "Outros Documentos", quando do envio dos documentos para liberação documental.&lt;/span&gt;&lt;/span&gt;&lt;/span&gt;&lt;/span&gt;&lt;/span&gt;&lt;/span&gt;&lt;/span&gt;&lt;/span&gt;&lt;br/&gt;​​​​​&lt;/span&gt;&lt;/span&gt;&lt;br/&gt; 
&lt;div&gt;&lt;span&gt;&lt;span&gt;&lt;img alt="" height="309" src="https://go.pardot.com/l/845693/2024-05-24/q54fdt/845693/17165785266po53CVe/_TCRG__Documento_Renavam.png" width="400"/&gt;&lt;/span&gt;&lt;/span&gt;&lt;/div&gt;
&lt;div&gt;
&lt;span&gt;&lt;span&gt;Em caso de dúvidas, gentileza entrar em contato por meio de nossos Canais de Atendimento.&lt;/span&gt;&lt;/span&gt;&lt;br/&gt; &lt;/div&gt;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&lt;br/&gt;&lt;span&gt;&lt;span&gt;&lt;span&gt;&lt;strong&gt;&lt;font&gt;&lt;font&gt;&lt;font&gt;&lt;font&gt;&lt;font&gt;&lt;font&gt;&lt;font&gt;&lt;font&gt;&lt;font&gt;&lt;font&gt;Import Desk&lt;/font&gt;&lt;/font&gt;&lt;/font&gt;&lt;/font&gt;&lt;/font&gt;&lt;/font&gt;&lt;/font&gt;&lt;/font&gt;&lt;/font&gt;&lt;/font&gt;&lt;/strong&gt;&lt;/span&gt;&lt;/span&gt;&lt;br/&gt;&lt;span&gt;&lt;span&gt;&lt;font&gt;&lt;font&gt;&lt;font&gt;&lt;font&gt;&lt;font&gt;&lt;font&gt;&lt;font&gt;&lt;font&gt;&lt;font&gt;&lt;font&gt;+55 53 3234.3134 | importdesk.tcrg@wilsonsons.com.br&lt;/font&gt;&lt;/font&gt;&lt;/font&gt;&lt;/font&gt;&lt;/font&gt;&lt;/font&gt;&lt;/font&gt;&lt;/font&gt;&lt;/font&gt;&lt;/font&gt;&lt;/span&gt;&lt;/span&gt;&lt;/span&gt;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</si>
  <si>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https://wilsonsonstrg.zendesk.com/api/v2/help_center/pt-br/articles/27004238909453.json</t>
  </si>
  <si>
    <t>https://atendimento.teconline.com.br/hc/pt-br/articles/27004238909453-Calculadora-de-Servi%C3%A7os-e-Pre%C3%A7os-Wilson-Sons-Tecon-Rio-Grande</t>
  </si>
  <si>
    <t>Calculadora de Serviços e Preços - Wilson Sons Tecon Rio Grande</t>
  </si>
  <si>
    <t>&lt;p&gt;Com esse artigo você conseguirá realizar simulações para as seguintes modalidades:&lt;/p&gt;
&lt;p&gt;1. Carga Nacional - Cabotagem&lt;/p&gt;
&lt;p&gt;2. Longo Curso - Importação&lt;/p&gt;
&lt;p&gt;3. Longo Curso - Exportação&lt;/p&gt;
&lt;p&gt; &lt;/p&gt;
&lt;p&gt;No menu "Simule um serviço", disponibilizamos um filtro para realização de simulações dos serviços prestados pelo terminal.&lt;/p&gt;
&lt;p&gt;&lt;img src="https://atendimento.teconline.com.br/hc/article_attachments/27004238898445"/&gt;&lt;/p&gt;
&lt;p&gt; &lt;/p&gt;
&lt;p&gt;Nos filtros você terá as seguintes opções abaixo:&lt;/p&gt;
&lt;p&gt; &lt;/p&gt;
&lt;p&gt;&lt;strong&gt;Tipo de Cliente&lt;/strong&gt;&lt;/p&gt;
&lt;p&gt;• Cliente: Selecione para simulação de serviços emitidos ao importador ou exportador&lt;/p&gt;
&lt;p&gt;• Armador: Selecione para simulação de serviços emitidos para Armadores&lt;/p&gt;
&lt;p&gt; &lt;/p&gt;
&lt;p&gt;&lt;strong&gt;Modalidade de Navegação&lt;/strong&gt;&lt;/p&gt;
&lt;p&gt;• Carga Nacional - Cabotagem: Selecione para processos manifestados na categoria cabotagem&lt;/p&gt;
&lt;p&gt;• Longo Curso - Importação: Selecione para processos manifestados na categoria importação&lt;/p&gt;
&lt;p&gt;• Longo Curso - Exportação: Selecione para processos manifestados na categoria exportação&lt;/p&gt;
&lt;p&gt; &lt;/p&gt;
&lt;p&gt;&lt;strong&gt;Sentido da Operação&lt;/strong&gt;&lt;/p&gt;
&lt;p&gt;&lt;strong&gt;• &lt;/strong&gt;Selecionado automaticamente:  Processo será selecionado de acordo com a "Modalidade de Navegação" informada. Exceto para "Carga Nacional - Cabotagem", onde será necessário a seleção "Embarque" ou "Desembarque"&lt;/p&gt;
&lt;p&gt; &lt;/p&gt;
&lt;p&gt;&lt;strong&gt;Origem da Carga&lt;/strong&gt;&lt;/p&gt;
&lt;p&gt;&lt;strong&gt;•&lt;/strong&gt; Nacional:  Processo será selecionado automaticamente de acordo com a "Modalidade de Navegação" informada.&lt;/p&gt;
&lt;p&gt;• Importada: Processo será selecionado automaticamente de acordo com a "Modalidade de Navegação" informada.&lt;/p&gt;
&lt;p&gt; &lt;/p&gt;
&lt;p&gt;Assim que você selecionar as funcionalidades desejadas, clique no botão "Iniciar Simulação"&lt;/p&gt;
&lt;p&gt; &lt;/p&gt;
&lt;p&gt;Após clicar no botão "Iniciar Simulação" serão disponibilizados campos para configuração da simulação dos serviços.&lt;/p&gt;
&lt;p&gt; &lt;/p&gt;
&lt;p&gt;&lt;img src="https://atendimento.teconline.com.br/hc/article_attachments/27013391098125"/&gt;&lt;/p&gt;
&lt;p&gt; &lt;/p&gt;
&lt;p&gt;Nos campos de configuração, você terá as seguintes opções abaixo:&lt;/p&gt;
&lt;p&gt;&lt;img src="https://atendimento.teconline.com.br/hc/article_attachments/27013391106701"/&gt;&lt;/p&gt;
&lt;p&gt;&lt;span&gt;• Entrada: Informe a data de chegada do container no Terminal&lt;/span&gt;&lt;/p&gt;
&lt;p&gt;&lt;span&gt;• Saída: Informa a data de chegada do container no Terminal&lt;/span&gt;&lt;/p&gt;
&lt;p&gt;&lt;em&gt;&lt;span&gt;&lt;span&gt;Observação: Para a modalidade "Longo Curso - Importação", considerar a data de atracação do navio.&lt;/span&gt;&lt;/span&gt;&lt;/em&gt;&lt;span&gt;&lt;span&gt;&lt;/span&gt;&lt;/span&gt;&lt;/p&gt;
&lt;p&gt;• Qtd Cntr: Informe a quantidade de containers para a simulação&lt;/p&gt;
&lt;p&gt;• Tipo: Informe o tamanho do container, ele pode ser 20 ou 40&lt;/p&gt;
&lt;p&gt;• Tipo Cntr: Informe o tipo de container, ele pode ser: Dry, Flat/Open, OOG, Reefer ou Tank&lt;/p&gt;
&lt;p&gt;• Especial/Imo: Informe se haverá carga especial/imo&lt;/p&gt;
&lt;p&gt; &lt;/p&gt;
&lt;p&gt;&lt;img src="https://atendimento.teconline.com.br/hc/article_attachments/27013330297613"/&gt;&lt;/p&gt;
&lt;p&gt;Assim que configurado, você deverá clicar no botão "Gerar Serviços" &lt;img height="24" src="https://atendimento.teconline.com.br/hc/article_attachments/27013391125133" width="67"/&gt;, onde será disponibilizado um detalhamento dos serviços que serão simulados.&lt;/p&gt;
&lt;p&gt;&lt;img src="https://atendimento.teconline.com.br/hc/article_attachments/27013330319501"/&gt;&lt;/p&gt;
&lt;p&gt;Caso você identifique a necessidade de editar a configuração, clique em "Editar Serviços" &lt;img height="29" src="https://atendimento.teconline.com.br/hc/article_attachments/27014100450573" width="82"/&gt;.&lt;/p&gt;
&lt;p&gt;Você também conseguirá inserir mais serviços através dos botões:&lt;/p&gt;
&lt;p&gt;&lt;img height="33" src="https://atendimento.teconline.com.br/hc/article_attachments/27014123449613" width="278"/&gt;&lt;/p&gt;
&lt;p&gt; &lt;/p&gt;
&lt;p&gt;&lt;strong&gt;+ Serviços Acessórios&lt;/strong&gt;&lt;/p&gt;
&lt;p&gt;Ao clicar em &lt;img height="34" src="https://atendimento.teconline.com.br/hc/article_attachments/27014455516685" width="148"/&gt; será disponibilizada a tela abaixo para inclusão de serviços adicionais. Após selecionado um ou mais serviços, clique em "LANÇAR".&lt;/p&gt;
&lt;p&gt;&lt;img src="https://atendimento.teconline.com.br/hc/article_attachments/27014455524109"/&gt;&lt;/p&gt;
&lt;p&gt; &lt;/p&gt;
&lt;p&gt;&lt;strong&gt;+ Serviços Qtd. Variável&lt;/strong&gt;&lt;/p&gt;
&lt;p&gt;Ao clicar em &lt;img height="31" src="https://atendimento.teconline.com.br/hc/article_attachments/27126757577741" width="147"/&gt; será disponibilizada a tela abaixo para inclusão de serviços adicionais.&lt;/p&gt;
&lt;p&gt;Após selecionado um ou mais serviços, clique em "LANÇAR".&lt;/p&gt;
&lt;p&gt; &lt;/p&gt;
&lt;p&gt;Para exclusão dos "Serviços Acessórios" ou "Serviços Qtd. Variável", basta clicar no ícone, conforme indicado na tela abaixo:&lt;/p&gt;
&lt;p&gt;&lt;img src="https://atendimento.teconline.com.br/hc/article_attachments/27126771831309"/&gt;&lt;/p&gt;
&lt;p&gt;Após selecionar os serviços desejados, clique em "Simular" &lt;img height="22" src="https://atendimento.teconline.com.br/hc/article_attachments/27016115229837" width="205"/&gt;, para realizar os cálculos e obter sua simulação.&lt;/p&gt;
&lt;p&gt; &lt;/p&gt;
&lt;p&gt;&lt;img src="https://atendimento.teconline.com.br/hc/article_attachments/27016130192781"/&gt;&lt;/p&gt;
&lt;p&gt; &lt;/p&gt;
&lt;p&gt; &lt;/p&gt;
&lt;p&gt;A fim de propor uma melhor experiência para você, disponibilizamos funções para possibilitar o compartilhamento da simulação através de download em formato PDF ou envio por e-mail, apenas clicando nos botões "Resumo" ou "Email" &lt;img height="31" src="https://atendimento.teconline.com.br/hc/article_attachments/27016130226573" width="150"/&gt;&lt;/p&gt;
&lt;p&gt; &lt;/p&gt;
&lt;p&gt;Para enviar a simulação por e-mail para mais de um contato, basta separar os e-mail por " ; "&lt;/p&gt;
&lt;p&gt; &lt;/p&gt;
&lt;p&gt;&lt;img src="https://atendimento.teconline.com.br/hc/article_attachments/27016115288333"/&gt;&lt;/p&gt;
&lt;p&gt;Na simulação, você encontrará os valores do processo e suas normas de aplicação:&lt;/p&gt;
&lt;p&gt; &lt;/p&gt;
&lt;p&gt;&lt;img src="https://atendimento.teconline.com.br/hc/article_attachments/27016130208141"/&gt;&lt;/p&gt;
&lt;p&gt;&lt;img src="https://atendimento.teconline.com.br/hc/article_attachments/27016270280333"/&gt;&lt;/p&gt;
&lt;p&gt; &lt;/p&gt;
&lt;p&gt;Você também terá a possibilidade de voltar para editar a simulação ou gerar uma nova, através dos botões "&amp;lt; Voltar" ou "Nova Simulação", localizados na parte inferior do site.&lt;/p&gt;
&lt;p&gt;&lt;img src="https://atendimento.teconline.com.br/hc/article_attachments/27016130243981"/&gt;&lt;/p&gt;
&lt;p&gt;&lt;span&gt;&lt;strong&gt;IMPORTANTE:&lt;/strong&gt;&lt;/span&gt;&lt;span&gt; As simulações calculam&lt;/span&gt; os valores conforme as informações preenchidas, podendo variar conforme a execução efetiva dos serviços. As simulações não garantem os valores incorridos no terminal, uma vez que a carga poderá sofrer serviços não listados previamente pelo cliente.&lt;/p&gt;</t>
  </si>
  <si>
    <t>https://wilsonsonstrg.zendesk.com/api/v2/help_center/pt-br/articles/26983378201357.json</t>
  </si>
  <si>
    <t>https://atendimento.teconline.com.br/hc/pt-br/articles/26983378201357-23-05-2024-Novo-Procedimento-Carregamento-de-Container-%C3%81rea-RTG</t>
  </si>
  <si>
    <t>23/05/2024 - [Novo Procedimento] - Carregamento de Container | Área RTG</t>
  </si>
  <si>
    <t>['01H3AENBGGJDH75ZE0K34Q0JH8', '01HEQD5DYGANV89FDRMHHM4H3V', '01HH78VAHAXSEY67AHTJC0DB6R', '01HH78VQDA42CMD9NBCSRX8Q3P', '01HYK7CKXVBQWDJD9D7S24E46Q', '01HYK7D58EJY5R86W3W3SYQ1P2', '01HYK7DDNTWK50R8R60FJE9ZFQ']</t>
  </si>
  <si>
    <t>['carregamento', 'procedimento', 'RTG', 'cheios', 'vazios']</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</si>
  <si>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00013/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23 de Maio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sans-serif"&gt;&lt;span&gt;&lt;strong&gt;Carregamento de container | Área RTG&lt;/strong&gt;&lt;/span&gt;&lt;/font&gt;&lt;/p&gt;
&lt;hr/&gt;​&lt;br/&gt;&lt;span&gt;&lt;span&gt;Buscando a melhoria contínua de nossas operações, informamos&lt;br/&gt;que está em vigor o seguinte procedimento para o &lt;strong&gt;carregamento de containers cheios e vazios&lt;/strong&gt; na área de RTG:&lt;/span&gt;&lt;/span&gt;
&lt;ul&gt;
&lt;li&gt;&lt;span&gt;&lt;span&gt;Posicionar o caminhão um lote à frente e aguardar o RTG movimentar o container para descarga.&lt;/span&gt;&lt;/span&gt;&lt;/li&gt;
&lt;/ul&gt;
&lt;img alt="" height="242" src="https://go.pardot.com/l/845693/2024-04-30/q45rhp/845693/1714497793lFHpRYMV/Comunicado_RTG_4.png" width="500"/&gt;
&lt;ul&gt;
&lt;li&gt;&lt;span&gt;&lt;span&gt;Realizar a manobra de marcha ré e aguardar o guindaste posicionar o container no caminhão.&lt;/span&gt;&lt;/span&gt;&lt;/li&gt;
&lt;/ul&gt;
​&lt;img alt="" height="251" src="https://go.pardot.com/l/845693/2024-05-02/q48k4h/845693/1714673438e0CWbJg1/Inserir_um_subt__tulo__1_.png" width="530"/&gt;&lt;br/&gt;&lt;span&gt;&lt;span&gt;Em caso de dúvidas, gentileza informar aos motoristas os nossos Canais de Atendimento.&lt;/span&gt;&lt;/span&gt;
&lt;div&gt; &lt;/div&gt;
&lt;div&gt;&lt;span&gt;&lt;span&gt;&lt;strong&gt;(53) 3234.3030  &lt;/strong&gt;- &lt;em&gt;WhatsApp&lt;/em&gt;&lt;/span&gt;&lt;/span&gt;&lt;/div&gt;
&lt;div&gt; &lt;/div&gt;
&lt;br/&gt;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</si>
  <si>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https://wilsonsonstrg.zendesk.com/api/v2/help_center/pt-br/articles/26227407016205.json</t>
  </si>
  <si>
    <t>https://atendimento.teconline.com.br/hc/pt-br/articles/26227407016205-26-04-2024-Hor%C3%A1rio-Especial-Tecon-Rio-Grande-Comunica</t>
  </si>
  <si>
    <t>26/04/2024 - [Horário Especial] - Tecon Rio Grande Comunica</t>
  </si>
  <si>
    <t>['01H90WBJBCCZDGRHGT3Y9WHEE4', '01HWD4V2WYRB54G51ET3SK0J7N', '01HWD4VF2XVJNXXCB4ASQ5AXZQ', '01HWD4VSR2TRMV2JFX6CRWNQG3']</t>
  </si>
  <si>
    <t>['feriado', 'trabalhador', 'maio', 'Corpus']</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</si>
  <si>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0009/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26 de Abril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s | Mês de Mai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do Dia do Trabalhador, no dia &lt;strong&gt;1º de maio&lt;/strong&gt; e Corpus Christi, no dia &lt;strong&gt;30 de maio&lt;/strong&gt;, 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Cheios: Sem Expediente&lt;br/&gt;Vazios: Normal&lt;br/&gt;PTI: Sem Expediente&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Sem Expediente&lt;br/&gt;&lt;br/&gt;&lt;strong&gt;Atendimento:&lt;/strong&gt;&lt;br/&gt;&lt;br/&gt;Sem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</si>
  <si>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https://wilsonsonstrg.zendesk.com/api/v2/help_center/pt-br/articles/25137822806925.json</t>
  </si>
  <si>
    <t>https://atendimento.teconline.com.br/hc/pt-br/articles/25137822806925-18-03-2024-Hor%C3%A1rio-Especial-Tecon-Rio-Grande-Comunica</t>
  </si>
  <si>
    <t>18/03/2024 - [Horário Especial] - Tecon Rio Grande Comunica</t>
  </si>
  <si>
    <t>['01H1VJZ6SZ8D3GG1DY9JZ0JSX0', '01H90WBJBCCZDGRHGT3Y9WHEE4', '01HE3FX3Y4VBP64H30WNHAZWAV', '01HSBHHKMCW9XRP07TJ1HYRRR1']</t>
  </si>
  <si>
    <t>['feriado', 'pascoa', 'páscoa', 'março']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</si>
  <si>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0007/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18 de Março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 de Páscoa&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de Páscoa, 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Vazios:&lt;br/&gt;&lt;br/&gt;&lt;strong&gt;29/03 &lt;/strong&gt;- Normal&lt;br/&gt;&lt;strong&gt;30/03 &lt;/strong&gt;-&lt;strong&gt; &lt;/strong&gt;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lt;strong&gt;29/03&lt;/strong&gt;&lt;br/&gt;Vazios: Normal&lt;br/&gt;Cheios: Sem Expediente&lt;br/&gt;&lt;br/&gt;&lt;strong&gt;30/03 &lt;/strong&gt;- Cheios e Vazios: Normal&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lt;strong&gt;29/03 &lt;/strong&gt;- Sem Expediente&lt;br/&gt;&lt;strong&gt;30/03 &lt;/strong&gt;- Normal&lt;br/&gt;&lt;br/&gt;&lt;strong&gt;Atendimento:&lt;/strong&gt;&lt;br/&gt;&lt;br/&gt;Sem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</si>
  <si>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https://wilsonsonstrg.zendesk.com/api/v2/help_center/pt-br/articles/24152041145101.json</t>
  </si>
  <si>
    <t>https://atendimento.teconline.com.br/hc/pt-br/articles/24152041145101-18-02-2024-Novo-Procedimento-Agendamento-Cargas-Armaz%C3%A9ns</t>
  </si>
  <si>
    <t>18/02/2024 - [Novo Procedimento] - Agendamento Cargas Armazéns</t>
  </si>
  <si>
    <t>['01GPY217SSC5MP9PMEN97RPEVN', '01GXBBVV4KCAK35JQ2KGFJHCQK', '01H32JT9HQS6WJFWMED6MR765G', '01HH78W5XMF263HQ1P91P5VE9E', '01HHZ08FCYB5P1Y23MKJ1JA0TD', '01HKQZBKYP72EPT8J5NE0AV4R9', '01HKQZCVB7HYTHKD6J2H5JQZFW', '01HNAKQ0CE9AQWTKQKN531VWG4']</t>
  </si>
  <si>
    <t>['carga avulsa', 'agendamento', 'armazém', 'Carga', 'armazem', 'armazenagem', 'cargas devem ser entregues ao armazém e liberadas para estufagem', 'carga avulsa de expo', 'armex', 'Cargas']</t>
  </si>
  <si>
    <t>&lt;p&gt; &lt;/p&gt;
&lt;p&gt; &lt;/p&gt;
&lt;p&gt;&lt;/p&gt;
&lt;!-- Facebook sharing information tags --&gt;
&lt;p&gt;&lt;/p&gt;
&lt;table border="0" cellpadding="0" cellspacing="0" width="100%"&gt;
&lt;tbody&gt;
&lt;tr&gt;
&lt;td align="center" valign="top"&gt;
&lt;!-- // Begin Template Preheader \ --&gt;&lt;!--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0003/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18 de Janeiro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sans-serif"&gt;&lt;span&gt;&lt;strong&gt;Agendamento Cargas Armazéns&lt;/strong&gt;&lt;/span&gt;&lt;/font&gt;&lt;/p&gt;
&lt;hr/&gt;​&lt;br/&gt;&lt;span&gt;&lt;span&gt;Com o propósito de trazer mais &lt;strong&gt;agilidade&lt;/strong&gt; e &lt;strong&gt;eficiência&lt;/strong&gt; aos procedimentos do terminal e autonomia aos clientes, concluímos&lt;br/&gt;mais uma etapa no ​​​​​nosso processo de &lt;strong&gt;digitalização&lt;/strong&gt;.&lt;br/&gt;&lt;br/&gt;Informamos que a partir do dia&lt;strong&gt; 05/02/2024&lt;/strong&gt;, o processo de &lt;strong&gt;solicitação de carregamento de carga do armazém de importação, entrega de carga no armazém de exportação &lt;/strong&gt;e &lt;strong&gt;envio dos documentos&lt;/strong&gt;, passará a ser realizado por meio do ​​​​​&lt;strong&gt;Teconline&lt;/strong&gt;, onde também será possível realizar o acompanhamento destas solicitações.&lt;br/&gt;&lt;br/&gt;&lt;u&gt;Importante:&lt;/u&gt; Antes dessa data, o fluxo operacional dos armazéns permanece inalterado.&lt;br/&gt;&lt;br/&gt;Acompanhe o passo a passo no &lt;strong&gt;manual&lt;/strong&gt; abaixo:&lt;br/&gt;&lt;br/&gt;&lt;a href="https://go.pardot.com/e/845693/taC3A7C3A3o-e-ExportaC3A7C3A3o/q19k7g/1501611667/h/A3AqHcNqa6YV-VOeolk2F7XQ6N6ubD3TI91NnORolGE"&gt;&lt;em&gt;Agendamento Cargas Armazéns&lt;/em&gt;&lt;/a&gt;&lt;br/&gt;&lt;br/&gt;Em caso de dúvidas, gentileza entrar em contato por meio dos&lt;br/&gt;nossos Canais de Atendimento.&lt;/span&gt;&lt;/span&gt;&lt;br/&gt;&lt;br/&gt;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</si>
  <si>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https://wilsonsonstrg.zendesk.com/api/v2/help_center/pt-br/articles/24151933493517.json</t>
  </si>
  <si>
    <t>https://atendimento.teconline.com.br/hc/pt-br/articles/24151933493517-18-02-2024-Novo-Procedimento-Toler%C3%A2ncia-para-Agendamento-Cargas-Armaz%C3%A9ns</t>
  </si>
  <si>
    <t>18/02/2024 - [Novo Procedimento] - Tolerância para Agendamento Cargas Armazéns</t>
  </si>
  <si>
    <t>['01GXBBVV4KCAK35JQ2KGFJHCQK', '01H0NPK2X1DJVSBCSB7F18XY6E', '01H0QAVT32WST32109THK2PZCJ', '01H32JT9HQS6WJFWMED6MR765G', '01HH78W5XMF263HQ1P91P5VE9E', '01HKQZCVB7HYTHKD6J2H5JQZFW', '01HNAKQ0CE9AQWTKQKN531VWG4']</t>
  </si>
  <si>
    <t>['carga avulsa', 'armazém', 'armazéns', 'Carga', 'carga pier', 'armazem', 'armazenagem', 'carga avulsa de expo', 'armex', 'armazém de exportação', 'tolerância', 'tolerancia']</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</si>
  <si>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0006/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08 de Fevereiro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sans-serif"&gt;&lt;span&gt;&lt;strong&gt;Agendamento Cargas Armazéns | Tolerância&lt;/strong&gt;&lt;/span&gt;&lt;/font&gt;&lt;/p&gt;
&lt;hr/&gt;​&lt;br/&gt;&lt;span&gt;&lt;span&gt;Para garantir o atendimento de todos, estamos estabelecendo a &lt;strong&gt;tolerância de 15 minutos &lt;/strong&gt;antes e depois do horário agendado para&lt;strong&gt; Cargas do Armazém.&lt;/strong&gt;&lt;br/&gt;&lt;br/&gt;Para atrasos que &lt;strong&gt;ultrapassem os 15 minutos&lt;/strong&gt;, será necessário realizar &lt;strong&gt;novo agendamento&lt;/strong&gt;.&lt;br/&gt;&lt;br/&gt;Em caso de dúvidas, gentileza entrar em contato por meio dos&lt;br/&gt;nossos Canais de Atendimento.&lt;/span&gt;&lt;/span&gt;&lt;br/&gt;&lt;br/&gt;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</si>
  <si>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https://wilsonsonstrg.zendesk.com/api/v2/help_center/pt-br/articles/23611695756813.json</t>
  </si>
  <si>
    <t>https://atendimento.teconline.com.br/hc/pt-br/articles/23611695756813-26-01-2024-Comunicado-Importante-Agendamento-Gates</t>
  </si>
  <si>
    <t>26/01/2024 - [Comunicado Importante] - Agendamento | Gates</t>
  </si>
  <si>
    <t>['01H1VJZ6SZ8D3GG1DY9JZ0JSX0', '01HNAKQ0CE9AQWTKQKN531VWG4', '01HNAKQYRX0JG4M604EJTPBE3E', '01HNAKR4PSKPEHRCCA1PX7Y8B0']</t>
  </si>
  <si>
    <t>['vagas', 'vagas e horários', 'Gate', 'Agendamento', 'no-show', 'cancelamento de agendamentos']</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</si>
  <si>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0005/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26 de Janeiro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sans-serif"&gt;&lt;span&gt;&lt;strong&gt;Agendamento | Gates&lt;/strong&gt;&lt;/span&gt;&lt;/font&gt;&lt;/p&gt;
&lt;hr/&gt;
&lt;p&gt;&lt;span&gt;&lt;span&gt;&lt;span&gt;&lt;span&gt;&lt;span&gt;&lt;span&gt;&lt;span&gt;&lt;span&gt;&lt;span&gt;&lt;span&gt;Conforme comunicado anteriormente, seguimos atuando para trazer melhorias no acesso ao terminal. Portanto, relembramos que:&lt;/span&gt;&lt;/span&gt;&lt;/span&gt;&lt;/span&gt;&lt;/span&gt;&lt;/span&gt;&lt;/span&gt;&lt;/span&gt;&lt;/span&gt;&lt;/span&gt;&lt;br/&gt; &lt;/p&gt;
&lt;div&gt;
&lt;ul&gt;
&lt;li&gt;
&lt;span&gt;&lt;span&gt;&lt;span&gt;&lt;span&gt;&lt;span&gt;&lt;span&gt;&lt;span&gt;&lt;span&gt;&lt;span&gt;&lt;span&gt;A partir do dia &lt;strong&gt;01/02/2024,&lt;/strong&gt; &lt;/span&gt;&lt;/span&gt;&lt;/span&gt;&lt;/span&gt;&lt;/span&gt;&lt;/span&gt;&lt;/span&gt;&lt;/span&gt;&lt;/span&gt;&lt;/span&gt;​​​​​​&lt;span&gt;&lt;span&gt;&lt;span&gt;&lt;span&gt;&lt;span&gt;&lt;span&gt;&lt;span&gt;&lt;span&gt;&lt;span&gt;&lt;span&gt;o benefício de &lt;strong&gt;no-show&lt;/strong&gt; será descontinuado.&lt;/span&gt;&lt;/span&gt;&lt;/span&gt;&lt;/span&gt;&lt;/span&gt;&lt;/span&gt;&lt;/span&gt;&lt;/span&gt;&lt;/span&gt;&lt;/span&gt;&lt;br/&gt; &lt;/li&gt;
&lt;/ul&gt;
&lt;div&gt;
&lt;span&gt;&lt;span&gt;Estamos desenvolvendo outras ações que também irão auxiliar no gerenciamento das &lt;strong&gt;vagas de agendamento&lt;/strong&gt; nos gates e comunicaremos em breve.&lt;/span&gt;&lt;/span&gt;&lt;br/&gt;&lt;br/&gt;&lt;span&gt;&lt;span&gt;Em caso de dúvidas, entre em contato por meio dos nossos Canais de Atendimento.&lt;/span&gt;&lt;/span&gt;
&lt;/div&gt;
&lt;/div&gt;
&lt;p&gt;​​&lt;span&gt;&lt;span&gt;&lt;span&gt;&lt;font&gt;&lt;font&gt;&lt;font&gt;&lt;font&gt;​&lt;/font&gt;&lt;/font&gt;&lt;/font&gt;&lt;/font&gt;&lt;/span&gt;&lt;/span&gt;&lt;/span&gt;&lt;/p&gt;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</si>
  <si>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https://wilsonsonstrg.zendesk.com/api/v2/help_center/pt-br/articles/23419183642381.json</t>
  </si>
  <si>
    <t>https://atendimento.teconline.com.br/hc/pt-br/articles/23419183642381-18-01-2024-Novo-Procedimento-Acesso-Portarias-do-Terminal</t>
  </si>
  <si>
    <t>18/01/2024 - [Novo Procedimento] - Acesso Portarias do Terminal</t>
  </si>
  <si>
    <t>['01HMRWGCT28MGCEYC3C0MDAD1J', '01HMRWGKA5C9X46RYYVCKYZDRW']</t>
  </si>
  <si>
    <t>['acesso', 'portaria']</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</si>
  <si>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0002/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18 de Janeiro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sans-serif"&gt;&lt;span&gt;&lt;strong&gt;Acesso Portarias do Terminal&lt;/strong&gt;&lt;/span&gt;&lt;/font&gt;&lt;/p&gt;
&lt;hr/&gt;​&lt;br/&gt;&lt;span&gt;&lt;span&gt;A fim de atender normativa da CESPORTOS e CONPORTOS, comunicamos que está em vigor &lt;strong&gt;o procedimento de identificação&lt;/strong&gt;&lt;br/&gt;de &lt;strong&gt;todas as pessoas&lt;/strong&gt; que acessam o terminal por meio de veículos, sendo necessário:&lt;/span&gt;&lt;/span&gt;
&lt;ul&gt;
&lt;li&gt;&lt;span&gt;&lt;span&gt;&lt;span&gt;Abrir todos os vidros do carro ao chegar nas portarias; &lt;/span&gt;&lt;/span&gt;&lt;/span&gt;&lt;/li&gt;
&lt;li&gt;&lt;span&gt;&lt;span&gt;&lt;span&gt;Os passageiros devem descer dos veículos, exceto o motorista; &lt;/span&gt;&lt;/span&gt;&lt;/span&gt;&lt;/li&gt;
&lt;li&gt;&lt;span&gt;&lt;span&gt;&lt;span&gt;Realizar a identificação nas portarias;&lt;/span&gt;&lt;/span&gt;&lt;/span&gt;&lt;/li&gt;
&lt;li&gt;&lt;span&gt;&lt;span&gt;&lt;span&gt;Passar nas catracas com o crachá;&lt;/span&gt;&lt;/span&gt;&lt;/span&gt;&lt;/li&gt;
&lt;li&gt;&lt;span&gt;&lt;span&gt;Se desejar, retorne ao veículo ou conclua o deslocamento caminhando.&lt;/span&gt;&lt;/span&gt;&lt;/li&gt;
&lt;/ul&gt;
&lt;span&gt;&lt;span&gt;Contamos com a compreensão e colaboração de todos para cumprirmos com essas orientações. Em caso de dúvidas, ​​​​​​a equipe&lt;br/&gt;de segurança estará à disposição para auxiliar.&lt;/span&gt;&lt;/span&gt;&lt;br/&gt;&lt;br/&gt;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</si>
  <si>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https://wilsonsonstrg.zendesk.com/api/v2/help_center/pt-br/articles/23064756986125.json</t>
  </si>
  <si>
    <t>https://atendimento.teconline.com.br/hc/pt-br/articles/23064756986125-09-01-2024-Comunicado-Importante-Agendamento-Cargas-Armaz%C3%A9ns</t>
  </si>
  <si>
    <t>09/01/2024 - [Comunicado Importante] - Agendamento Cargas Armazéns</t>
  </si>
  <si>
    <t>['01GXBBVV4KCAK35JQ2KGFJHCQK', '01HKQZBKYP72EPT8J5NE0AV4R9', '01HKQZCVB7HYTHKD6J2H5JQZFW']</t>
  </si>
  <si>
    <t>['Carga', 'Agendamento Cargas Armazéns', 'Armazem', 'Exportação', 'Importação']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</si>
  <si>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0001/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09 de Janeiro de 2024&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sans-serif"&gt;&lt;span&gt;&lt;strong&gt;Agendamento Cargas Armazéns&lt;/strong&gt;&lt;/span&gt;&lt;/font&gt;&lt;/p&gt;
&lt;hr/&gt;​&lt;br/&gt;&lt;span&gt;&lt;span&gt;Com o propósito de trazer mais &lt;strong&gt;agilidade&lt;/strong&gt; e &lt;strong&gt;eficiência&lt;/strong&gt; aos procedimentos do terminal e autonomia aos clientes, concluímos&lt;br/&gt;mais uma etapa no ​​​​​nosso processo de &lt;strong&gt;digitalização&lt;/strong&gt;.&lt;br/&gt;&lt;br/&gt;Informamos que a partir do dia&lt;strong&gt; 05/02/2024&lt;/strong&gt;, o processo de &lt;strong&gt;solicitação de carregamento de carga do armazém de importação, entrega de carga no armazém de exportação &lt;/strong&gt;e &lt;strong&gt;envio dos documentos&lt;/strong&gt;, passará a ser realizado por meio do ​​​​​&lt;strong&gt;Teconline&lt;/strong&gt;, onde também será possível realizar o acompanhamento destas solicitações.&lt;br/&gt;&lt;br/&gt;&lt;u&gt;Importante:&lt;/u&gt; Antes dessa data, o fluxo operacional dos armazéns permanece inalterado.&lt;br/&gt;&lt;br/&gt;Acompanhe o passo a passo no &lt;strong&gt;manual&lt;/strong&gt; abaixo:&lt;br/&gt;&lt;br/&gt;&lt;a href="https://go.pardot.com/e/845693/taC3A7C3A3o-e-ExportaC3A7C3A3o/q13d6c/1490046658/h/qrvoOl6Xqpgz5ligPY9g08vbZqXiyp6pC8EWh7pRs2M"&gt;&lt;em&gt;Agendamento Cargas Armazéns&lt;/em&gt;&lt;/a&gt;&lt;br/&gt;&lt;br/&gt;Em caso de dúvidas, gentileza entrar em contato por meio dos&lt;br/&gt;nossos Canais de Atendimento.&lt;/span&gt;&lt;/span&gt;&lt;br/&gt;&lt;br/&gt;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</si>
  <si>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https://wilsonsonstrg.zendesk.com/api/v2/help_center/pt-br/articles/22740942433421.json</t>
  </si>
  <si>
    <t>https://atendimento.teconline.com.br/hc/pt-br/articles/22740942433421-27-12-2023-Comunicado-Importante-Agendamento-Gates</t>
  </si>
  <si>
    <t>27/12/2023 - [Comunicado Importante] - Agendamento | Gates</t>
  </si>
  <si>
    <t>['01GPY217SSC5MP9PMEN97RPEVN', '01H1VJZ6SZ8D3GG1DY9JZ0JSX0']</t>
  </si>
  <si>
    <t>['agendamento', 'vagas', 'gate', 'no show']</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</si>
  <si>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0041/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27 de dezembro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sans-serif"&gt;&lt;span&gt;&lt;strong&gt;Agendamento | Gates&lt;/strong&gt;&lt;/span&gt;&lt;/font&gt;&lt;/p&gt;
&lt;hr/&gt;
&lt;p&gt;&lt;span&gt;&lt;span&gt;&lt;span&gt;&lt;span&gt;&lt;span&gt;&lt;span&gt;&lt;span&gt;&lt;span&gt;&lt;span&gt;&lt;span&gt;Com o propósito de garantir um melhor acesso ao terminal, minimizar congestionamentos e possibilitar que as vagas de agendamento sejam utilizadas com eficiência, &lt;/span&gt;&lt;/span&gt;&lt;/span&gt;&lt;/span&gt;&lt;/span&gt;&lt;/span&gt;&lt;/span&gt;&lt;/span&gt;&lt;/span&gt;&lt;/span&gt;&lt;span&gt;&lt;span&gt;&lt;span&gt;&lt;span&gt;&lt;span&gt;&lt;span&gt;&lt;span&gt;&lt;span&gt;&lt;span&gt;&lt;span&gt;comunicamos que:&lt;/span&gt;&lt;/span&gt;&lt;/span&gt;&lt;/span&gt;&lt;/span&gt;&lt;/span&gt;&lt;/span&gt;&lt;/span&gt;&lt;/span&gt;&lt;/span&gt;&lt;br/&gt; &lt;/p&gt;
&lt;ul&gt;
&lt;li&gt;&lt;span&gt;&lt;span&gt;A partir do dia &lt;strong&gt;01/01/2024&lt;/strong&gt;, os agendamentos deverão ser cancelados no mínimo &lt;strong&gt;06h&lt;/strong&gt; antes da entrega. Nesse momento será permitido editar somente os dados do veículo e motorista.&lt;/span&gt;&lt;/span&gt;&lt;/li&gt;
&lt;/ul&gt;
&lt;div&gt;
&lt;ul&gt;
&lt;li&gt;
&lt;span&gt;&lt;span&gt;&lt;span&gt;&lt;span&gt;&lt;span&gt;&lt;span&gt;&lt;span&gt;&lt;span&gt;&lt;span&gt;&lt;span&gt;A partir do dia &lt;strong&gt;01/02/2024,&lt;/strong&gt; &lt;/span&gt;&lt;/span&gt;&lt;/span&gt;&lt;/span&gt;&lt;/span&gt;&lt;/span&gt;&lt;/span&gt;&lt;/span&gt;&lt;/span&gt;&lt;/span&gt;​​​​​​&lt;span&gt;&lt;span&gt;&lt;span&gt;&lt;span&gt;&lt;span&gt;&lt;span&gt;&lt;span&gt;&lt;span&gt;&lt;span&gt;&lt;span&gt;o benefício de &lt;strong&gt;no-show&lt;/strong&gt; será descontinuado.&lt;/span&gt;&lt;/span&gt;&lt;/span&gt;&lt;/span&gt;&lt;/span&gt;&lt;/span&gt;&lt;/span&gt;&lt;/span&gt;&lt;/span&gt;&lt;/span&gt;&lt;br/&gt; &lt;/li&gt;
&lt;/ul&gt;
&lt;/div&gt;
&lt;div&gt;
&lt;div&gt;
&lt;span&gt;&lt;span&gt;&lt;span&gt;&lt;span&gt;&lt;span&gt;&lt;span&gt;&lt;span&gt;&lt;span&gt;&lt;span&gt;&lt;span&gt;Estamos desenvolvendo outras ações que também irão auxiliar no gerenciamento das &lt;strong&gt;vagas de agendamento&lt;/strong&gt; nos&lt;/span&gt;&lt;/span&gt;&lt;/span&gt;&lt;/span&gt;&lt;/span&gt;&lt;/span&gt;&lt;/span&gt;&lt;/span&gt; gates e comunicaremos em breve.&lt;/span&gt;&lt;/span&gt;&lt;br/&gt;&lt;br/&gt;&lt;span&gt;&lt;span&gt;Em caso de dúvidas, entre em contato por meio dos nossos Canais de Atendimento.&lt;/span&gt;&lt;/span&gt;
&lt;/div&gt;
&lt;/div&gt;
&lt;p&gt;​​&lt;br/&gt;&lt;span&gt;&lt;span&gt;&lt;span&gt;&lt;font&gt;&lt;font&gt;&lt;font&gt;&lt;font&gt;​​​​&lt;/font&gt;&lt;/font&gt;&lt;/font&gt;&lt;/font&gt;&lt;/span&gt;&lt;/span&gt;&lt;/span&gt;&lt;/p&gt;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</si>
  <si>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https://wilsonsonstrg.zendesk.com/api/v2/help_center/pt-br/articles/22450090828685.json</t>
  </si>
  <si>
    <t>https://atendimento.teconline.com.br/hc/pt-br/articles/22450090828685-Agendamento-Carga-Importa%C3%A7%C3%A3o-e-Exporta%C3%A7%C3%A3o</t>
  </si>
  <si>
    <t>Agendamento Carga - Importação e Exportação</t>
  </si>
  <si>
    <t>['01HHZ08FCYB5P1Y23MKJ1JA0TD']</t>
  </si>
  <si>
    <t>['importação', 'EXPORTAÇÃO', 'carga avulsa', 'Agendamento de Carga']</t>
  </si>
  <si>
    <t>&lt;p&gt;Neste artigo você aprenderá as seguintes funções:&lt;/p&gt;
&lt;ol&gt;
&lt;li&gt;&lt;span&gt;&lt;a href="https://atendimento.teconline.com.br/hc/pt-br/articles/22450090828685-Agendamento-Carga-Importa%C3%A7%C3%A3o-e-Exporta%C3%A7%C3%A3o#:~:text=de%20Carga%20Exporta%C3%A7%C3%A3o-,Agendamento%20de%20Carga%20Importa%C3%A7%C3%A3o,-Link%20da%20op%C3%A7%C3%A3o"&gt;Agendamento de Carga Importação&lt;/a&gt;&lt;/span&gt;&lt;/li&gt;
&lt;li&gt;&lt;span&gt;&lt;a href="https://atendimento.teconline.com.br/hc/pt-br/articles/22450090828685-Agendamento-Carga-Importa%C3%A7%C3%A3o-e-Exporta%C3%A7%C3%A3o#:~:text=esse%20link.-,Agendamento%20de%20Carga%20Exporta%C3%A7%C3%A3o,-Link%20da%20op%C3%A7%C3%A3o"&gt;Agendamento de Carga Exportação&lt;/a&gt;&lt;/span&gt;&lt;/li&gt;
&lt;/ol&gt;
&lt;p&gt;&lt;span&gt;&lt;strong&gt;Agendamento de Carga Importação&lt;/strong&gt;&lt;/span&gt;&lt;/p&gt;
&lt;p&gt;&lt;span&gt;Link da opção&lt;/span&gt;&lt;span&gt;&lt;span&gt;: &lt;/span&gt;&lt;/span&gt;&lt;span&gt;&lt;a href="http://hml.teconline.com.br/agendamento-carga/novo"&gt;&lt;span&gt;Clique&lt;/span&gt;&lt;/a&gt;&lt;/span&gt;&lt;a href="http://hml.teconline.com.br/agendamento-carga/novo"&gt;&lt;span&gt; aqui&lt;/span&gt;&lt;/a&gt;&lt;span&gt;&lt;a href="http://hml.teconline.com.br/agendamento-carga/novo"&gt;.&lt;/a&gt;&lt;/span&gt;&lt;/p&gt;
&lt;p&gt; &lt;/p&gt;
&lt;p&gt;&lt;span&gt;&lt;img src="https://atendimento.teconline.com.br/hc/article_attachments/22450090823053"/&gt;&lt;/span&gt;&lt;/p&gt;
&lt;p&gt; &lt;/p&gt;
&lt;p&gt; &lt;/p&gt;
&lt;p&gt;&lt;img src="https://atendimento.teconline.com.br/hc/article_attachments/22450090826253"/&gt;&lt;/p&gt;
&lt;p&gt;&lt;span&gt;No campo "Documento" você pode selecionar o(s) documento(s) disponíveis para realização do agendamento para retirada.&lt;/span&gt;&lt;/p&gt;
&lt;p&gt;&lt;span&gt;Os documentos podem ser:&lt;/span&gt;&lt;/p&gt;
&lt;p&gt; &lt;/p&gt;
&lt;p&gt;&lt;span&gt;&lt;a href="https://atendimento.teconline.com.br/hc/pt-br/articles/22450090828685-Agendamento-Carga-Importa%C3%A7%C3%A3o-e-Exporta%C3%A7%C3%A3o#:~:text=No%20agendamento%20de-,DI/DSA/DSI,-voc%C3%AA%20dever%C3%A1%20preencher"&gt;DI/ DSA/DSI&lt;/a&gt;&lt;/span&gt;&lt;/p&gt;
&lt;p&gt;&lt;span&gt;&lt;a href="https://atendimento.teconline.com.br/hc/pt-br/articles/22450090828685-Agendamento-Carga-Importa%C3%A7%C3%A3o-e-Exporta%C3%A7%C3%A3o#:~:text=No%20agendamento%20de-,Carga%20DTA,-voc%C3%AA%20dever%C3%A1%20preencher"&gt;DTA&lt;/a&gt;&lt;/span&gt;&lt;/p&gt;
&lt;p&gt;&lt;span&gt;&lt;a href="https://atendimento.teconline.com.br/hc/pt-br/articles/22450090828685-Agendamento-Carga-Importa%C3%A7%C3%A3o-e-Exporta%C3%A7%C3%A3o#:~:text=retirada%20da%20carga.-,Desova%20Direto%20para%20o%20Caminh%C3%A3o,-O%20agendamento%20de"&gt;Desova Direto para o Caminhão&lt;/a&gt;&lt;/span&gt;&lt;/p&gt;
&lt;p&gt; &lt;/p&gt;
&lt;p&gt;&lt;span&gt;No agendamento de DI/DSA/DSI você deverá preencher os dados abaixo:&lt;/span&gt;&lt;/p&gt;
&lt;p&gt; &lt;/p&gt;
&lt;p&gt;&lt;img src="https://atendimento.teconline.com.br/hc/article_attachments/22461854090637"/&gt;&lt;/p&gt;
&lt;p&gt;&lt;strong&gt;&lt;span&gt;Motorista&lt;/span&gt;&lt;/strong&gt;&lt;/p&gt;
&lt;p&gt;&lt;span&gt;CNH: Ao informar a CNH, os demais dados do motorista serão preenchidos de forma automática.&lt;/span&gt;&lt;/p&gt;
&lt;p&gt;&lt;span&gt;&lt;em&gt;&lt;span&gt;Observação:&lt;/span&gt;&lt;/em&gt; &lt;/span&gt;&lt;/p&gt;
&lt;p&gt;&lt;span&gt;1 - Caso seja o primeiro acesso do motorista no terminal, todos os dados deverão ser preenchidos para que este seja o pré-cadastro, bem como o motorista deve comparecer junto a nossa Portaria 1, em até 30 minutos antes do agendamento com o seu documento e do veículo para realização do cadastro biométrico.&lt;/span&gt;&lt;/p&gt;
&lt;p&gt; &lt;/p&gt;
&lt;p&gt;&lt;span&gt;2 - As alterações dos dados dos motoristas e caminhão devem ocorrer antes do pré-gate.&lt;/span&gt;&lt;/p&gt;
&lt;p&gt; &lt;/p&gt;
&lt;p&gt;&lt;strong&gt;&lt;span&gt;Veículo&lt;/span&gt;&lt;/strong&gt;&lt;/p&gt;
&lt;p&gt;&lt;span&gt;Transportadora&lt;/span&gt;: Selecione a transportadora que realizara a retirada da carga&lt;/p&gt;
&lt;p&gt;&lt;span&gt;Tipo&lt;/span&gt;: Selecione o tipo de veículo que realizará a retira.&lt;/p&gt;
&lt;p&gt;&lt;em&gt;&lt;span&gt;Observações&lt;/span&gt;&lt;/em&gt;:&lt;/p&gt;
&lt;p&gt;1 -Para cargas retiradas em "Container Baú" ou "Container de Passagem" torna-se obrigatório informar o número do container.&lt;/p&gt;
&lt;p&gt;2 - Na entrega de carga de importação, pós desova, caso carregada em caminhão baú ou container, incidirá a cobrança do valor de uma estufagem parcial, conforme nossa &lt;span&gt;&lt;a href="https://www.teconriogrande.com.br"&gt;Estrutura de Serviços e Preços&lt;/a&gt;&lt;/span&gt;.&lt;/p&gt;
&lt;p&gt;&lt;span&gt;Placas&lt;/span&gt;: Informa as placas do veículo que realizará a retirada. &lt;/p&gt;
&lt;p&gt; &lt;/p&gt;
&lt;p&gt;&lt;strong&gt;&lt;span&gt;Cargas a serem carregadas&lt;/span&gt;&lt;/strong&gt;&lt;/p&gt;
&lt;p&gt;&lt;img src="https://atendimento.teconline.com.br/hc/article_attachments/22461973257485"/&gt;&lt;/p&gt;
&lt;p&gt;&lt;span&gt;&lt;span&gt;Volumes a serem carregados&lt;/span&gt;: Informe a quantidade de volumes que será retirado.&lt;/span&gt;&lt;/p&gt;
&lt;p&gt;&lt;span&gt;Observação: Nosso sistema já disponibilizará de forma automática a quantidade total disponível para retirada, Onde a mesma pode ser fragmentada de acordo com o desejo do agendador.&lt;/span&gt;&lt;/p&gt;
&lt;p&gt; &lt;/p&gt;
&lt;p&gt;&lt;strong&gt;&lt;span&gt;Anexos&lt;/span&gt;&lt;/strong&gt;&lt;/p&gt;
&lt;p&gt;&lt;span&gt;Para agendamento de DI, torna-se obrigatório a inclusão da Danfe para que o agendamento seja validado. Caso a carga seja considerada especial/perigosa, é necessário que motorista/placas tenham autorização na CNH e FEPAM. O envio para atualização e/ou cadastro deve ser realizado através do e-mail balcaoimportacao.tcrg@wilsonsons.com.br.&lt;br/&gt;&lt;/span&gt;&lt;/p&gt;
&lt;p&gt;&lt;span&gt;&lt;em&gt;&lt;span&gt;Observações&lt;/span&gt;&lt;/em&gt;:&lt;/span&gt;&lt;/p&gt;
&lt;p&gt;&lt;span&gt;1 - A danfe deverá ser anexada em até 20 minutos antes do horário de agendamento. &lt;/span&gt;&lt;/p&gt;
&lt;p&gt;&lt;span&gt;2 - Os documentos anexados tem o prazo de 1 hora para validação a contar da data de inclusão.&lt;/span&gt;&lt;/p&gt;
&lt;p&gt; &lt;/p&gt;
&lt;p&gt;&lt;strong&gt;&lt;span&gt;Novo Documento&lt;/span&gt;&lt;/strong&gt;&lt;/p&gt;
&lt;p&gt;&lt;span&gt;&lt;img src="https://atendimento.teconline.com.br/hc/article_attachments/22450418771725"/&gt;&lt;/span&gt;&lt;/p&gt;
&lt;p&gt;&lt;span&gt;No botão "Novo Documento" você poderá incluir mais documentos para retirada no mesmo agendamento.&lt;/span&gt;&lt;/p&gt;
&lt;p&gt;&lt;span&gt;&lt;em&gt;&lt;span&gt;Atenção&lt;/span&gt;&lt;/em&gt;: Caso seja identificado durante a descarga que a carga agendada excede a capacidade do veículo, incidirá a cobrança do valor de um manuseio extra, conforme nossa &lt;/span&gt;&lt;span&gt;&lt;a href="https://www.teconriogrande.com.br"&gt;&lt;span&gt;Estrutura de Serviços e Preços&lt;/span&gt;&lt;/a&gt;&lt;/span&gt;&lt;span&gt;.&lt;/span&gt;&lt;/p&gt;
&lt;p&gt; &lt;/p&gt;
&lt;p&gt;&lt;span&gt;Após preenchimento dos dados, você poderá selecionar a data e horário para retirada da carga.&lt;/span&gt;&lt;/p&gt;
&lt;p&gt; &lt;/p&gt;
&lt;p&gt;&lt;span&gt;No agendamento de Carga DTA você deverá preencher os dados abaixo:&lt;/span&gt;&lt;/p&gt;
&lt;p&gt;&lt;img src="https://atendimento.teconline.com.br/hc/article_attachments/22461831513869"/&gt;&lt;/p&gt;
&lt;p&gt;&lt;strong&gt;&lt;span&gt;Motorista&lt;/span&gt;&lt;/strong&gt;&lt;/p&gt;
&lt;p&gt;&lt;span&gt;CNH: Ao informar a CNH, os demais dados do motorista serão preenchidos de forma automática.&lt;/span&gt;&lt;/p&gt;
&lt;p&gt;&lt;span&gt;&lt;em&gt;&lt;span&gt;Observação:&lt;/span&gt;&lt;/em&gt; Caso seja o primeiro acesso do motorista no terminal, todos os dados deverão ser preenchidos para que este seja o pré-cadastro, bem como o motorista deve comparecer junto a nossa Portaria 1, em até 30 minutos antes do agendamento com o seu documento e do veículo para realização do cadastro biométrico.&lt;/span&gt;&lt;/p&gt;
&lt;p&gt; &lt;/p&gt;
&lt;p&gt;&lt;strong&gt;&lt;span&gt;Veículo&lt;/span&gt;&lt;/strong&gt;&lt;/p&gt;
&lt;p&gt;&lt;span&gt;Transportadora&lt;/span&gt;: Selecione a transportadora que realizara a retirada da carga&lt;/p&gt;
&lt;p&gt;&lt;span&gt;Tipo&lt;/span&gt;: Selecione o tipo de veículo que realizará a retira.&lt;/p&gt;
&lt;p&gt;&lt;em&gt;&lt;span&gt;Observações&lt;/span&gt;&lt;/em&gt;:&lt;/p&gt;
&lt;p&gt;1 -Para cargas retiradas em "Container Baú" ou "Container de Passagem" torna-se obrigatório informar o número do container.&lt;/p&gt;
&lt;p&gt;2 - Na entrega de carga de importação, pós desova, caso carregada em caminhão baú ou container, incidirá a cobrança do valor de uma estufagem parcial, conforme nossa &lt;span&gt;&lt;a href="https://www.teconriogrande.com.br"&gt;Estrutura de Serviços e Preços&lt;/a&gt;&lt;/span&gt;.&lt;/p&gt;
&lt;p&gt;&lt;span&gt;Placas&lt;/span&gt;: Informa as placas do veículo que realizará a retirada. &lt;/p&gt;
&lt;p&gt;&lt;span&gt;EADI&lt;/span&gt;: Selecione o EADI para onde a carga será destinada.&lt;/p&gt;
&lt;p&gt; &lt;/p&gt;
&lt;p&gt;&lt;strong&gt;&lt;span&gt;Cargas a serem carregadas&lt;/span&gt;&lt;/strong&gt;&lt;/p&gt;
&lt;p&gt;&lt;img src="https://atendimento.teconline.com.br/hc/article_attachments/22461854106253"/&gt;&lt;/p&gt;
&lt;p&gt;&lt;strong&gt;&lt;span&gt;Anexos&lt;/span&gt;&lt;/strong&gt;&lt;/p&gt;
&lt;p&gt;&lt;span&gt;Para agendamento de DTA, torna-se obrigatório a inclusão do&lt;span&gt; Extrato da DTA (com as placas do caminhão), onde pode ser anexado até 60 minutos antes do horário do agendamento.&lt;/span&gt; Caso a carga seja considerada especial/perigosa, também torna-se necessário a inclusão da FISPQ.&lt;/span&gt;&lt;/p&gt;
&lt;p&gt; &lt;/p&gt;
&lt;p&gt;&lt;span&gt;&lt;em&gt;&lt;span&gt;Observações&lt;/span&gt;&lt;/em&gt;:&lt;/span&gt;&lt;/p&gt;
&lt;p&gt;&lt;span&gt;1 - Os documentos anexados tem o prazo de 1 hora para validação a contar da data de inclusão.&lt;/span&gt;&lt;/p&gt;
&lt;p&gt; &lt;/p&gt;
&lt;p&gt;&lt;strong&gt;&lt;span&gt;Novo Documento&lt;/span&gt;&lt;/strong&gt;&lt;/p&gt;
&lt;p&gt;&lt;span&gt;&lt;img src="https://atendimento.teconline.com.br/hc/article_attachments/22450418771725"/&gt;&lt;/span&gt;&lt;/p&gt;
&lt;p&gt;&lt;span&gt;No botão "Novo Documento" você poderá incluir mais documentos para retirada no mesmo agendamento.&lt;/span&gt;&lt;/p&gt;
&lt;p&gt;&lt;span&gt;&lt;em&gt;&lt;span&gt;Atenção&lt;/span&gt;&lt;/em&gt;: Caso seja identificado durante a descarga que a carga agendada excede a capacidade do veículo, incidirá a cobrança do valor de um manuseio extra, conforme nossa &lt;/span&gt;&lt;span&gt;&lt;a href="https://www.teconriogrande.com.br"&gt;Estrutura de Serviços e Preços&lt;/a&gt;&lt;/span&gt;&lt;span&gt;.&lt;/span&gt;&lt;/p&gt;
&lt;p&gt; &lt;/p&gt;
&lt;p&gt;&lt;span&gt;Após preenchimento dos dados, você poderá selecionar a data e horário para retirada da carga.&lt;/span&gt;&lt;span&gt;&lt;/span&gt;&lt;/p&gt;
&lt;p&gt; &lt;/p&gt;
&lt;p&gt;&lt;span&gt;O horário agendado deve ser respeitado, a tolerância será de 15 minutos antes ou depois. Exemplo: agendamento para às 14h, veículo pode chegar no terminal entre 13h45min às 14h15min, caso contrário passará para o status de vencido, isto é, o agendamento deve ser refeito. &lt;/span&gt;&lt;/p&gt;
&lt;p&gt; &lt;/p&gt;
&lt;p&gt;&lt;strong&gt;&lt;span&gt;Desova Direto para o Caminhão&lt;/span&gt;&lt;/strong&gt;&lt;/p&gt;
&lt;p&gt;&lt;span&gt;O agendamento de " Desova Direto para o Caminhão" fica disponível após solicitação através do nosso site, onde a aprovação e disponibilização de horários é concedida pelo nosso Setor de Armazéns.&lt;/span&gt;&lt;/p&gt;
&lt;p&gt; &lt;/p&gt;
&lt;p&gt;&lt;span&gt;Observação: Os volumes para carregamento podem ser fragmentados em mais de um veículo. Basta selecionar a quantidade que será retirada no 1º veículo e através do botão "Novo Veículo" incluir um novo veículo. A quantidade disponível será calculada de forma automática.&lt;/span&gt;&lt;/p&gt;
&lt;p&gt;&lt;img src="https://atendimento.teconline.com.br/hc/article_attachments/22451678067213"/&gt;&lt;/p&gt;
&lt;p&gt;&lt;font color="#000000"&gt;Para maiores informações quanto ao procedimento para solicitação de "Desova Direto para o Caminhão", por gentileza utilizar esse &lt;span&gt;&lt;a href="https://atendimento.teconline.com.br/hc/pt-br/articles/19208038855565-Desova-direto-para-o-caminh%C3%A3o"&gt;link&lt;/a&gt;&lt;/span&gt;.&lt;/font&gt;&lt;/p&gt;
&lt;p&gt; &lt;/p&gt;
&lt;p&gt;&lt;span&gt;&lt;strong&gt;Agendamento de Carga Exportação&lt;/strong&gt;&lt;/span&gt;&lt;/p&gt;
&lt;p&gt;&lt;span&gt;Link da opção&lt;span&gt;: &lt;/span&gt;&lt;/span&gt;&lt;span&gt;&lt;a href="http://hml.teconline.com.br/agendamento-carga-exp/novo"&gt;Clique aqui&lt;/a&gt;&lt;/span&gt;&lt;span&gt;&lt;span&gt;.&lt;/span&gt;&lt;/span&gt;&lt;/p&gt;
&lt;p&gt; &lt;/p&gt;
&lt;p&gt;&lt;img src="https://atendimento.teconline.com.br/hc/article_attachments/22451767633549"/&gt;&lt;/p&gt;
&lt;p&gt;&lt;img src="https://atendimento.teconline.com.br/hc/article_attachments/22451874119693"/&gt;&lt;/p&gt;
&lt;p&gt;&lt;span&gt;No campo "Tipo Exportação (Entrega/ Devolução)" você pode selecionar o tipo de agendamento.&lt;/span&gt;&lt;/p&gt;
&lt;p&gt; &lt;/p&gt;
&lt;p&gt;&lt;span&gt;Os tipos de agendamento podem ser:&lt;/span&gt;&lt;/p&gt;
&lt;p&gt; &lt;/p&gt;
&lt;p&gt;&lt;span&gt;&lt;a href="https://atendimento.teconline.com.br/hc/pt-br/articles/22450090828685-Agendamento-Carga-Importa%C3%A7%C3%A3o-e-Exporta%C3%A7%C3%A3o#:~:text=Carga%20de%20Exporta%C3%A7%C3%A3o-,Entrega%20de%20Carga%20de%20Exporta%C3%A7%C3%A3o,-No%20agendamento%20para"&gt;Entrega de Carga de Exportação&lt;/a&gt;&lt;/span&gt;&lt;/p&gt;
&lt;p&gt;&lt;span&gt;&lt;a href="https://atendimento.teconline.com.br/hc/pt-br/articles/22450090828685-Agendamento-Carga-Importa%C3%A7%C3%A3o-e-Exporta%C3%A7%C3%A3o#:~:text=entrega%20da%20carga.-,Devolu%C3%A7%C3%A3o%20de%20Carga%20de%20Exporta%C3%A7%C3%A3o,-No%20agendamento%20para"&gt;Devolução de Carga de Exportação&lt;/a&gt;&lt;/span&gt;&lt;/p&gt;
&lt;p&gt; &lt;/p&gt;
&lt;p&gt;&lt;strong&gt;&lt;span&gt;Entrega de Carga de Exportação&lt;/span&gt;&lt;/strong&gt;&lt;span&gt;&lt;/span&gt;&lt;/p&gt;
&lt;p&gt; &lt;/p&gt;
&lt;p&gt;&lt;strong&gt;&lt;span&gt;&lt;img src="https://atendimento.teconline.com.br/hc/article_attachments/22461627715213"/&gt;&lt;/span&gt;&lt;/strong&gt;&lt;/p&gt;
&lt;p&gt; &lt;/p&gt;
&lt;p&gt;&lt;span&gt;No agendamento para "Entrega de Carga de Exportação" você deverá preencher os dados abaixo:&lt;/span&gt;&lt;/p&gt;
&lt;p&gt; &lt;/p&gt;
&lt;p&gt;&lt;strong&gt;&lt;span&gt;Motorista&lt;/span&gt;&lt;/strong&gt;&lt;/p&gt;
&lt;p&gt;&lt;span&gt;CNH: Ao informar a CNH, os demais dados do motorista serão preenchidos de forma automática.&lt;/span&gt;&lt;/p&gt;
&lt;p&gt;&lt;span&gt;&lt;em&gt;&lt;span&gt;Observação:&lt;/span&gt;&lt;/em&gt; Caso seja o primeiro acesso do motorista no terminal, todos os dados deverão ser preenchidos para que este seja o pré-cadastro, bem como o motorista deve comparecer junto a nossa Portaria 1, em até 30 minutos antes do agendamento com o seu documento e do veículo para realização do cadastro biométrico.&lt;/span&gt;&lt;/p&gt;
&lt;p&gt;&lt;strong&gt;&lt;span&gt;Veículo&lt;/span&gt;&lt;/strong&gt;&lt;/p&gt;
&lt;p&gt;&lt;span&gt;Transportadora&lt;/span&gt;: Selecione a transportadora que realizara a retirada da carga&lt;/p&gt;
&lt;p&gt;&lt;span&gt;Tipo&lt;/span&gt;: Selecione o tipo de veículo que realizará a retira.&lt;/p&gt;
&lt;p&gt;&lt;em&gt;&lt;span&gt;Observações&lt;/span&gt;&lt;/em&gt;:&lt;/p&gt;
&lt;p&gt;1 -Para cargas entregues em "Container Baú" ou "Container de Passagem" torna-se obrigatório informar o número do container.&lt;/p&gt;
&lt;p&gt;2 - Na entrega de carga de exportação, caso entregue em caminhão baú ou container, incidirá a cobrança do valor de uma desova parcial, conforme nossa &lt;span&gt;&lt;a href="https://www.teconriogrande.com.br"&gt;Estrutura de Serviços e Preços&lt;/a&gt;&lt;/span&gt;. Quando o tipo de veículo for "Container Baú", será disponibilizado o campo "Cobrar de (CNPJ), onde deverá ser indicado &lt;span&gt;o CNPJ do responsável pela escolha da entrega em container baú.&lt;/span&gt;&lt;/p&gt;
&lt;p&gt;&lt;img src="https://atendimento.teconline.com.br/hc/article_attachments/22544903398925"/&gt;&lt;/p&gt;
&lt;p&gt; &lt;/p&gt;
&lt;p&gt;&lt;span&gt;Placas&lt;/span&gt;: Informa as placas do veículo que realizará a retirada. &lt;/p&gt;
&lt;p&gt;&lt;span&gt;Dados Adicionais:&lt;/span&gt; Informe as observação para o agendamento.&lt;/p&gt;
&lt;p&gt;&lt;span&gt;Notas Fiscais de Passagem:&lt;/span&gt; Anexe as notas fiscais de mercadorias que estão no mesmo caminhão para entrega, porém não serão descarregadas. Procedimento de acordo com esse &lt;span&gt;&lt;a href="https://atendimento.teconline.com.br/hc/pt-br/articles/9143835844749-15-07-22-Volume-extra-no-caminh%C3%A3o"&gt;comunicado&lt;/a&gt;&lt;/span&gt;.&lt;/p&gt;
&lt;p&gt; &lt;/p&gt;
&lt;p&gt;&lt;strong&gt;Notas a serem entregues&lt;/strong&gt;&lt;/p&gt;
&lt;p&gt;&lt;img src="https://atendimento.teconline.com.br/hc/article_attachments/22461748061453"/&gt;&lt;/p&gt;
&lt;p&gt;No formulário de "Notas a serem entregues" você deverá informar os dados da carga que será entregue no terminal, bem como suas características.&lt;/p&gt;
&lt;p&gt;&lt;span&gt;Nota Fiscal (XML)&lt;/span&gt;: Ao incluir o arquivo da nota fiscal em forma XML os dados serão preenchidos de forma automática.&lt;/p&gt;
&lt;p&gt;&lt;span&gt;Nota Fiscal (PDF)&lt;/span&gt;: Insira o arquivo da nota fiscal em formato PDF.&lt;/p&gt;
&lt;p&gt; &lt;/p&gt;
&lt;p&gt;&lt;font color="#000000"&gt;&lt;span&gt;Após preenchimento dos dados, você poderá selecionar a data e horário para entrega da carga.&lt;/span&gt;&lt;/font&gt;&lt;/p&gt;
&lt;p&gt; &lt;/p&gt;
&lt;p&gt;&lt;font color="#000000"&gt;&lt;span&gt;Observação:  O horário agendado deve ser respeitado, a tolerância será de 15 minutos antes ou depois. Exemplo: agendamento para às 14h, veículo pode chegar no terminal entre 13h45min às 14h15min, caso contrário passará para o status de vencido, isto é, o agendamento deve ser refeito. &lt;/span&gt;&lt;/font&gt;&lt;/p&gt;
&lt;p&gt; &lt;/p&gt;
&lt;p&gt;&lt;strong&gt;&lt;span&gt;Devolução de Carga de Exportação&lt;/span&gt;&lt;/strong&gt;&lt;span&gt;&lt;/span&gt;&lt;/p&gt;
&lt;p&gt; &lt;/p&gt;
&lt;p&gt;&lt;strong&gt;&lt;span&gt;&lt;img src="https://atendimento.teconline.com.br/hc/article_attachments/22461725607565"/&gt;&lt;/span&gt;&lt;/strong&gt;&lt;/p&gt;
&lt;p&gt; &lt;/p&gt;
&lt;p&gt;&lt;span&gt;No agendamento para "Devolução de Carga de Exportação" você deverá preencher os dados abaixo:&lt;/span&gt;&lt;/p&gt;
&lt;p&gt; &lt;/p&gt;
&lt;p&gt;&lt;strong&gt;&lt;span&gt;Motorista&lt;/span&gt;&lt;/strong&gt;&lt;/p&gt;
&lt;p&gt;&lt;span&gt;CNH: Ao informar a CNH, os demais dados do motorista serão preenchidos de forma automática.&lt;/span&gt;&lt;/p&gt;
&lt;p&gt;&lt;span&gt;&lt;em&gt;&lt;span&gt;Observação:&lt;/span&gt;&lt;/em&gt; Caso seja o primeiro acesso do motorista no terminal, todos os dados deverão ser preenchidos para que este seja o pré-cadastro, bem como o motorista deve comparecer junto a nossa Portaria 1, em até 30 minutos antes do agendamento com o seu documento e do veículo para realização do cadastro biométrico.&lt;/span&gt;&lt;/p&gt;
&lt;p&gt;&lt;strong&gt;&lt;span&gt;Veículo&lt;/span&gt;&lt;/strong&gt;&lt;/p&gt;
&lt;p&gt;&lt;span&gt;Transportadora&lt;/span&gt;: Selecione a transportadora que realizara a retirada da carga&lt;/p&gt;
&lt;p&gt;&lt;span&gt;Tipo&lt;/span&gt;: Selecione o tipo de veículo que realizará a retira.&lt;/p&gt;
&lt;p&gt;&lt;em&gt;&lt;span&gt;Observações&lt;/span&gt;&lt;/em&gt;:&lt;/p&gt;
&lt;p&gt;1 -Para cargas retiradas em "Container Baú" ou "Container de Passagem" torna-se obrigatório informar o número do container.&lt;/p&gt;
&lt;p&gt;2 - Na retirada de carga de exportação, caso realizada em caminhão baú ou container, incidirá a cobrança do valor de uma desova parcial, conforme nossa &lt;span&gt;&lt;a href="https://www.teconriogrande.com.br"&gt;Estrutura de Serviços e Preços&lt;/a&gt;&lt;/span&gt;.&lt;/p&gt;
&lt;p&gt;&lt;span&gt;Placas&lt;/span&gt;: Informe as placas do veículo que realizará a retirada. &lt;/p&gt;
&lt;p&gt;&lt;span&gt;Dados Adicionais:&lt;/span&gt; Informe as observação para o agendamento.&lt;/p&gt;
&lt;p&gt;&lt;span&gt;Notas Fiscais de Passagem:&lt;/span&gt; Anexe as notas fiscais de mercadorias que estão no mesmo caminhão para entrega, porém não serão descarregadas. Procedimento de acordo com esse &lt;span&gt;&lt;a href="https://atendimento.teconline.com.br/hc/pt-br/articles/9143835844749-15-07-22-Volume-extra-no-caminh%C3%A3o"&gt;comunicado&lt;/a&gt;&lt;/span&gt;.&lt;/p&gt;
&lt;p&gt; &lt;/p&gt;
&lt;p&gt;&lt;strong&gt;Notas a serem retiradas&lt;/strong&gt;&lt;/p&gt;
&lt;p&gt; &lt;/p&gt;
&lt;p&gt;&lt;strong&gt;&lt;img src="https://atendimento.teconline.com.br/hc/article_attachments/22461725617293"/&gt;&lt;/strong&gt;&lt;/p&gt;
&lt;p&gt; &lt;/p&gt;
&lt;p&gt;No formulário de "Notas a serem retiradas" você deverá informar os dados da carga que será retirada do terminal, bem como suas características.&lt;/p&gt;
&lt;p&gt;&lt;span&gt;Cobrar de (CNPJ)&lt;/span&gt;: Informe o CNPJ para emissão das cobranças&lt;/p&gt;
&lt;p&gt;&lt;span&gt;Nota Fiscal:&lt;/span&gt; Selecione a nota fiscal para retirada&lt;/p&gt;
&lt;p&gt;&lt;span&gt;Presença de carga/ Autorização:&lt;/span&gt; Insira a autorização da Receita Federal para retorno da carga para o mercado externo.&lt;/p&gt;
&lt;p&gt; &lt;/p&gt;
&lt;p&gt;&lt;span&gt;Após preenchimento dos dados, você poderá selecionar a data e horário para retirada da carga.&lt;/span&gt;&lt;/p&gt;
&lt;p&gt; &lt;/p&gt;
&lt;p&gt;&lt;span&gt;Observação: O horário agendado deve ser respeitado, a tolerância será de 15 minutos antes ou depois. Exemplo: agendamento para às 14h, veículo pode chegar no terminal entre 13h45min às 14h15min, caso contrário passará para o status de vencido, isto é, o agendamento deve ser refeito. &lt;/span&gt;&lt;/p&gt;
&lt;p&gt; &lt;/p&gt;
&lt;p&gt; &lt;/p&gt;
&lt;p&gt; &lt;/p&gt;</t>
  </si>
  <si>
    <t>https://wilsonsonstrg.zendesk.com/api/v2/help_center/pt-br/articles/22306998271629.json</t>
  </si>
  <si>
    <t>https://atendimento.teconline.com.br/hc/pt-br/articles/22306998271629-12-12-2023-Comunicado-Importante-Canal-de-Atendimento-Motoristas</t>
  </si>
  <si>
    <t>12/12/2023 - [Comunicado Importante] - Canal de Atendimento | Motoristas</t>
  </si>
  <si>
    <t>['01H1VJZTTMSC9E2FK6SC533WHP', '01H4ECZHWVRQS41N92NZ2W4EZ8', '01HGDZ1DDYTN0KFK8T9VHK2ZEC', '01HHHK8C8NK51M1WT47MTZWV4D']</t>
  </si>
  <si>
    <t>['whatsapp', 'canal de atendimento']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</si>
  <si>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0037/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12 de Dezembro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&lt;p&gt;&lt;span&gt;&lt;span&gt;&lt;strong&gt;&lt;span&gt;&lt;font&gt;&lt;font&gt;&lt;font&gt;&lt;font&gt;Canal de Atendimento | Motoristas&lt;/font&gt;&lt;/font&gt;&lt;/font&gt;&lt;/font&gt;&lt;/span&gt;&lt;/strong&gt;&lt;/span&gt;&lt;/span&gt;&lt;/p&gt;
&lt;hr/&gt;
&lt;p&gt;&lt;span&gt;&lt;span&gt;A fim de facilitar a comunicação com os motoristas no terminal, estamos disponibilizando abaixo o nosso contato para sanar &lt;strong&gt;dúvidas&lt;/strong&gt;, consultar &lt;strong&gt;informações&lt;/strong&gt; e &lt;strong&gt;esclarecimentos.&lt;/strong&gt;&lt;/span&gt;&lt;/span&gt;&lt;br/&gt; &lt;/p&gt;
&lt;p&gt;&lt;span&gt;&lt;span&gt;&lt;strong&gt;(53) 3234.3030  &lt;/strong&gt;&lt;/span&gt;&lt;/span&gt;&lt;span&gt;&lt;span&gt;- &lt;/span&gt;&lt;/span&gt;&lt;span&gt;&lt;span&gt;&lt;em&gt;WhatsApp&lt;/em&gt;&lt;/span&gt;&lt;/span&gt;&lt;/p&gt;
&lt;p&gt;&lt;span&gt;&lt;span&gt;​​​ &lt;/span&gt;&lt;/span&gt;&lt;br/&gt;​&lt;span&gt;&lt;span&gt;&lt;span&gt;&lt;font&gt;&lt;font&gt;&lt;font&gt;&lt;font&gt;Contamos com a colaboração de todos para o compartilhamento deste contato com seus motoristas.&lt;br/&gt;​​​​&lt;/font&gt;&lt;/font&gt;&lt;/font&gt;&lt;/font&gt;&lt;/span&gt;&lt;/span&gt;&lt;/span&gt;&lt;/p&gt;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</si>
  <si>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https://wilsonsonstrg.zendesk.com/api/v2/help_center/pt-br/articles/22119140551821.json</t>
  </si>
  <si>
    <t>https://atendimento.teconline.com.br/hc/pt-br/articles/22119140551821-08-12-2023-Hor%C3%A1rio-Especial-Tecon-Rio-Grande-Comunica</t>
  </si>
  <si>
    <t>08/12/2023 - [Horário Especial] - Tecon Rio Grande Comunica</t>
  </si>
  <si>
    <t>['01HEQD5DYGANV89FDRMHHM4H3V', '01HEQDDTMXSWHR0V0DRHR1B4T4', '01HH78VAHAXSEY67AHTJC0DB6R', '01HH78VQDA42CMD9NBCSRX8Q3P', '01HH78W5XMF263HQ1P91P5VE9E']</t>
  </si>
  <si>
    <t>['feriado', 'horários', 'comunicado', 'natal', 'ano novo']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</si>
  <si>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0035/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08 de Dezembro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 de Natal e Ano Nov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de Natal e Ano Novo, 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e retirada de containers:&lt;/font&gt;&lt;/font&gt;&lt;/font&gt;&lt;/font&gt;&lt;/font&gt;&lt;/font&gt;&lt;/font&gt;&lt;/font&gt;&lt;/font&gt;&lt;/font&gt;&lt;/font&gt;&lt;/font&gt;&lt;/font&gt;&lt;/font&gt;&lt;/font&gt;&lt;/font&gt;&lt;/font&gt;&lt;/font&gt;&lt;/font&gt;&lt;/font&gt;&lt;/strong&gt;&lt;br/&gt;&lt;br/&gt;Cheios e Vazios:&lt;br/&gt;&lt;br/&gt;&lt;font&gt;&lt;font&gt;&lt;font&gt;&lt;font&gt;&lt;font&gt;&lt;font&gt;&lt;font&gt;&lt;font&gt;&lt;font&gt;&lt;font&gt;&lt;font&gt;&lt;font&gt;&lt;font&gt;&lt;font&gt;&lt;font&gt;&lt;font&gt;&lt;font&gt;&lt;font&gt;&lt;font&gt;&lt;font&gt;&lt;strong&gt;24/12&lt;/strong&gt; - Operação até às 18h&lt;br/&gt;&lt;strong&gt;25/12&lt;/strong&gt; - Sem operação&lt;br/&gt;&lt;strong&gt;26/12&lt;/strong&gt; - Operação inicia às 07h30&lt;br/&gt;&lt;br/&gt;&lt;strong&gt;31/12&lt;/strong&gt; - Operação até às 18h&lt;br/&gt;&lt;strong&gt;01/01&lt;/strong&gt; - Sem operação&lt;br/&gt;&lt;strong&gt;02/01&lt;/strong&gt; - Operação inicia às 07h30&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lt;strong&gt;25/12&lt;/strong&gt; e &lt;strong&gt;01/01&lt;/strong&gt; - 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</si>
  <si>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https://wilsonsonstrg.zendesk.com/api/v2/help_center/pt-br/articles/21970104444301.json</t>
  </si>
  <si>
    <t>https://atendimento.teconline.com.br/hc/pt-br/articles/21970104444301-05-12-2023-Comunicado-Importante-Instabilidade-Atendimento-WhatsApp</t>
  </si>
  <si>
    <t>05/12/2023 - [Comunicado Importante] - Instabilidade Atendimento | WhatsApp</t>
  </si>
  <si>
    <t>['01H4ECZHWVRQS41N92NZ2W4EZ8', '01HGXGCC9XK7NYFQRZMFG3HKY2', '01HGXGD1D59ECBYD24BN91J9K9']</t>
  </si>
  <si>
    <t>['canais de atendimento', 'WhatsApp', 'instabilidade']</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</si>
  <si>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0034/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05 de Dezembro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sans-serif"&gt;&lt;span&gt;&lt;strong&gt;Instabilidade Atendimento | WhatsApp&lt;/strong&gt;&lt;/span&gt;&lt;/font&gt;&lt;/p&gt;
&lt;hr/&gt;
&lt;p&gt;&lt;span&gt;&lt;span&gt;Informamos que nos dias &lt;strong&gt;05, 06 e 07 de dezembro de 2023&lt;/strong&gt;,&lt;br/&gt;o atendimento por meio do WhatsApp sofrerá instabilidade.&lt;br/&gt;&lt;br/&gt;Nesse período, estaremos realizando a instalação de uma&lt;br/&gt;nova &lt;strong&gt;melhoria&lt;/strong&gt; no sistema. &lt;/span&gt;&lt;/span&gt;&lt;span&gt;&lt;span&gt;Caso necessite entrar em contato conosco, estaremos à disposição nos seguintes canais de atendimento:&lt;/span&gt;&lt;/span&gt;&lt;br/&gt; &lt;/p&gt;
&lt;ul&gt;
&lt;li&gt;&lt;span&gt;&lt;span&gt;Chat Teconline&lt;/span&gt;&lt;/span&gt;&lt;/li&gt;
&lt;li&gt;&lt;span&gt;&lt;span&gt;Telefone&lt;/span&gt;&lt;/span&gt;&lt;/li&gt;
&lt;li&gt;&lt;span&gt;&lt;span&gt;E-mail&lt;/span&gt;&lt;/span&gt;&lt;/li&gt;
&lt;/ul&gt;
&lt;p&gt;&lt;br/&gt;&lt;span&gt;&lt;span&gt;Agradecemos a compreensão.&lt;/span&gt;&lt;/span&gt;&lt;/p&gt;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</si>
  <si>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https://wilsonsonstrg.zendesk.com/api/v2/help_center/pt-br/articles/21782606423309.json</t>
  </si>
  <si>
    <t>https://atendimento.teconline.com.br/hc/pt-br/articles/21782606423309-29-11-2023-Comunicado-Importante-Altera%C3%A7%C3%A3o-no-Expediente</t>
  </si>
  <si>
    <t>29/11/2023 - [Comunicado Importante] - Alteração no Expediente</t>
  </si>
  <si>
    <t>['01HDPMRYGCAEBK51JA28DA246Z', '01HGDZ1DDYTN0KFK8T9VHK2ZEC', '01HGDZ2HZSDV2S1215Z591HB2J', '01HGDZ31RB6GEZKB91K0A3TY37']</t>
  </si>
  <si>
    <t>['container', 'armazém', 'gate', 'ano novo', 'Alteração de Expediente']</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</si>
  <si>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0033/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29 de Novembro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&lt;p&gt;&lt;span&gt;&lt;span&gt;&lt;strong&gt;&lt;span&gt;&lt;font&gt;&lt;font&gt;&lt;font&gt;&lt;font&gt;Alteração no Expediente | 01 e 02/12&lt;/font&gt;&lt;/font&gt;&lt;/font&gt;&lt;/font&gt;&lt;/span&gt;&lt;/strong&gt;&lt;/span&gt;&lt;/span&gt;&lt;/p&gt;
&lt;hr/&gt;
&lt;p&gt;&lt;span&gt;&lt;span&gt;Excepcionalmente nos dias 01 e 02/12, teremos alteração no &lt;strong&gt;recebimento&lt;/strong&gt; e &lt;strong&gt;entrega&lt;/strong&gt; de containers e cargas soltas, conforme programação abaixo:&lt;br/&gt;&lt;br/&gt;&lt;strong&gt;Recebimento e entrega de containers:&lt;/strong&gt;&lt;br/&gt;&lt;br/&gt;Dia 01/12: operação até às &lt;strong&gt;16:00&lt;/strong&gt;&lt;br/&gt;Dia 02/12: operação a partir das &lt;strong&gt;08:00&lt;/strong&gt;&lt;/span&gt;&lt;/span&gt;&lt;br/&gt;&lt;br/&gt;&lt;span&gt;&lt;span&gt;&lt;strong&gt;Armazéns:&lt;/strong&gt;&lt;br/&gt;&lt;br/&gt;Dia 01/12: funcionamento até às &lt;strong&gt;16:00&lt;/strong&gt;&lt;br/&gt;Dia 01/12: levante de carga - solicitação até&lt;strong&gt; 12:00&lt;/strong&gt;&lt;br/&gt;Dia 02/12: funcionamento a partir das &lt;strong&gt;08:00&lt;/strong&gt;&lt;br/&gt;&lt;br/&gt;Em caso de dúvidas, entre em contato por meio de nossos Canais de Atendimento.&lt;/span&gt;&lt;/span&gt;&lt;/p&gt;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</si>
  <si>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https://wilsonsonstrg.zendesk.com/api/v2/help_center/pt-br/articles/21570569609869.json</t>
  </si>
  <si>
    <t>https://atendimento.teconline.com.br/hc/pt-br/articles/21570569609869-22-11-23-Comunicado-Importante-Altera%C3%A7%C3%A3o-no-Expediente</t>
  </si>
  <si>
    <t>22/11/23 - [Comunicado Importante] - Alteração no Expediente</t>
  </si>
  <si>
    <t>['01GPY217SSC5MP9PMEN97RPEVN', '01H32JT9HQS6WJFWMED6MR765G', '01HEQDDTMXSWHR0V0DRHR1B4T4']</t>
  </si>
  <si>
    <t>['horário de operação', 'expediente do terminal']</t>
  </si>
  <si>
    <t>&lt;p&gt;&lt;/p&gt;
&lt;!-- Facebook sharing information tags --&gt;
&lt;p&gt;&lt;/p&gt;
&lt;table border="0" cellpadding="0" cellspacing="0" width="100%"&gt;
&lt;tbody&gt;
&lt;tr&gt;
&lt;td align="center" valign="top"&gt;
&lt;!-- // Begin Template Preheader \ --&gt;
&lt;table border="0" cellpadding="10" cellspacing="0" width="600"&gt;
&lt;tbody&gt;
&lt;tr&gt;
&lt;td valign="top"&gt; &lt;/td&gt;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0032/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21 de Novembro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&lt;p&gt;&lt;span&gt;&lt;span&gt;&lt;strong&gt;&lt;span&gt;&lt;font&gt;&lt;font&gt;&lt;font&gt;&lt;font&gt;Alteração no Expediente | 01 e 02/12&lt;/font&gt;&lt;/font&gt;&lt;/font&gt;&lt;/font&gt;&lt;/span&gt;&lt;/strong&gt;&lt;/span&gt;&lt;/span&gt;&lt;/p&gt;
&lt;hr/&gt;
&lt;p&gt;&lt;span&gt;&lt;span&gt;Excepcionalmente nos dias 01 e 02/12, teremos alteração no &lt;strong&gt;recebimento&lt;/strong&gt; e &lt;strong&gt;entrega&lt;/strong&gt; de containers e cargas soltas, conforme programação abaixo:&lt;br/&gt;&lt;br/&gt;&lt;strong&gt;Recebimento e entrega de containers:&lt;/strong&gt;&lt;br/&gt;&lt;br/&gt;Dia 01/12: operação até às &lt;strong&gt;16:00&lt;/strong&gt;&lt;br/&gt;Dia 02/12: operação a partir das &lt;strong&gt;08:00&lt;/strong&gt;&lt;/span&gt;&lt;/span&gt;&lt;br/&gt;&lt;br/&gt;&lt;span&gt;&lt;span&gt;&lt;strong&gt;Armazéns:&lt;/strong&gt;&lt;br/&gt;&lt;br/&gt;Dia 01/12: funcionamento até às &lt;strong&gt;16:00&lt;/strong&gt;&lt;br/&gt;Dia 02/12: funcionamento a partir das &lt;strong&gt;08:00&lt;/strong&gt;&lt;br/&gt;&lt;br/&gt;Em caso de dúvidas, entre em contato por meio de nossos Canais de Atendimento.&lt;/span&gt;&lt;/span&gt;&lt;/p&gt;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</si>
  <si>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https://wilsonsonstrg.zendesk.com/api/v2/help_center/pt-br/articles/21442794584717.json</t>
  </si>
  <si>
    <t>https://atendimento.teconline.com.br/hc/pt-br/articles/21442794584717-17-11-2023-Comunicado-Importante-Diverg%C3%AAncia-de-Peso-Exporta%C3%A7%C3%A3o</t>
  </si>
  <si>
    <t>17/11/2023 - [Comunicado Importante] Divergência de Peso | Exportação</t>
  </si>
  <si>
    <t>['01HFFHDMG5XDYBKNJJZE7V9K14', '01HFFHDSTMD34V6R59J3K0R1J2', '01HFFHE4GQ9EKXAJJ5KHB5KPWE', '01HFFHEYVPPMDV9N0RT1F77MNA']</t>
  </si>
  <si>
    <t>['exportação', 'divergência de peso', 'carga', 'Peso']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</si>
  <si>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0031/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17 de Novembro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&lt;br/&gt;&lt;br/&gt; &lt;/td&gt;
&lt;td colspan="3" rowspan="2"&gt;
&lt;p&gt;&lt;span&gt;&lt;span&gt;&lt;strong&gt;Divergência de Peso | Exportação&lt;/strong&gt;&lt;/span&gt;&lt;/span&gt;&lt;/p&gt;
&lt;hr/&gt;
&lt;p&gt;&lt;span&gt;&lt;span&gt;Os containers de exportação que apresentam divergência de peso &lt;/span&gt;&lt;strong&gt;recebem o seguinte tratamento&lt;/strong&gt;&lt;span&gt; da Alfândega da Receita Federal do Porto do Rio Grande.&lt;/span&gt;&lt;br/&gt;&lt;br/&gt;&lt;span&gt;&lt;span&gt;&lt;span&gt;&lt;span&gt;&lt;span&gt;&lt;span&gt;&lt;span&gt;&lt;span&gt;&lt;strong&gt;&lt;span&gt;I&lt;/span&gt;mpede o embarque&lt;/strong&gt;:&lt;/span&gt;&lt;/span&gt;&lt;/span&gt;&lt;/span&gt;&lt;/span&gt;&lt;/span&gt;&lt;/span&gt;&lt;/span&gt;&lt;/span&gt;&lt;/p&gt;
&lt;ul&gt;
&lt;li&gt;
&lt;span&gt;&lt;span&gt;&lt;span&gt;&lt;span&gt;&lt;span&gt;&lt;span&gt;&lt;span&gt;&lt;span&gt;&lt;span&gt;divergências &lt;strong&gt;superiores a 25% ou a 3.000 kg&lt;/strong&gt;&lt;span&gt;. &lt;/span&gt;&lt;/span&gt;&lt;/span&gt;&lt;/span&gt;&lt;/span&gt;&lt;/span&gt;&lt;/span&gt;&lt;/span&gt;&lt;/span&gt;&lt;/span&gt;&lt;span&gt;&lt;span&gt;&lt;span&gt;&lt;span&gt;&lt;span&gt;&lt;span&gt;&lt;span&gt;&lt;span&gt;&lt;span&gt;A RF determina o impedimento do embarque dos containers com&lt;/span&gt;&lt;/span&gt;&lt;/span&gt;&lt;/span&gt;&lt;/span&gt;&lt;/span&gt;&lt;/span&gt;&lt;/span&gt;&lt;/span&gt;&lt;span&gt;&lt;span&gt;&lt;span&gt;&lt;span&gt;&lt;span&gt;&lt;span&gt;&lt;span&gt;&lt;span&gt;&lt;span&gt; divergência de peso. &lt;/span&gt;&lt;/span&gt;&lt;/span&gt;&lt;/span&gt;&lt;/span&gt;&lt;/span&gt;&lt;/span&gt;&lt;/span&gt;&lt;/span&gt;&lt;span&gt;&lt;span&gt;&lt;span&gt;&lt;span&gt;&lt;span&gt;&lt;span&gt;&lt;span&gt;&lt;span&gt;&lt;span&gt;O impedimento será suspenso &lt;span&gt;apenas &lt;/span&gt;após autorização da Receita Federal.&lt;/span&gt;&lt;/span&gt;&lt;/span&gt;&lt;/span&gt;&lt;/span&gt;&lt;/span&gt;&lt;/span&gt;&lt;/span&gt;&lt;/span&gt;
&lt;/li&gt;
&lt;/ul&gt;
&lt;span&gt;&lt;span&gt;&lt;span&gt;&lt;span&gt;&lt;span&gt;&lt;span&gt;&lt;span&gt;&lt;span&gt;&lt;span&gt;&lt;u&gt;&lt;strong&gt;Não impede o embarque:&lt;/strong&gt;&lt;/u&gt;&lt;/span&gt;&lt;/span&gt;&lt;/span&gt;&lt;/span&gt;&lt;/span&gt;&lt;/span&gt;&lt;/span&gt;&lt;/span&gt;&lt;/span&gt;
&lt;ul&gt;
&lt;li&gt;&lt;span&gt;&lt;span&gt;divergências até 10%: sem restrição quanto ao embarque, &lt;span&gt;sem necessidade do Terminal comunicar à Receita&lt;/span&gt;&lt;span&gt; e&lt;/span&gt;&lt;span&gt; ao exportador;&lt;/span&gt;&lt;/span&gt;&lt;/span&gt;&lt;/li&gt;
&lt;/ul&gt;
&lt;ul&gt;
&lt;li&gt;
&lt;span&gt;&lt;span&gt;&lt;span&gt;&lt;span&gt;&lt;span&gt;diver&lt;/span&gt;&lt;/span&gt;&lt;/span&gt;&lt;span&gt;&lt;span&gt;gências entre &lt;strong&gt;10%&lt;/strong&gt; e &lt;strong&gt;25%&lt;/strong&gt;: o Terminal comunicará à Receita e ao exportador. &lt;strong&gt;Caberá ao exportador avaliar&lt;/strong&gt;&lt;/span&gt;&lt;/span&gt;&lt;/span&gt;&lt;/span&gt;&lt;span&gt;&lt;span&gt;&lt;span&gt;&lt;span&gt;&lt;strong&gt;​​​&lt;/strong&gt;&lt;/span&gt;&lt;/span&gt;&lt;/span&gt;&lt;/span&gt;​​​​ &lt;span&gt;&lt;span&gt;&lt;span&gt;&lt;span&gt;&lt;strong&gt;o caso&lt;/strong&gt;&lt;/span&gt;&lt;/span&gt;&lt;/span&gt;&lt;/span&gt;&lt;span&gt;&lt;span&gt;&lt;span&gt;&lt;span&gt; &lt;/span&gt;&lt;/span&gt;&lt;/span&gt;&lt;/span&gt;&lt;span&gt;&lt;span&gt;&lt;span&gt;&lt;span&gt;e &lt;/span&gt;&lt;/span&gt;&lt;/span&gt;&lt;/span&gt;&lt;span&gt;&lt;span&gt;&lt;span&gt;&lt;span&gt;&lt;strong&gt;(1)&lt;/strong&gt; autorizar embarque sem repesagem ou correção; &lt;/span&gt;&lt;/span&gt;&lt;/span&gt;&lt;/span&gt;&lt;span&gt;&lt;span&gt;&lt;span&gt;&lt;span&gt;&lt;strong&gt;(2)&lt;/strong&gt; corrigir &lt;/span&gt;&lt;/span&gt;&lt;/span&gt;&lt;/span&gt;​​​​​​&lt;span&gt;&lt;span&gt;&lt;span&gt;&lt;span&gt;a documentação, ou &lt;strong&gt;(3)&lt;/strong&gt; solicitar repesagem; na ausência de resposta, será considerada como autorização do exportador para embarque da carga.&lt;/span&gt;&lt;/span&gt;&lt;/span&gt;&lt;/span&gt;
&lt;/li&gt;
&lt;/ul&gt;
&lt;div&gt;
&lt;span&gt;&lt;span&gt;&lt;span&gt;&lt;span&gt;&lt;span&gt;&lt;span&gt;&lt;span&gt;&lt;span&gt;&lt;span&gt;No caso de repesagem e constatado divergência documental, os custos serão de responsabilidade do Exportador.&lt;/span&gt;&lt;/span&gt;&lt;/span&gt;&lt;/span&gt;&lt;/span&gt;&lt;/span&gt;&lt;/span&gt;&lt;/span&gt;&lt;/span&gt;
&lt;div&gt;
&lt;div&gt;
&lt;div&gt;
&lt;div&gt;
&lt;div&gt;
&lt;div&gt;
&lt;span&gt;&lt;span&gt;​​​​​​&lt;/span&gt;&lt;/span&gt;&lt;br/&gt;&lt;span&gt;&lt;span&gt;Em caso de dúvidas, gentileza entrar em contato por meio de nossos&lt;br/&gt;Canais de Atendimento.&lt;br/&gt;&lt;br/&gt;&lt;span&gt;&lt;font&gt;&lt;font&gt;&lt;font&gt;&lt;font&gt;​&lt;/font&gt;&lt;/font&gt;&lt;/font&gt;&lt;/font&gt;&lt;/span&gt;&lt;/span&gt;&lt;/span&gt;
&lt;/div&gt;
&lt;/div&gt;
&lt;/div&gt;
&lt;/div&gt;
&lt;/div&gt;
&lt;/div&gt;
&lt;/div&gt;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</si>
  <si>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https://wilsonsonstrg.zendesk.com/api/v2/help_center/pt-br/articles/21140353410061.json</t>
  </si>
  <si>
    <t>https://atendimento.teconline.com.br/hc/pt-br/articles/21140353410061-08-11-2023-Hor%C3%A1rio-Especial-Tecon-Rio-Grande-Comunica</t>
  </si>
  <si>
    <t>08/11/2023 - [Horário Especial] - Tecon Rio Grande Comunica</t>
  </si>
  <si>
    <t>['01H90WBJBCCZDGRHGT3Y9WHEE4', '01HE3FX3Y4VBP64H30WNHAZWAV', '01HEQDDB5MF1ED3ZXTH81JBF8H', '01HEQDDN36RS5DQGXJ8ADCKVFY', '01HEQDDTMXSWHR0V0DRHR1B4T4']</t>
  </si>
  <si>
    <t>['feriado', 'Proclamação da República', 'proclamação da republica', 'novembro']</t>
  </si>
  <si>
    <t>&lt;p&gt; &lt;/p&gt;
&lt;p&gt; &lt;/p&gt;
&lt;p&gt;&lt;/p&gt;
&lt;!-- Facebook sharing information tags --&gt;
&lt;p&gt;&lt;/p&gt;
&lt;table border="0" cellpadding="0" cellspacing="0" width="100%"&gt;
&lt;tbody&gt;
&lt;tr&gt;
&lt;td align="center" valign="top"&gt;
&lt;!-- // Begin Template Preheader \ --&gt;&lt;!--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0028/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08 de Novembro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s | Mês de Novembr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da Proclamação da República, no dia&lt;strong&gt; 15 de novembro,​​ &lt;/strong&gt;informamos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 -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 Sem expediente&lt;br/&gt;Vazios - Normal&lt;br/&gt;PTI - Sem expediente&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Sem Expediente&lt;br/&gt;&lt;br/&gt;&lt;strong&gt;Atendimento:&lt;/strong&gt;&lt;br/&gt;&lt;br/&gt;Sem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&lt;/td&gt;
&lt;/tr&gt;
&lt;/tbody&gt;
&lt;/table&gt;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</si>
  <si>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https://wilsonsonstrg.zendesk.com/api/v2/help_center/pt-br/articles/21140250551565.json</t>
  </si>
  <si>
    <t>https://atendimento.teconline.com.br/hc/pt-br/articles/21140250551565-07-11-2023-Comunicado-Importante-Retirada-de-vazios-com-bitrem-dolly</t>
  </si>
  <si>
    <t>07/11/2023 -  [Comunicado Importante] Retirada de vazios com bitrem/dolly</t>
  </si>
  <si>
    <t>['01HEQD5DYGANV89FDRMHHM4H3V', '01HEQD5JTZ6W3C11TSAYP4NYS8', '01HEQD5PEB0E8S4TF6NDMN4TZF', '01HEQD5T3Y6GHYKESNVYQFHRCN', '01HEQD6D291E8FEKZ95EFCPY2K']</t>
  </si>
  <si>
    <t>['dolly', 'bitrem']</t>
  </si>
  <si>
    <t>&lt;p&gt; &lt;/p&gt;
&lt;p&gt; &lt;/p&gt;
&lt;p&gt;&lt;/p&gt;
&lt;!-- Facebook sharing information tags --&gt;
&lt;p&gt;&lt;/p&gt;
&lt;table border="0" cellpadding="0" cellspacing="0" width="100%"&gt;
&lt;tbody&gt;
&lt;tr&gt;
&lt;td align="center" valign="top"&gt;
&lt;!-- // Begin Template Preheader \ --&gt;&lt;!--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0030/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07 de Novembro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sans-serif"&gt;&lt;span&gt;&lt;strong&gt;Retirada de vazios com bitrem/dolly&lt;/strong&gt;&lt;/span&gt;&lt;/font&gt;&lt;/p&gt;
&lt;hr/&gt;
&lt;p&gt;&lt;span&gt;&lt;span&gt;Informamos que a partir do dia &lt;strong&gt;15/11/2023&lt;/strong&gt;, a &lt;strong&gt;retirada de containers&lt;/strong&gt; &lt;strong&gt;vazios&lt;/strong&gt; do terminal &lt;strong&gt;não poderá ser realizada&lt;/strong&gt; com &lt;strong&gt;carretas bitrem&lt;/strong&gt;, utilizando o conjunto completo e/ou com uma&lt;br/&gt;das carretas atreladas à dolly. Esta mudança é necessária para adequação da pesagem das unidades.&lt;/span&gt;&lt;/span&gt;&lt;br/&gt;&lt;br/&gt;&lt;span&gt;&lt;span&gt;Em caso de dúvidas e maiores informações, gentileza entrar em contato por meio da nossa Central de Atendimento.&lt;/span&gt;&lt;/span&gt;&lt;br/&gt;&lt;span&gt;&lt;span&gt;​​​​​&lt;/span&gt;&lt;/span&gt;​​&lt;br/&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&lt;/td&gt;
&lt;/tr&gt;
&lt;/tbody&gt;
&lt;/table&gt;
&lt;/td&gt;
&lt;/tr&gt;
&lt;tr&gt;
&lt;td align="center" valign="top"&gt;
&lt;br/&gt;&lt;!-- // End Template Footer \ --&gt;
&lt;/td&gt;
&lt;/tr&gt;
&lt;/tbody&gt;
&lt;/table&gt;
&lt;/td&gt;
&lt;/tr&gt;
&lt;/tbody&gt;
&lt;/table&gt;
&lt;!--
          This email was originally designed by the wonderful folks at MailChimp and remixed by Pardot.
          It is licensed under CC BY-SA 3.0
        --&gt;
&lt;p&gt;
&lt;/p&gt;</t>
  </si>
  <si>
    <t>https://wilsonsonstrg.zendesk.com/api/v2/help_center/pt-br/articles/20894965584013.json</t>
  </si>
  <si>
    <t>https://atendimento.teconline.com.br/hc/pt-br/articles/20894965584013-31-10-2023-Comunicado-Importante-Hor%C3%A1rio-de-Agendamento-Containers-Cheios</t>
  </si>
  <si>
    <t>31/10/2023 - [Comunicado Importante] Horário de Agendamento | Containers Cheios</t>
  </si>
  <si>
    <t>['01GPY21E8TXSMS3NW306343RSN', '01H1VJZ6SZ8D3GG1DY9JZ0JSX0', '01HE3FX0XX9WHSVBYZ4F8D1100', '01HE3FX3Y4VBP64H30WNHAZWAV', '01HE3FXMQ3DS1HGTC2579RS7P4']</t>
  </si>
  <si>
    <t>['entrega de cheio', 'gate', 'tolerância', 'tolerancia', '10 minutos']</t>
  </si>
  <si>
    <t>&lt;p&gt; &lt;/p&gt;
&lt;p&gt; &lt;/p&gt;
&lt;p&gt;&lt;/p&gt;
&lt;!-- Facebook sharing information tags --&gt;
&lt;p&gt;&lt;/p&gt;
&lt;table border="0" cellpadding="0" cellspacing="0" width="100%"&gt;
&lt;tbody&gt;
&lt;tr&gt;
&lt;td align="center" valign="top"&gt;
&lt;!-- // Begin Template Preheader \ --&gt;&lt;!--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0029/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31 de Outubro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&lt;p&gt;&lt;span&gt;&lt;span&gt;&lt;strong&gt;&lt;span&gt;&lt;font&gt;&lt;font&gt;&lt;font&gt;&lt;font&gt;Horário de Agendamento | Containers Cheios&lt;/font&gt;&lt;/font&gt;&lt;/font&gt;&lt;/font&gt;&lt;/span&gt;&lt;/strong&gt;&lt;/span&gt;&lt;/span&gt;&lt;/p&gt;
&lt;hr/&gt;
&lt;p&gt;&lt;span&gt;&lt;span&gt;Informamos que a partir do dia &lt;strong&gt;02 de novembro de 2023&lt;/strong&gt;, &lt;br/&gt;&lt;strong&gt;não serão mais concedidos os 10 minutos&lt;/strong&gt; &lt;strong&gt;de antecedência&lt;br/&gt;e de tolerância de atrasos &lt;/strong&gt;ao horário do agendamento no recebimento de containers cheios.&lt;br/&gt;&lt;br/&gt;Solicitamos a colaboração dos motoristas para o &lt;strong&gt;cumprimento&lt;br/&gt;do horário de agendamento&lt;/strong&gt;, destacando a importância da &lt;strong&gt;pontualidade, &lt;/strong&gt;a fim de não chegarem antes do horário, para evitarmos transtornos e mantermos a eficiência no acesso ao terminal.&lt;br/&gt;&lt;br/&gt;Em caso de dúvidas e maiores informações, gentileza entrar em contato por meio da nossa Central de Atendimento.&lt;/span&gt;&lt;/span&gt;&lt;br/&gt;&lt;span&gt;&lt;span&gt;​​​​​&lt;/span&gt;&lt;/span&gt;​​&lt;br/&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</si>
  <si>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https://wilsonsonstrg.zendesk.com/api/v2/help_center/pt-br/articles/20749961209101.json</t>
  </si>
  <si>
    <t>https://atendimento.teconline.com.br/hc/pt-br/articles/20749961209101-26-10-2023-Hor%C3%A1rio-Especial-Tecon-Rio-Grande-Comunica</t>
  </si>
  <si>
    <t>26/10/2023 - [Horário Especial] - Tecon Rio Grande Comunica</t>
  </si>
  <si>
    <t>['01H0QAVT32WST32109THK2PZCJ', '01H1VJZ0K3W26BGAVYDENZ09Y1', '01H25VXNXEC41X4Y4VPZAD1ZSA', '01H32JT9HQS6WJFWMED6MR765G', '01H90WBJBCCZDGRHGT3Y9WHEE4', '01HDPMRYGCAEBK51JA28DA246Z']</t>
  </si>
  <si>
    <t>['feriado', 'finados', 'Proclamação da República', 'proclamação da republica']</t>
  </si>
  <si>
    <t>&lt;p&gt; &lt;/p&gt;
&lt;p&gt; &lt;/p&gt;
&lt;p&gt;&lt;/p&gt;
&lt;!-- Facebook sharing information tags --&gt;
&lt;p&gt;&lt;/p&gt;
&lt;table border="0" cellpadding="0" cellspacing="0" width="100%"&gt;
&lt;tbody&gt;
&lt;tr&gt;
&lt;td align="center" valign="top"&gt;
&lt;!-- // Begin Template Preheader \ --&gt;&lt;!-- // End Template Preheader \ --&gt;
&lt;table border="0" cellpadding="0" cellspacing="0" width="716"&gt;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0028/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26 de Outubro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s | Mês de Novembr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de Finados no dia &lt;strong&gt;02 de novembro&lt;/strong&gt;, e do &lt;br/&gt;Feriado da Proclamação da República, no dia&lt;strong&gt; 15 de novembro,​​&lt;/strong&gt;informamos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 -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 Sem expediente&lt;br/&gt;Vazios - Normal&lt;br/&gt;PTI - Sem expediente&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Sem Expediente&lt;br/&gt;&lt;br/&gt;&lt;strong&gt;Atendimento:&lt;/strong&gt;&lt;br/&gt;&lt;br/&gt;Sem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</si>
  <si>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https://wilsonsonstrg.zendesk.com/api/v2/help_center/pt-br/articles/20671333162509.json</t>
  </si>
  <si>
    <t>https://atendimento.teconline.com.br/hc/pt-br/articles/20671333162509-24-10-2023-Novo-Procedimento-Solicita%C3%A7%C3%A3o-de-Retirada-via-Barca%C3%A7a</t>
  </si>
  <si>
    <t>24/10/2023 - [Novo Procedimento] - Solicitação de Retirada via Barcaça</t>
  </si>
  <si>
    <t>['01GXBBVV4KCAK35JQ2KGFJHCQK', '01HDH17M8HX78DCB69GQMVSWYQ', '01HDH17QYY07QDHJV8DYYZC03C', '01HDH17VD7QMGV2T4FPD0RBB2H', '01HDH17XYQ76V35G2BK04G2ZQ3', '01HDH184F5DNTPKSCYC1Y6Z34S']</t>
  </si>
  <si>
    <t>['barcaça', 'Solicitação de Retirada via Barcaça', 'Chata']</t>
  </si>
  <si>
    <t>&lt;p&gt;&lt;/p&gt;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0027/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24 de Outubro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sans-serif"&gt;&lt;span&gt;&lt;strong&gt;Solicitação de Retirada via Barcaça&lt;/strong&gt;&lt;/span&gt;&lt;/font&gt;&lt;/p&gt;
&lt;hr/&gt;​&lt;br/&gt;&lt;span&gt;&lt;span&gt;Com o propósito de trazer mais &lt;strong&gt;agilidade&lt;/strong&gt; e &lt;strong&gt;eficiência&lt;/strong&gt; aos procedimentos do terminal, concluímos mais uma etapa no ​​​​​&lt;br/&gt;nosso processo de &lt;strong&gt;digitalização&lt;/strong&gt;.&lt;br/&gt;&lt;br/&gt;Informamos que a partir do dia&lt;strong&gt; 06/11/2023&lt;/strong&gt;, o processo de &lt;strong&gt;solicitação de retirada de container via barcaça&lt;/strong&gt; e &lt;strong&gt;envio dos documentos&lt;/strong&gt;, passará a ser realizado por meio do ​​​​​&lt;strong&gt;Teconline&lt;/strong&gt;,&lt;br/&gt;onde também será possível realizar o acompanhamento desta solicitação.&lt;br/&gt;&lt;br/&gt;Acompanhe o passo a passo no &lt;strong&gt;manual&lt;/strong&gt; abaixo:&lt;br/&gt;&lt;br/&gt;&lt;a href="https://go.pardot.com/e/845693/-pt-br-articles-20472573985293/pyt3w9/1398910793/h/aa3uI8794CJs_W765j5KuU8SFO1JW8U-koBeubwYDjo"&gt;Liberação Documental Barcaça&lt;/a&gt;&lt;br/&gt;&lt;br/&gt;Em caso de dúvidas, gentileza entrar em contato por meio dos&lt;br/&gt;nossos Canais de Atendimento.&lt;/span&gt;&lt;/span&gt;&lt;br/&gt;&lt;br/&gt;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</si>
  <si>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https://wilsonsonstrg.zendesk.com/api/v2/help_center/pt-br/articles/20472573985293.json</t>
  </si>
  <si>
    <t>https://atendimento.teconline.com.br/hc/pt-br/articles/20472573985293-Libera%C3%A7%C3%A3o-Documental-Barca%C3%A7a</t>
  </si>
  <si>
    <t>Liberação Documental Barcaça</t>
  </si>
  <si>
    <t>&lt;p&gt;Neste artigo você aprenderá as seguintes funções:&lt;/p&gt;
&lt;ol&gt;
&lt;li&gt;&lt;span&gt;&lt;a href="https://atendimento.teconline.com.br/hc/pt-br/articles/20472573985293#:~:text=Consulta%20dos%20Processos"&gt;Consultar os Processos&lt;/a&gt;&lt;/span&gt;&lt;/li&gt;
&lt;li&gt;&lt;span&gt;&lt;a href="https://atendimento.teconline.com.br/hc/pt-br/articles/20472573985293#:~:text=da%20libera%C3%A7%C3%A3o%20documental-,Solicita%C3%A7%C3%A3o%20de%20Retirada%20via%20Barca%C3%A7a,-Para%20realizar%20o"&gt;Solicitar a Liberação Documental Barcaça&lt;/a&gt;&lt;/span&gt;&lt;/li&gt;
&lt;li&gt;&lt;span&gt;&lt;a href="https://atendimento.teconline.com.br/hc/pt-br/articles/20472573985293#:~:text=s)%20container(s)-,Verificar%20os%20Status%20das%20Libera%C3%A7%C3%B5es,-Importa%C3%A7%C3%A3o%20Pendente%3A"&gt;Verificar os Status das Liberações&lt;/a&gt;&lt;/span&gt;&lt;/li&gt;
&lt;li&gt;&lt;span&gt;&lt;a href="https://atendimento.teconline.com.br/hc/pt-br/articles/20472573985293#:~:text=Cancelado%3A%20Solicita%C3%A7%C3%A3o%20cancelada-,Fun%C3%A7%C3%B5es%20dos%20Bot%C3%B5es,-Acompanhamento%20de%20Processo"&gt;Funções dos Botões&lt;/a&gt;&lt;/span&gt;&lt;/li&gt;
&lt;/ol&gt;
&lt;p&gt; &lt;/p&gt;
&lt;p&gt;&lt;span&gt;Link da opção&lt;/span&gt;&lt;span&gt;&lt;span&gt;:&lt;/span&gt; &lt;a href="http://www.teconline.com.br"&gt;Clique aqui.&lt;/a&gt;&lt;/span&gt;&lt;/p&gt;
&lt;p&gt;&lt;span&gt;&lt;img height="336" src="https://atendimento.teconline.com.br/hc/article_attachments/20470143167501" width="696"/&gt;&lt;/span&gt;&lt;/p&gt;
&lt;p&gt;&lt;span&gt;&lt;img height="334" src="https://atendimento.teconline.com.br/hc/article_attachments/20467038189197" width="694"/&gt;&lt;/span&gt;&lt;/p&gt;
&lt;p&gt;&lt;strong&gt;Consulta dos Processos&lt;/strong&gt;&lt;/p&gt;
&lt;p&gt;&lt;img src="https://atendimento.teconline.com.br/hc/article_attachments/20474968958861"/&gt;&lt;/p&gt;
&lt;p&gt; &lt;/p&gt;
&lt;p&gt; &lt;/p&gt;
&lt;p&gt;&lt;span&gt;Documento de Despacho:&lt;/span&gt;&lt;span&gt; &lt;/span&gt;Número da DI / DTA utilizada na&lt;span&gt; &lt;/span&gt;&lt;a href="https://atendimento.teconline.com.br/hc/pt-br/articles/360033810571-Libera%C3%A7%C3%A3o-DI-e-DTA" target="_blank"&gt;Averbação&lt;/a&gt;&lt;/p&gt;
&lt;p&gt;&lt;span&gt;Operação:&lt;/span&gt; Viagem do Navio de Descarga&lt;/p&gt;
&lt;p&gt;&lt;span&gt;Período:&lt;/span&gt;&lt;span&gt; &lt;/span&gt;Datas para pesquisas&lt;/p&gt;
&lt;p&gt;&lt;span&gt;Situação:&lt;/span&gt;&lt;span&gt; &lt;/span&gt;Status da liberação documental&lt;/p&gt;
&lt;p&gt; &lt;/p&gt;
&lt;p&gt;&lt;strong&gt;Solicitação de Retirada via Barcaça&lt;/strong&gt;&lt;/p&gt;
&lt;p&gt;Para realizar o acompanhamento do processo, utilizar o botão&lt;img src="https://atendimento.teconline.com.br/hc/article_attachments/20471517056781"/&gt;&lt;/p&gt;
&lt;p&gt; &lt;/p&gt;
&lt;p&gt;Para consultar os detalhes do seu processo, bem como realizar uma solicitação de retirada via barcaça, utilizar o ícone &lt;img src="https://atendimento.teconline.com.br/hc/article_attachments/20471601064589"/&gt;.&lt;/p&gt;
&lt;p&gt; &lt;/p&gt;
&lt;p&gt;&lt;img src="https://atendimento.teconline.com.br/hc/article_attachments/20472358849549"/&gt;&lt;/p&gt;
&lt;p&gt;&lt;span&gt;Observações:&lt;/span&gt;&lt;/p&gt;
&lt;p&gt;1 - Ao selecionar a opção "Marcar Todos Barcaça", você conseguirá selecionar todas os containers do processo.&lt;/p&gt;
&lt;p&gt;2 - Caso opte por solicitar o cancelamento da solicitação de retirada via barcaça, selecione a opção &lt;img src="https://atendimento.teconline.com.br/hc/article_attachments/20475286078733"/&gt;, onde você será direcionado para informar a transportadora responsável pela retirada do(s) container(s)&lt;/p&gt;
&lt;p&gt; &lt;/p&gt;
&lt;p&gt;&lt;strong&gt;Verificar os Status das Liberações&lt;/strong&gt;&lt;/p&gt;
&lt;p&gt; &lt;/p&gt;
&lt;p&gt;&lt;strong&gt;&lt;img src="https://atendimento.teconline.com.br/hc/article_attachments/20472659036429"/&gt;&lt;/strong&gt;&lt;/p&gt;
&lt;p&gt; &lt;/p&gt;
&lt;p&gt;&lt;span&gt;Importação Pendente:&lt;/span&gt; Aguardando Importação do SISCARGA.&lt;/p&gt;
&lt;p&gt;&lt;span&gt;Aguardando Solicitação:&lt;/span&gt;&lt;span&gt; &lt;/span&gt;Unidade posicionada e aguardando solicitação de liberação de saída via Barcaça&lt;/p&gt;
&lt;p&gt;&lt;span&gt;Aguardando Documentos:&lt;/span&gt;&lt;span&gt; &lt;/span&gt;Processo Averbado aguardando envio dos arquivos&lt;/p&gt;
&lt;p&gt;&lt;span&gt;Aguardando Barcaça:&lt;/span&gt; Aguardando a inserção da barcaça para embarque &lt;/p&gt;
&lt;p&gt;&lt;span&gt;Em Análise:&lt;/span&gt;&lt;span&gt; &lt;/span&gt;Aguardando verificação interna e liberação documental&lt;/p&gt;
&lt;p&gt;&lt;span&gt;Pendência Documental:&lt;/span&gt; Necessita de retificação d documento enviado&lt;/p&gt;
&lt;p&gt;&lt;span&gt;Liberado:&lt;/span&gt;&lt;span&gt; &lt;/span&gt;Documental liberado&lt;/p&gt;
&lt;p&gt;&lt;span&gt;Averbação Pendente:&lt;/span&gt;&lt;span&gt; &lt;/span&gt;Aguarda processo de Averbação&lt;/p&gt;
&lt;p&gt;&lt;span&gt;Cancelado:&lt;/span&gt; Solicitação cancelada&lt;/p&gt;
&lt;p&gt; &lt;/p&gt;
&lt;p&gt;&lt;strong&gt;Funções dos Botões&lt;/strong&gt;&lt;/p&gt;
&lt;p&gt; &lt;/p&gt;
&lt;p&gt;&lt;strong&gt;&lt;img src="https://atendimento.teconline.com.br/hc/article_attachments/20475345273869"/&gt;&lt;/strong&gt;&lt;span&gt;Acompanhamento de Processo&lt;/span&gt;&lt;span&gt; &lt;/span&gt;- Possibilita o acompanhamento de processo.&lt;/p&gt;
&lt;p&gt;&lt;strong&gt;&lt;img src="https://atendimento.teconline.com.br/hc/article_attachments/20475345286285"/&gt;&lt;/strong&gt;&lt;span&gt;Abrir Detalhes&lt;/span&gt;&lt;span&gt; &lt;/span&gt;- Possibilita a visualização detalhada da solicitação de desova direto para o caminhão.&lt;/p&gt;
&lt;p&gt;&lt;img src="https://atendimento.teconline.com.br/hc/article_attachments/20475699443853"/&gt;&lt;span&gt;Importação Pendente&lt;/span&gt; - Aguardando Importação do SISCARGA.&lt;/p&gt;
&lt;p&gt;&lt;img src="https://atendimento.teconline.com.br/hc/article_attachments/20475345294093"/&gt;&lt;span&gt;Cancelar&lt;/span&gt;&lt;span&gt; &lt;/span&gt;- Possibilita o cancelamento da solicitação.&lt;/p&gt;
&lt;p&gt; &lt;/p&gt;
&lt;p&gt;&lt;strong&gt;Imagens operacionalizando&lt;/strong&gt;&lt;/p&gt;
&lt;p&gt; &lt;/p&gt;
&lt;p&gt;&lt;strong&gt;&lt;img height="419" src="https://atendimento.teconline.com.br/hc/article_attachments/20525990698509" width="744"/&gt;&lt;/strong&gt;&lt;/p&gt;
&lt;p&gt; &lt;/p&gt;
&lt;p&gt; &lt;/p&gt;
&lt;p&gt; &lt;/p&gt;</t>
  </si>
  <si>
    <t>https://wilsonsonstrg.zendesk.com/api/v2/help_center/pt-br/articles/20169865795085.json</t>
  </si>
  <si>
    <t>https://atendimento.teconline.com.br/hc/pt-br/articles/20169865795085-06-10-2023-Hor%C3%A1rio-Especial-Tecon-Rio-Grande-Comunica</t>
  </si>
  <si>
    <t>Richard Almeida</t>
  </si>
  <si>
    <t>06/10/2023 - [Horário Especial] - Tecon Rio Grande Comunica</t>
  </si>
  <si>
    <t>['feriado', 'nossa senhora aparecida', 'vagas no feriado', 'feriado do dia 12', 'entrega de carga no feriado', 'retirada de container no feriado', '12 de outubro', 'feriado de outubro']</t>
  </si>
  <si>
    <t>&lt;p&gt;&lt;a href="https://go.pardot.com/webmail/845693/1377170408/52942055beae62feebe422db73ef899aeecc71aefe5ed381e11b6b7dd4e47520" target="_blank"&gt;&lt;img src="https://atendimento.teconline.com.br/hc/article_attachments/20169711619341"/&gt;&lt;/a&gt;&lt;/p&gt;
&lt;p&gt;&lt;a href="https://go.pardot.com/webmail/845693/1377170408/52942055beae62feebe422db73ef899aeecc71aefe5ed381e11b6b7dd4e47520" target="_blank"&gt;&lt;img src="https://atendimento.teconline.com.br/hc/article_attachments/20169747270925"/&gt;&lt;/a&gt;&lt;/p&gt;
&lt;p&gt;&lt;a href="https://go.pardot.com/webmail/845693/1377170408/52942055beae62feebe422db73ef899aeecc71aefe5ed381e11b6b7dd4e47520" target="_blank"&gt;&lt;img src="https://atendimento.teconline.com.br/hc/article_attachments/20169735859981"/&gt;&lt;/a&gt;&lt;/p&gt;
&lt;p&gt; &lt;/p&gt;</t>
  </si>
  <si>
    <t>https://wilsonsonstrg.zendesk.com/api/v2/help_center/pt-br/articles/19750990892173.json</t>
  </si>
  <si>
    <t>https://atendimento.teconline.com.br/hc/pt-br/articles/19750990892173-22-09-2023-Novo-Procedimento-Solicita%C3%A7%C3%A3o-de-Desova-Direto-para-Caminh%C3%A3o</t>
  </si>
  <si>
    <t>22/09/2023 - [Novo Procedimento] - Solicitação de Desova Direto para Caminhão</t>
  </si>
  <si>
    <t>['01H0NPK2X1DJVSBCSB7F18XY6E', '01H32JT9HQS6WJFWMED6MR765G', '01HAYPPN6RK6YCF7EJ8E6YF31N', '01HAYPPWZWH7Q41PS28JY93ME3']</t>
  </si>
  <si>
    <t>['caminhão', 'retirada', 'desova', 'carga', 'desova direto para o caminhão']</t>
  </si>
  <si>
    <t>&lt;p&gt; &lt;/p&gt;
&lt;p&gt; &lt;/p&gt;
&lt;p&gt;&lt;/p&gt;
&lt;!-- Facebook sharing information tags --&gt;
&lt;p&gt;&lt;/p&gt;
&lt;table border="0" cellpadding="0" cellspacing="0" width="100%"&gt;
&lt;tbody&gt;
&lt;tr&gt;
&lt;td align="center" valign="top"&gt;
&lt;!-- // Begin Template Preheader \ --&gt;&lt;!--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0024/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22 de Setembro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&lt;p&gt;&lt;font face="Arial, Helvetica, sans-serif"&gt;&lt;span&gt;&lt;strong&gt;Solicitação de Desova Direto para Caminhão&lt;/strong&gt;&lt;/span&gt;&lt;/font&gt;&lt;/p&gt;
&lt;hr/&gt;​&lt;br/&gt;&lt;span&gt;&lt;span&gt;Com o propósito de trazer mais &lt;strong&gt;agilidade&lt;/strong&gt; e &lt;strong&gt;eficiência&lt;/strong&gt; aos procedimentos do terminal, concluímos mais uma etapa no ​​​​​&lt;br/&gt;nosso processo de &lt;strong&gt;digitalização&lt;/strong&gt;.&lt;br/&gt;&lt;br/&gt;Informamos que a partir do dia&lt;strong&gt; 25/09/2023&lt;/strong&gt;, o processo de solicitação de desova direto para caminhão e envio dos documentos, passará a ser realizado por meio do ​​​​​&lt;strong&gt;Teconline&lt;/strong&gt;, onde também será possível realizar o acompanhamento desta solicitação.&lt;br/&gt;&lt;br/&gt;Acompanhe o passo a passo no &lt;strong&gt;manual&lt;/strong&gt; abaixo:&lt;br/&gt;&lt;br/&gt;&lt;a href="https://go.pardot.com/e/845693/sova-direto-para-o-caminhC3A3o/pxt8kp/1360959377?h=DP6UcozFoFJ95j8O9Hcv25oDA9MjN_UBNn48Spd9ux0"&gt;Solicitação Desova Direto para Caminhão&lt;/a&gt;&lt;br/&gt;&lt;br/&gt;Em caso de dúvidas, gentileza entrar em contato por meio dos&lt;br/&gt;nossos Canais de Atendimento.&lt;/span&gt;&lt;/span&gt;&lt;br/&gt;&lt;br/&gt;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 // Begin Template Footer \ --&gt;
&lt;table border="0" cellpadding="10" cellspacing="0" width="600"&gt;
&lt;tbody&gt;
&lt;tr&gt;
&lt;td valign="top"&gt;
&lt;!-- // Begin Module: Standard Footer \ --&gt;
&lt;table border="0" cellpadding="10" cellspacing="0" width="100%"&gt;
&lt;tbody&gt;
&lt;tr&gt;
&lt;td colspan="2" valign="middle"&gt; &lt;/td&gt;
&lt;/tr&gt;
&lt;tr&gt;
&lt;td valign="top"&gt; &lt;/td&gt;
&lt;/tr&gt;
&lt;tr&gt;
&lt;td colspan="2" valign="middle"&gt; &lt;/td&gt;
&lt;/tr&gt;
&lt;/tbody&gt;
&lt;/table&gt;
&lt;!-- // End Module: Standard Footer \ --&gt;
&lt;/td&gt;
&lt;/tr&gt;
&lt;/tbody&gt;
&lt;/table&gt;
&lt;!-- // End Template Footer \ --&gt;
&lt;/td&gt;
&lt;/tr&gt;
&lt;/tbody&gt;
&lt;/table&gt;
&lt;/td&gt;
&lt;/tr&gt;
&lt;/tbody&gt;
&lt;/table&gt;
&lt;!--
          This email was originally designed by the wonderful folks at MailChimp and remixed by Pardot.
          It is licensed under CC BY-SA 3.0
        --&gt;
&lt;p&gt;
&lt;/p&gt;</t>
  </si>
  <si>
    <t>https://wilsonsonstrg.zendesk.com/api/v2/help_center/pt-br/articles/19539846987149.json</t>
  </si>
  <si>
    <t>https://atendimento.teconline.com.br/hc/pt-br/articles/19539846987149-15-09-2023-Comunicado-Importante-Opera%C3%A7%C3%A3o-de-Gate-e-Teconline</t>
  </si>
  <si>
    <t>15/09/2023 - [Comunicado Importante] Operação de Gate e Teconline</t>
  </si>
  <si>
    <t>['01H1VJZ6SZ8D3GG1DY9JZ0JSX0', '01H5A915Z8VKN3BQ6ED05QW9DP', '01HAD8DJAPGJ70W740Z8B6CAJR', '01HAD8DQEG56FNWCW8C29M3WNY']</t>
  </si>
  <si>
    <t>&lt;p&gt; &lt;/p&gt;
&lt;p&gt; &lt;/p&gt;
&lt;p&gt;&lt;/p&gt;
&lt;!-- Facebook sharing information tags --&gt;
&lt;p&gt;&lt;/p&gt;
&lt;table border="0" cellpadding="0" cellspacing="0" width="100%"&gt;
&lt;tbody&gt;
&lt;tr&gt;
&lt;td align="center" valign="top"&gt;
&lt;!-- // Begin Template Preheader \ --&gt;&lt;!--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0023/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15 de Setembro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&lt;p&gt;&lt;span&gt;&lt;span&gt;&lt;strong&gt;&lt;span&gt;&lt;font&gt;&lt;font&gt;&lt;font&gt;&lt;font&gt;Operação de Gate e Teconline&lt;/font&gt;&lt;/font&gt;&lt;/font&gt;&lt;/font&gt;&lt;/span&gt;&lt;/strong&gt;&lt;/span&gt;&lt;/span&gt;&lt;/p&gt;
&lt;hr/&gt;
&lt;p&gt;&lt;span&gt;&lt;span&gt;Informamos que entre as 19h do dia &lt;strong&gt;16/09/2023&lt;/strong&gt; e as 8h do dia &lt;strong&gt;17/09/2023&lt;/strong&gt;, não haverá &lt;strong&gt;operação de gate&lt;/strong&gt; no terminal.&lt;br/&gt;&lt;br/&gt;Neste mesmo período, estaremos com o site &lt;strong&gt;Teconline&lt;/strong&gt; inoperante, retornando normalmente no dia 17/09/2023. ​​​​&lt;/span&gt;&lt;/span&gt;&lt;br/&gt;&lt;br/&gt;&lt;span&gt;&lt;span&gt;​​​​​Em caso de dúvidas, favor entrar em contato por meio de nosso Canal de Atendimento.&lt;/span&gt;&lt;/span&gt;​​&lt;br/&gt;&lt;span&gt;&lt;span&gt;&lt;span&gt;&lt;font&gt;&lt;font&gt;&lt;font&gt;&lt;font&gt;​​​​&lt;/font&gt;&lt;/font&gt;&lt;/font&gt;&lt;/font&gt;&lt;/span&gt;&lt;/span&gt;&lt;/span&gt;&lt;/p&gt;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&lt;/td&gt;
&lt;/tr&gt;
&lt;/tbody&gt;
&lt;/table&gt;
&lt;/td&gt;
&lt;/tr&gt;
&lt;tr&gt;
&lt;td align="center" valign="top"&gt;
&lt;table border="0" cellpadding="10" cellspacing="0" width="600"&gt;
&lt;tbody&gt;
&lt;tr&gt;
&lt;td valign="top"&gt; &lt;/td&gt;
&lt;/tr&gt;
&lt;/tbody&gt;
&lt;/table&gt;
&lt;!-- // End Template Footer \ --&gt;
&lt;/td&gt;
&lt;/tr&gt;
&lt;/tbody&gt;
&lt;/table&gt;
&lt;/td&gt;
&lt;/tr&gt;
&lt;/tbody&gt;
&lt;/table&gt;
&lt;!--
          This email was originally designed by the wonderful folks at MailChimp and remixed by Pardot.
          It is licensed under CC BY-SA 3.0
        --&gt;
&lt;p&gt;
&lt;/p&gt;</t>
  </si>
  <si>
    <t>https://wilsonsonstrg.zendesk.com/api/v2/help_center/pt-br/articles/19208038855565.json</t>
  </si>
  <si>
    <t>https://atendimento.teconline.com.br/hc/pt-br/articles/19208038855565-Desova-direto-para-o-caminh%C3%A3o</t>
  </si>
  <si>
    <t>Desova direto para o caminhão</t>
  </si>
  <si>
    <t>&lt;p&gt;Neste artigo você aprenderá as seguintes funções:&lt;/p&gt;
&lt;ol&gt;
&lt;li&gt;&lt;span&gt;&lt;a href="https://atendimento.teconline.com.br/hc/pt-br/articles/19208038855565#:~:text=Fun%C3%A7%C3%B5es%20dos%20Bot%C3%B5es-,Solicita%C3%A7%C3%A3o%20de%20Desova,-Link%20da%20op%C3%A7%C3%A3o"&gt;Solicitação de Desova&lt;/a&gt;&lt;/span&gt;&lt;/li&gt;
&lt;li&gt;&lt;span&gt;&lt;a href="https://atendimento.teconline.com.br/hc/pt-br/articles/19208038855565#:~:text=Enviar%20para%20An%C3%A1lise-,Consulta%20da%20Solicita%C3%A7%C3%A3o%20de%20Desova,-1%20%2D%20Clique%20no"&gt;Consulta da Solicitação de Desova&lt;/a&gt;&lt;/span&gt;&lt;/li&gt;
&lt;li&gt;&lt;span&gt;&lt;a href="https://atendimento.teconline.com.br/hc/pt-br/articles/19208038855565#:~:text=detalhamento%20da%20solicita%C3%A7%C3%A3o-,Status%20da%20Solicita%C3%A7%C3%A3o,-Libera%C3%A7%C3%A3o%20Importa%C3%A7%C3%A3o%20Pendente"&gt;Status da Solicitação&lt;/a&gt;&lt;/span&gt;&lt;/li&gt;
&lt;li&gt;&lt;span&gt;&lt;a href="https://atendimento.teconline.com.br/hc/pt-br/articles/19208038855565#:~:text=poss%C3%ADvel%20criar%20outra.-,Detalhamento%20da%20Solicita%C3%A7%C3%A3o,-Fun%C3%A7%C3%B5es%20dos%20Bot%C3%B5es"&gt;Detalhamento da Solicitação&lt;/a&gt;&lt;/span&gt;&lt;/li&gt;
&lt;li&gt;&lt;span&gt;&lt;a href="https://atendimento.teconline.com.br/hc/pt-br/articles/19208038855565#:~:text=Detalhamento%20da%20Solicita%C3%A7%C3%A3o-,Fun%C3%A7%C3%B5es%20dos%20Bot%C3%B5es,-Solicitar%20Desova%20%2D%20Possibilita"&gt;Funções dos Botões&lt;/a&gt;&lt;/span&gt;&lt;/li&gt;
&lt;/ol&gt;
&lt;p&gt; &lt;/p&gt;
&lt;p&gt;&lt;strong&gt;Solicitação de Desova&lt;/strong&gt;&lt;/p&gt;
&lt;p&gt;Link da opção: Clique aqui&lt;/p&gt;
&lt;p&gt;&lt;strong&gt;&lt;img src="https://atendimento.teconline.com.br/hc/article_attachments/19204661769869"/&gt;&lt;/strong&gt;&lt;/p&gt;
&lt;p&gt; &lt;/p&gt;
&lt;p&gt;1 - Clicar em "Nova Solicitação"&lt;/p&gt;
&lt;p&gt;&lt;img src="https://atendimento.teconline.com.br/hc/article_attachments/19204700357133"/&gt;&lt;/p&gt;
&lt;p&gt;2. Inserção dos dados&lt;/p&gt;
&lt;p&gt;&lt;img src="https://atendimento.teconline.com.br/hc/article_attachments/19205271687309"/&gt;&lt;/p&gt;
&lt;p&gt;3 -  Inserir documentos&lt;/p&gt;
&lt;p&gt;&lt;img src="https://atendimento.teconline.com.br/hc/article_attachments/19205409652365"/&gt;&lt;/p&gt;
&lt;p&gt;4 - Inserção dos containers&lt;/p&gt;
&lt;p&gt;&lt;img src="https://atendimento.teconline.com.br/hc/article_attachments/19205576904077"/&gt;&lt;/p&gt;
&lt;p&gt; &lt;/p&gt;
&lt;p&gt;5 - Enviar para Análise&lt;/p&gt;
&lt;p&gt; &lt;/p&gt;
&lt;p&gt;&lt;strong&gt;Consulta da Solicitação de Desova&lt;/strong&gt;&lt;/p&gt;
&lt;p&gt; &lt;/p&gt;
&lt;p&gt;1 - Clique no botão "Mais Filtros" para expansão de possibilidade de consultas&lt;/p&gt;
&lt;p&gt; &lt;/p&gt;
&lt;p&gt;Link da opção: Clique aqui&lt;/p&gt;
&lt;p&gt;&lt;strong&gt;&lt;img src="https://atendimento.teconline.com.br/hc/article_attachments/19206158872333"/&gt;&lt;/strong&gt;&lt;/p&gt;
&lt;p&gt;&lt;span&gt;Mais Filtros:&lt;/span&gt; Disponibiliza mais campos para realização da consulta.&lt;/p&gt;
&lt;p&gt; &lt;/p&gt;
&lt;p&gt;2 - Adiciona uma das informações solicitadas para consulta&lt;/p&gt;
&lt;p&gt;&lt;img src="https://atendimento.teconline.com.br/hc/article_attachments/19206374064013"/&gt;&lt;/p&gt;
&lt;p&gt;&lt;span&gt;BL/ Documento de Despacho:&lt;/span&gt; Informe o número do BL ou do Documentos de Despacho (DI/DTA)&lt;/p&gt;
&lt;p&gt;&lt;span&gt;Data da Consulta:&lt;/span&gt; Informe a data em que a desova foi solicitada&lt;/p&gt;
&lt;p&gt;&lt;span&gt;Data do Agendamento:&lt;/span&gt; Informe a data em que a desova foi agendada&lt;/p&gt;
&lt;p&gt;&lt;span&gt;Operação:&lt;/span&gt; Informe a operação do navio da qual o container foi descarregado&lt;/p&gt;
&lt;p&gt;&lt;span&gt;Cliente:&lt;/span&gt; Informe o cliente do processo&lt;/p&gt;
&lt;p&gt;&lt;span&gt;Núm Container:&lt;/span&gt; Informe o número do container&lt;/p&gt;
&lt;p&gt;&lt;span&gt;Status:&lt;/span&gt; Informe o status da solicitação&lt;/p&gt;
&lt;p&gt;Observação: É obrigatório ter no mínimo um dos campos preenchidos para realização da consulta.&lt;/p&gt;
&lt;p&gt; &lt;/p&gt;
&lt;p&gt;3 - Detalhamento da Solicitação&lt;/p&gt;
&lt;p&gt;&lt;img src="https://atendimento.teconline.com.br/hc/article_attachments/19207826348685"/&gt;&lt;/p&gt;
&lt;p&gt;&lt;span&gt;Detalhes:&lt;/span&gt; Disponibiliza o detalhamento da solicitação&lt;/p&gt;
&lt;p&gt; &lt;/p&gt;
&lt;p&gt;&lt;strong&gt;Status da Solicitação&lt;/strong&gt;&lt;/p&gt;
&lt;p&gt; &lt;/p&gt;
&lt;p&gt;&lt;img src="https://atendimento.teconline.com.br/hc/article_attachments/19736015290253"/&gt;&lt;/p&gt;
&lt;p&gt;Liberação Importação Pendente = Não há nenhuma liberação documental no sistema, mas é possível solicitar a desova&lt;/p&gt;
&lt;p&gt;Não Solicitado = Indica que foi encontrada a liberação documental, mas não há nenhuma solicitação de desova realizada.&lt;/p&gt;
&lt;p&gt;Em Analise - Indica que o processo está em análise pelo time do armazém.&lt;/p&gt;
&lt;p&gt;Aguardando Mais Informações - Indica que há alguma pendência nos anexos ou foi adicionada uma observação ao container.&lt;/p&gt;
&lt;p&gt;Reprovado - Indica que não é possível realizar a desova solicitada.&lt;/p&gt;
&lt;p&gt;Liberado para Agendamento - Indica que a solicitação de desova foi liberada por nosso time do armazém e o agendamento já pode ser realizado.&lt;/p&gt;
&lt;p&gt;Agendado - Indica que o agendamento foi realizado.&lt;/p&gt;
&lt;p&gt;Atendido - Container entregue e serviço concluído ou o documento já se encontra com status Finalizado.&lt;/p&gt;
&lt;p&gt;Cancelado - Há uma solicitação de desova cancelada, é possível criar outra.&lt;/p&gt;
&lt;p&gt; &lt;/p&gt;
&lt;p&gt;&lt;strong&gt;Detalhamento da Solicitação&lt;/strong&gt;&lt;/p&gt;
&lt;p&gt;&lt;strong&gt;&lt;img src="https://atendimento.teconline.com.br/hc/article_attachments/19735772264973"/&gt;&lt;/strong&gt;&lt;/p&gt;
&lt;p&gt; &lt;/p&gt;
&lt;p&gt;&lt;strong&gt;Funções dos Botões&lt;/strong&gt;&lt;/p&gt;
&lt;p&gt; &lt;/p&gt;
&lt;p&gt;&lt;strong&gt;&lt;img src="https://atendimento.teconline.com.br/hc/article_attachments/19735381815181"/&gt;&lt;/strong&gt;&lt;span&gt;Solicitar Desova&lt;/span&gt; - Possibilita a solicitação da desova direto para o caminhão.&lt;/p&gt;
&lt;p&gt;&lt;strong&gt;&lt;img src="https://atendimento.teconline.com.br/hc/article_attachments/19735430027405"/&gt;&lt;/strong&gt;&lt;span&gt;Acompanhamento de Processo&lt;/span&gt; - Possibilita o acompanhamento de processo.&lt;/p&gt;
&lt;p&gt;&lt;strong&gt;&lt;img src="https://atendimento.teconline.com.br/hc/article_attachments/19735386839821"/&gt;&lt;/strong&gt;&lt;span&gt;Abrir Detalhes&lt;/span&gt; - Possibilita a visualização detalhada da solicitação de desova direto para o caminhão.&lt;/p&gt;
&lt;p&gt;&lt;img src="https://atendimento.teconline.com.br/hc/article_attachments/19735403777677"/&gt;&lt;span&gt;Cancelar&lt;/span&gt; - Possibilita o cancelamento da solicitação.&lt;/p&gt;
&lt;p&gt; &lt;/p&gt;
&lt;p&gt; &lt;/p&gt;
&lt;p&gt;&lt;strong&gt;Imagens operacionalizando&lt;/strong&gt;&lt;/p&gt;
&lt;p&gt;&lt;img alt="Vídeo sem título ‐ Feito com o Clipchamp (9).gif" height="389" src="https://atendimento.teconline.com.br/hc/article_attachments/19736948157709" width="690"/&gt;&lt;/p&gt;
&lt;p&gt; &lt;/p&gt;
&lt;p&gt; &lt;/p&gt;
&lt;p&gt; &lt;/p&gt;</t>
  </si>
  <si>
    <t>https://wilsonsonstrg.zendesk.com/api/v2/help_center/pt-br/articles/18983478092813.json</t>
  </si>
  <si>
    <t>https://atendimento.teconline.com.br/hc/pt-br/articles/18983478092813-29-08-2023-Comunicado-Importante-Hor%C3%A1rio-Especial</t>
  </si>
  <si>
    <t>29/08/2023 - [Comunicado Importante] Horário Especial</t>
  </si>
  <si>
    <t>['01GPY217SSC5MP9PMEN97RPEVN', '01H1VJZ0K3W26BGAVYDENZ09Y1', '01H32JT9HQS6WJFWMED6MR765G', '01H90WBF1ZWP6K3KC2T8WEYDN3', '01H90WBJBCCZDGRHGT3Y9WHEE4']</t>
  </si>
  <si>
    <t>['feriado', 'independencia do brasil', 'independência', 'funcionamento', 'farroupilha']</t>
  </si>
  <si>
    <t>&lt;p&gt; &lt;/p&gt;
&lt;p&gt; &lt;/p&gt;
&lt;p&gt;&lt;/p&gt;
&lt;!-- Facebook sharing information tags --&gt;
&lt;p&gt;&lt;/p&gt;
&lt;table border="0" cellpadding="0" cellspacing="0" width="100%"&gt;
&lt;tbody&gt;
&lt;tr&gt;
&lt;td align="center" valign="top"&gt;
&lt;!-- // Begin Template Preheader \ --&gt;
&lt;table border="0" cellpadding="10" cellspacing="0" width="600"&gt;
&lt;tbody&gt;
&lt;tr&gt;
&lt;td valign="top"&gt;
&lt;!-- // Begin Module: Standard Preheader  --&gt;
&lt;table border="0" cellpadding="10" cellspacing="0" width="100%"&gt;
&lt;tbody&gt;
&lt;tr&gt;
&lt;td valign="top"&gt; &lt;/td&gt;
&lt;td valign="top"&gt; &lt;/td&gt;
&lt;/tr&gt;
&lt;/tbody&gt;
&lt;/table&gt;
&lt;!-- // End Module: Standard Preheader  --&gt;
&lt;/td&gt;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0022/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29 de Agosto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s em Setembr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Nacional da Independência do Brasil, no dia &lt;strong&gt;07 de setembro,&lt;/strong&gt; e do Feriado Estadual da Revolução Farroupilha, no dia &lt;strong&gt;20 de setembro&lt;/strong&gt;, 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 -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 Sem expediente&lt;br/&gt;Vazios - Normal&lt;br/&gt;PTI - Sem expediente&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Sem Expediente&lt;br/&gt;&lt;br/&gt;&lt;strong&gt;Atendimento:&lt;/strong&gt;&lt;br/&gt;&lt;br/&gt;Sem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</si>
  <si>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https://wilsonsonstrg.zendesk.com/api/v2/help_center/pt-br/articles/17605571493901.json</t>
  </si>
  <si>
    <t>https://atendimento.teconline.com.br/hc/pt-br/articles/17605571493901-06-07-2023-Comunicado-Importante-Scanner-02-Tecon-Rio-Grande</t>
  </si>
  <si>
    <t>06/07/2023 - [Comunicado Importante] Scanner 02 | Tecon Rio Grande</t>
  </si>
  <si>
    <t>['01H5A90ZR2BMP0R031YAXZ1D6A', '01H5A915Z8VKN3BQ6ED05QW9DP']</t>
  </si>
  <si>
    <t>['scanner', 'acesso ao terminal']</t>
  </si>
  <si>
    <t>&lt;p&gt; &lt;/p&gt;
&lt;p&gt; &lt;/p&gt;
&lt;p&gt;&lt;/p&gt;
&lt;!-- Facebook sharing information tags --&gt;
&lt;p&gt;&lt;/p&gt;
&lt;table border="0" cellpadding="0" cellspacing="0" width="100%"&gt;
&lt;tbody&gt;
&lt;tr&gt;
&lt;td align="center" valign="top"&gt;
&lt;table border="0" cellpadding="0" cellspacing="0" width="702"&gt;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0018/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06 de Julho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&lt;p&gt;&lt;font face="Arial, Helvetica, sans-serif"&gt;&lt;span&gt;&lt;strong&gt;Scanner 02 | Tecon Rio Grande&lt;/strong&gt;&lt;/span&gt;&lt;/font&gt;&lt;/p&gt;
&lt;hr/&gt;
&lt;p&gt;&lt;span&gt;&lt;span&gt;Comunicamos que o Scanner 02, que estava inoperante,&lt;br/&gt;encontra-se em &lt;strong&gt;pleno funcionamento&lt;/strong&gt;. Ao ingressarem no terminal, os motoristas poderão acessar ambos os scanners, &lt;strong&gt;o&lt;/strong&gt; &lt;strong&gt;01 ou o 02&lt;/strong&gt;, tornando o acesso mais ágil e sem congestionamentos.&lt;br/&gt;&lt;br/&gt;Em caso de dúvidas, favor entrar em contato por meio de nosso Canal de Atendimento.&lt;/span&gt;&lt;/span&gt;&lt;br/&gt;&lt;span&gt;&lt;span&gt;&lt;span&gt;&lt;font&gt;&lt;font&gt;&lt;font&gt;&lt;font&gt;​​​​&lt;/font&gt;&lt;/font&gt;&lt;/font&gt;&lt;/font&gt;&lt;/span&gt;&lt;/span&gt;&lt;/span&gt;&lt;/p&gt;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</si>
  <si>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https://wilsonsonstrg.zendesk.com/api/v2/help_center/pt-br/articles/17149292259213.json</t>
  </si>
  <si>
    <t>https://atendimento.teconline.com.br/hc/pt-br/articles/17149292259213-28-06-2023-Comunicado-Importante-Hor%C3%A1rio-Especial</t>
  </si>
  <si>
    <t>28/06/2023 - [Comunicado Importante] Horário Especial</t>
  </si>
  <si>
    <t>['agendamento', 'feriado', 'gate', 'feriado de são pedro', '29/06']</t>
  </si>
  <si>
    <t>&lt;p&gt; &lt;/p&gt;
&lt;p&gt; &lt;/p&gt;
&lt;p&gt;&lt;/p&gt;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0015/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28 de Junho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 em Junh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Municipal de São Pedro, no dia &lt;strong&gt;29 de Junho,&lt;/strong&gt; 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 -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 Sem expediente&lt;br/&gt;Vazios - Normal&lt;br/&gt;PTI - Sem expediente&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Sem Expediente&lt;br/&gt;&lt;br/&gt;&lt;strong&gt;Atendimento:&lt;/strong&gt;&lt;br/&gt;&lt;br/&gt;Sem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</si>
  <si>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https://wilsonsonstrg.zendesk.com/api/v2/help_center/pt-br/articles/16818095609869.json</t>
  </si>
  <si>
    <t>https://atendimento.teconline.com.br/hc/pt-br/articles/16818095609869-16-06-2023-Comunicado-Importante-Hor%C3%A1rio-Especial</t>
  </si>
  <si>
    <t>16/06/2023 - [Comunicado Importante] Horário Especial</t>
  </si>
  <si>
    <t>['01GPY217SSC5MP9PMEN97RPEVN', '01H0QAVT32WST32109THK2PZCJ', '01H32JT9HQS6WJFWMED6MR765G']</t>
  </si>
  <si>
    <t>['feriado', 'horários', 'funcionamento', 'são pedro', 'horário']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</si>
  <si>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0015/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16 de Junho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 em Junh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Municipal de São Pedro, no dia &lt;strong&gt;29 de Junho,&lt;/strong&gt; 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 -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 Sem expediente&lt;br/&gt;Vazios - Normal&lt;br/&gt;PTI - Sem expediente&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</si>
  <si>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https://wilsonsonstrg.zendesk.com/api/v2/help_center/pt-br/articles/16417342917901.json</t>
  </si>
  <si>
    <t>https://atendimento.teconline.com.br/hc/pt-br/articles/16417342917901-31-05-23-Comunicado-Importante-Hor%C3%A1rio-Especial</t>
  </si>
  <si>
    <t>31/05/23 - [Comunicado Importante] Horário Especial</t>
  </si>
  <si>
    <t>['01GPY217SSC5MP9PMEN97RPEVN', '01H0QAVT32WST32109THK2PZCJ', '01H25VXNXEC41X4Y4VPZAD1ZSA', '01H25VXTNFYD7NKWVXZ4Y3K441']</t>
  </si>
  <si>
    <t>['feriado', 'corpus christi']</t>
  </si>
  <si>
    <t>&lt;p&gt; &lt;/p&gt;
&lt;p&gt; &lt;/p&gt;
&lt;p&gt;&lt;/p&gt;
&lt;!-- Facebook sharing information tags --&gt;
&lt;p&gt;&lt;/p&gt;
&lt;table border="0" cellpadding="0" cellspacing="0" width="100%"&gt;
&lt;tbody&gt;
&lt;tr&gt;
&lt;td align="center" valign="top"&gt;
&lt;br/&gt;&lt;!--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0014/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31 de Maio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 em Junh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de Corpus Christi, no dia &lt;strong&gt;08 de Junho,&lt;/strong&gt; &lt;br/&gt;informamos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 -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 Sem expediente&lt;br/&gt;Vazios - Normal&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</si>
  <si>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https://wilsonsonstrg.zendesk.com/api/v2/help_center/pt-br/articles/15611721936013.json</t>
  </si>
  <si>
    <t>https://atendimento.teconline.com.br/hc/pt-br/articles/15611721936013-Estufagem-Armaz%C3%A9m</t>
  </si>
  <si>
    <t>Estufagem Armazém</t>
  </si>
  <si>
    <t>['01H0QAVF5TWWXQNCT0RA7NDHEK', '01H0QAVT32WST32109THK2PZCJ']</t>
  </si>
  <si>
    <t>['armazém', 'estufagem', 'estufagem exportacao', 'Armazém Exportação']</t>
  </si>
  <si>
    <t>&lt;p&gt; &lt;/p&gt;
&lt;p&gt;Neste artigo você aprenderá as seguintes funções:&lt;/p&gt;
&lt;ol&gt;
&lt;li&gt;&lt;span&gt;&lt;a href="https://atendimento.teconline.com.br/hc/pt-br/articles/15611721936013#:~:text=Solicita%C3%A7%C3%A3o%20de%20Estufagem" target="_self"&gt;Solicitar Estufagem&lt;/a&gt;&lt;/span&gt;&lt;/li&gt;
&lt;li&gt;&lt;span&gt;&lt;a href="https://atendimento.teconline.com.br/hc/pt-br/articles/15611721936013#:~:text=Acompanhamento%20da%20Solicita%C3%A7%C3%A3o" target="_self"&gt;Acompanhar Solicitação da Estufagem&lt;/a&gt;&lt;/span&gt;&lt;/li&gt;
&lt;li&gt;&lt;span&gt;&lt;a href="https://atendimento.teconline.com.br/hc/pt-br/articles/15611721936013#:~:text=Armaz%C3%A9ns%22%2C%20conforme%20abaixo%3A-,Status%20Estufagem,-Solicitado%3A%20Solicita%C3%A7%C3%A3o" target="_self"&gt;Status Estufagem&lt;/a&gt;&lt;/span&gt;&lt;/li&gt;
&lt;li&gt;&lt;span&gt;&lt;a href="https://atendimento.teconline.com.br/hc/pt-br/articles/15611721936013#:~:text=pelo%20pr%C3%B3prio%20solicitante-,Detalhamento%20da%20Solicita%C3%A7%C3%A3o,-Neste%20campo%20ser%C3%A1" target="_self"&gt;Detalhamento da Solicitação&lt;/a&gt;&lt;/span&gt;&lt;/li&gt;
&lt;li&gt;&lt;span&gt;&lt;a href="https://atendimento.teconline.com.br/hc/pt-br/articles/15611721936013#:~:text=de%20seu%20processo.-,Fun%C3%A7%C3%B5es%20dos%20Bot%C3%B5es,-Utilize%20o%20bot%C3%A3o" target="_self"&gt;Funções dos Botões&lt;/a&gt;&lt;/span&gt;&lt;/li&gt;
&lt;li&gt;&lt;span&gt;&lt;a href="https://atendimento.teconline.com.br/hc/pt-br/articles/15611721936013#:~:text=ficha%20de%20embarque.-,Anexar%20Ficha%20de%20Embarque,-1%20%2D%20Clique%20no" target="_self"&gt;Anexar Ficha de Embarque&lt;/a&gt;&lt;/span&gt;&lt;/li&gt;
&lt;li&gt;&lt;span&gt;&lt;a href="https://atendimento.teconline.com.br/hc/pt-br/articles/15611721936013#:~:text=tela%20de%20consulta.-,Cadastrar%20Ficha%20de%20Embarque%20Manualmente,-1%20%2D%20Localize%20sua" target="_self"&gt;Cadastrar Ficha de Embarque Manualmente&lt;/a&gt;&lt;/span&gt;&lt;/li&gt;
&lt;/ol&gt;
&lt;p&gt; &lt;/p&gt;
&lt;p&gt;&lt;strong&gt;Solicitação de Estufagem&lt;/strong&gt;&lt;/p&gt;
&lt;p&gt;Link da opção: Clique aqui&lt;/p&gt;
&lt;p&gt;&lt;img src="https://atendimento.teconline.com.br/hc/article_attachments/15883552405517"/&gt;&lt;/p&gt;
&lt;p&gt; &lt;/p&gt;
&lt;p&gt;1. Clicar em "Nova Solicitação"&lt;/p&gt;
&lt;p&gt;&lt;img src="https://atendimento.teconline.com.br/hc/article_attachments/15883443486605"/&gt;&lt;/p&gt;
&lt;p&gt; &lt;/p&gt;
&lt;p&gt;2. Inserção dos dados&lt;/p&gt;
&lt;p&gt;&lt;img src="https://atendimento.teconline.com.br/hc/article_attachments/17306326189837"/&gt;&lt;/p&gt;
&lt;p&gt;&lt;span&gt;Booking:&lt;/span&gt; Inserir o número do booking, o sistema irá carregar as demais informações (Operação | Armador | Porto de Descarga | Destino). &lt;/p&gt;
&lt;p&gt;&lt;span&gt;Container(s):&lt;/span&gt; Possibilidade de solicitar a estufagem para um ou mais containers.&lt;/p&gt;
&lt;p&gt;&lt;span&gt;Observação:&lt;/span&gt; Possibilidade de incluir observações sobre a solicitação da coleta.&lt;/p&gt;
&lt;p&gt;&lt;span&gt;Adicionar Anexo:&lt;/span&gt; Possibilidade de inclusão do arquivo de booking liberado pelo armador.&lt;/p&gt;
&lt;p&gt;• Para um "Novo Container"&lt;/p&gt;
&lt;p&gt;&lt;br/&gt;&lt;img src="https://atendimento.teconline.com.br/hc/article_attachments/17306507223693"/&gt;&lt;/p&gt;
&lt;p&gt; &lt;/p&gt;
&lt;p&gt;&lt;img src="https://atendimento.teconline.com.br/hc/article_attachments/15577884566541"/&gt;&lt;/p&gt;
&lt;p&gt; &lt;/p&gt;
&lt;p&gt; &lt;/p&gt;
&lt;p&gt;• Para "Múltiplos containers" (Mais de um container)&lt;/p&gt;
&lt;p&gt;&lt;img src="https://atendimento.teconline.com.br/hc/article_attachments/17306538645133"/&gt;&lt;/p&gt;
&lt;p&gt;&lt;img src="https://atendimento.teconline.com.br/hc/article_attachments/15612924131085"/&gt;&lt;/p&gt;
&lt;p&gt;3. Enviar&lt;/p&gt;
&lt;p&gt;&lt;img src="https://atendimento.teconline.com.br/hc/article_attachments/17306562643085"/&gt;&lt;/p&gt;
&lt;p&gt;&lt;span&gt;Enviar:&lt;/span&gt; Clique em enviar, para realizar a solicitação ao nosso Armazém de Exportação.&lt;/p&gt;
&lt;p&gt; &lt;/p&gt;
&lt;p&gt;&lt;strong&gt;Acompanhamento da Solicitação&lt;/strong&gt;&lt;/p&gt;
&lt;p&gt;Utilizar os filtros disponíveis da tela de "Estufagem Armazéns", conforme abaixo:&lt;/p&gt;
&lt;p&gt;&lt;br/&gt;&lt;br/&gt;&lt;strong&gt;Status Estufagem&lt;/strong&gt;&lt;span&gt;&lt;/span&gt;&lt;/p&gt;
&lt;p&gt;&lt;img src="https://atendimento.teconline.com.br/hc/article_attachments/15610949976077"/&gt;&lt;/p&gt;
&lt;p&gt;&lt;span&gt;Solicitado:&lt;/span&gt; Solicitação realizada&lt;/p&gt;
&lt;p&gt;&lt;span&gt;Divergência na Solicitação:&lt;/span&gt; Indica que há uma divergência a qual precisa ser tratada&lt;br/&gt;&lt;span&gt;Aguardando Ficha de Embarque:&lt;/span&gt; Indica que seu vazio está sendo retirado, e a ficha de embarque pode ser incluída.&lt;/p&gt;
&lt;p&gt;&lt;span&gt;Ficha de Embarque em Análise:&lt;/span&gt; Indica que a ficha de embarque foi recebida e está em análise&lt;/p&gt;
&lt;p&gt;&lt;span&gt;Divergência de Ficha de Embarque:&lt;/span&gt; Indica que há uma divergência na solicitação&lt;/p&gt;
&lt;p&gt;&lt;span&gt;Concluído:&lt;/span&gt; Indica que o processo de solicitação foi concluído&lt;/p&gt;
&lt;p&gt;&lt;span&gt;Cancelado:&lt;/span&gt; Indica que o processo de solicitação foi cancelado pelo próprio solicitante&lt;/p&gt;
&lt;p&gt; &lt;/p&gt;
&lt;p&gt;&lt;strong&gt;Detalhamento da Solicitação&lt;/strong&gt;&lt;/p&gt;
&lt;p&gt;Neste campo será possível acompanhar o histórico de solicitações de seu processo.&lt;/p&gt;
&lt;p&gt; &lt;/p&gt;
&lt;p&gt;&lt;img src="https://atendimento.teconline.com.br/hc/article_attachments/16221849078669"/&gt;&lt;/p&gt;
&lt;p&gt; &lt;/p&gt;
&lt;p&gt; &lt;/p&gt;
&lt;p&gt;&lt;strong&gt;Funções dos Botões&lt;/strong&gt;&lt;/p&gt;
&lt;p&gt;Utilize o botão&lt;img src="https://atendimento.teconline.com.br/hc/article_attachments/15617102472973"/&gt;para cancelar à solicitação.&lt;/p&gt;
&lt;p&gt;Utilize o botão&lt;img src="https://atendimento.teconline.com.br/hc/article_attachments/15617002671629"/&gt;para editar à solicitação.&lt;/p&gt;
&lt;p&gt;Utilize o botão &lt;img src="https://atendimento.teconline.com.br/hc/article_attachments/15617039037965"/&gt;para inserir dados do container e notas fiscais para estufagem.&lt;/p&gt;
&lt;p&gt;Utilize o botão &lt;img src="https://atendimento.teconline.com.br/hc/article_attachments/15617052380557"/&gt;para a&lt;span&gt;nexar a ficha de embarque.&lt;/span&gt;&lt;/p&gt;
&lt;p&gt;&lt;br/&gt;&lt;strong&gt;Anexar Ficha de Embarque&lt;/strong&gt;&lt;/p&gt;
&lt;p&gt; &lt;/p&gt;
&lt;p&gt;1 - Clique no botão "Anexar Ficha de Embarque"&lt;/p&gt;
&lt;p&gt; &lt;/p&gt;
&lt;p&gt;&lt;img src="https://atendimento.teconline.com.br/hc/article_attachments/15619692603149"/&gt;&lt;/p&gt;
&lt;p&gt; &lt;/p&gt;
&lt;p&gt;&lt;img src="https://atendimento.teconline.com.br/hc/article_attachments/17306572520845"/&gt;&lt;/p&gt;
&lt;p&gt; &lt;/p&gt;
&lt;p&gt;&lt;span&gt;Operação:&lt;/span&gt; Selecione a operação do navio no qual ocorrerá o embarque.&lt;/p&gt;
&lt;p&gt;&lt;span&gt;Booking: &lt;/span&gt;Selecione os bookings que já foram liberados para coleta junto ao DEPOT.&lt;/p&gt;
&lt;p&gt;&lt;span&gt;Anexo:&lt;/span&gt; Insira o anexo da ficha de embarque.&lt;/p&gt;
&lt;p&gt;&lt;span&gt;Observação:&lt;/span&gt; Possibilidade de incluir observações sobre a estufagem.&lt;/p&gt;
&lt;p&gt;&lt;span&gt;Inserir:&lt;/span&gt; Após preencher todos os campos, clicar em inserir para que sua solicitação seja salva, conforme indicado na tela abaixo:&lt;/p&gt;
&lt;p&gt;&lt;img src="https://atendimento.teconline.com.br/hc/article_attachments/15620745393037"/&gt;&lt;/p&gt;
&lt;p&gt;&lt;span&gt;Ver Solicitação da Operação:&lt;/span&gt; O botão direciona o usuário para a tela de consulta.&lt;/p&gt;
&lt;p&gt; &lt;/p&gt;
&lt;p&gt;&lt;strong&gt;Cadastrar Ficha de Embarque Manualmente&lt;/strong&gt;&lt;/p&gt;
&lt;p&gt;1 - Localize sua solicitação através dos filtros e clique no botão &lt;img src="https://atendimento.teconline.com.br/hc/article_attachments/15617039037965"/&gt;, para incluir os dados do processo.&lt;/p&gt;
&lt;p&gt;&lt;img src="https://atendimento.teconline.com.br/hc/article_attachments/15883404429197"/&gt;&lt;/p&gt;
&lt;p&gt; &lt;/p&gt;
&lt;p&gt;2 - Insira os detalhes do container e logo após, os dados da nota fiscal.&lt;/p&gt;
&lt;p&gt;&lt;img height="292" src="https://atendimento.teconline.com.br/hc/article_attachments/17306951619341" width="777"/&gt;&lt;img height="271" src="https://atendimento.teconline.com.br/hc/article_attachments/17307080110477" width="697"/&gt;&lt;/p&gt;
&lt;p&gt;&lt;span&gt;Observação:&lt;/span&gt; Possibilidade de incluir observações sobre a estufagem.&lt;/p&gt;
&lt;p&gt;Clique em "Finalizar Alterações".&lt;/p&gt;
&lt;p&gt; &lt;/p&gt;
&lt;p&gt;&lt;span&gt;&lt;span&gt;Observação:&lt;/span&gt; &lt;/span&gt;&lt;/p&gt;
&lt;p&gt;&lt;span&gt;Caso seja necessário retificar a ficha enviada, será preciso o reenvio.&lt;/span&gt;&lt;/p&gt;
&lt;p&gt;&lt;span&gt; O sistema considera como válida apenas a última ficha de e&lt;/span&gt;&lt;span&gt;mbarque recebida.&lt;/span&gt;&lt;/p&gt;
&lt;p&gt;&lt;span&gt;Após concluído o processo de solicitação, o sistema ainda permite inclusão de novas fichas.&lt;/span&gt;&lt;/p&gt;
&lt;p&gt; &lt;/p&gt;
&lt;p&gt;&lt;strong&gt;Imagens operacionalizando&lt;/strong&gt;&lt;/p&gt;
&lt;p&gt;  &lt;img alt="Vídeo" height="394" src="https://atendimento.teconline.com.br/hc/article_attachments/17307756030733" width="699"/&gt;&lt;/p&gt;
&lt;p&gt; &lt;/p&gt;
&lt;p&gt; &lt;/p&gt;
&lt;p&gt; &lt;/p&gt;
&lt;p&gt; &lt;/p&gt;</t>
  </si>
  <si>
    <t>https://wilsonsonstrg.zendesk.com/api/v2/help_center/pt-br/articles/15237788044045.json</t>
  </si>
  <si>
    <t>https://atendimento.teconline.com.br/hc/pt-br/articles/15237788044045-24-04-2023-Hor%C3%A1rio-Especial-Tecon-Rio-Grande-Comunica</t>
  </si>
  <si>
    <t>24/04/2023 - [Horário Especial] - Tecon Rio Grande Comunica</t>
  </si>
  <si>
    <t>['feriado', 'expediente', 'expediente no feriado', 'dia do trabalhador', '01 de maio', '01/05', 'segunda-feira']</t>
  </si>
  <si>
    <t>&lt;p&gt; &lt;/p&gt;
&lt;p&gt; &lt;/p&gt;
&lt;p&gt;&lt;/p&gt;
&lt;!-- Facebook sharing information tags --&gt;
&lt;p&gt;&lt;/p&gt;
&lt;table border="0" cellpadding="0" cellspacing="0" width="100%"&gt;
&lt;tbody&gt;
&lt;tr&gt;
&lt;td align="center" valign="top"&gt;
&lt;br/&gt;
&lt;table border="0" cellpadding="0" cellspacing="0" width="600"&gt;
&lt;tbody&gt;
&lt;tr&gt;
&lt;td align="center" valign="top"&gt;
&lt;!-- // Begin Template Header \ --&gt;
&lt;table border="0" cellpadding="0" cellspacing="0" width="600"&gt;
&lt;tbody&gt;
&lt;tr&gt;
&lt;td&gt; 
&lt;div&gt;
&lt;img alt="TECON RIO GRANDE COMUNICA: Horário Especial" height="350" src="http://go.pardot.com/l/845693/2021-08-11/n41v31/845693/1628709696YAcKJloG/TE_TOPO.jpg"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0010/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24 de Abril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br/&gt;&lt;span&gt;&lt;span&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lt;font&gt;&lt;font&gt;Feriado em Maio&lt;/font&gt;&lt;/font&gt;&lt;/font&gt;&lt;/font&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span&gt;&lt;/span&gt;&lt;br/&gt;&lt;br/&gt;&lt;span&gt;&lt;span&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Em virtude do Feriado do Dia do Trabalhador, no dia &lt;strong&gt;01 de Maio,&lt;/strong&gt; &lt;br/&gt;informamos o expediente do Terminal:&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 &lt;hr/&gt;
&lt;br/&gt;&lt;span&gt;&lt;span&gt;&lt;font&gt;&lt;font&gt;&lt;font&gt;&lt;font&gt;&lt;font&gt;&lt;font&gt;&lt;font&gt;&lt;font&gt;&lt;font&gt;&lt;font&gt;&lt;font&gt;&lt;font&gt;&lt;font&gt;&lt;font&gt;&lt;font&gt;&lt;font&gt;&lt;font&gt;&lt;font&gt;&lt;strong&gt;&lt;font&gt;&lt;font&gt;&lt;font&gt;&lt;font&gt;&lt;font&gt;&lt;font&gt;&lt;font&gt;&lt;font&gt;&lt;font&gt;&lt;font&gt;&lt;font&gt;&lt;font&gt;&lt;font&gt;&lt;font&gt;&lt;font&gt;&lt;font&gt;&lt;font&gt;&lt;font&gt;&lt;font&gt;&lt;font&gt;Recebimento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e Vazios - Operação até às 22h.&lt;/font&gt;&lt;/font&gt;&lt;/font&gt;&lt;/font&gt;&lt;/font&gt;&lt;/font&gt;&lt;/font&gt;&lt;/font&gt;&lt;/font&gt;&lt;/font&gt;&lt;/font&gt;&lt;/font&gt;&lt;/font&gt;&lt;/font&gt;&lt;/font&gt;&lt;/font&gt;&lt;/font&gt;&lt;/font&gt;&lt;/font&gt;&lt;/font&gt;&lt;br/&gt;&lt;br/&gt;&lt;br/&gt;&lt;strong&gt;&lt;font&gt;&lt;font&gt;&lt;font&gt;&lt;font&gt;&lt;font&gt;&lt;font&gt;&lt;font&gt;&lt;font&gt;&lt;font&gt;&lt;font&gt;&lt;font&gt;&lt;font&gt;&lt;font&gt;&lt;font&gt;&lt;font&gt;&lt;font&gt;&lt;font&gt;&lt;font&gt;&lt;font&gt;&lt;font&gt;Retirada de container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Cheios - Sem expediente&lt;br/&gt;Vazios - Operação até às 22h.&lt;/font&gt;&lt;/font&gt;&lt;/font&gt;&lt;/font&gt;&lt;/font&gt;&lt;/font&gt;&lt;/font&gt;&lt;/font&gt;&lt;/font&gt;&lt;/font&gt;&lt;/font&gt;&lt;/font&gt;&lt;/font&gt;&lt;/font&gt;&lt;/font&gt;&lt;/font&gt;&lt;/font&gt;&lt;/font&gt;&lt;/font&gt;&lt;/font&gt;&lt;br/&gt;&lt;br/&gt;&lt;strong&gt;&lt;font&gt;&lt;font&gt;&lt;font&gt;&lt;font&gt;&lt;font&gt;&lt;font&gt;&lt;font&gt;&lt;font&gt;&lt;font&gt;&lt;font&gt;&lt;font&gt;&lt;font&gt;&lt;font&gt;&lt;font&gt;&lt;font&gt;&lt;font&gt;&lt;font&gt;&lt;font&gt;&lt;font&gt;&lt;font&gt;Armazéns:&lt;/font&gt;&lt;/font&gt;&lt;/font&gt;&lt;/font&gt;&lt;/font&gt;&lt;/font&gt;&lt;/font&gt;&lt;/font&gt;&lt;/font&gt;&lt;/font&gt;&lt;/font&gt;&lt;/font&gt;&lt;/font&gt;&lt;/font&gt;&lt;/font&gt;&lt;/font&gt;&lt;/font&gt;&lt;/font&gt;&lt;/font&gt;&lt;/font&gt;&lt;/strong&gt;&lt;br/&gt;&lt;br/&gt;&lt;font&gt;&lt;font&gt;&lt;font&gt;&lt;font&gt;&lt;font&gt;&lt;font&gt;&lt;font&gt;&lt;font&gt;&lt;font&gt;&lt;font&gt;&lt;font&gt;&lt;font&gt;&lt;font&gt;&lt;font&gt;&lt;font&gt;&lt;font&gt;&lt;font&gt;&lt;font&gt;&lt;font&gt;&lt;font&gt;Sem Expediente&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br/&gt;&lt;br/&gt;&lt;span&gt;&lt;span&gt;&lt;font&gt;&lt;font&gt;&lt;font&gt;&lt;font&gt;&lt;font&gt;&lt;font&gt;&lt;font&gt;&lt;font&gt;&lt;font&gt;&lt;font&gt;&lt;font&gt;&lt;font&gt;&lt;font&gt;&lt;font&gt;&lt;font&gt;&lt;font&gt;&lt;font&gt;&lt;font&gt;&lt;font&gt;&lt;font&gt;Caso exista necessidade de entrega ou retirada, gentileza encaminhar sua solicitação aos nossos Canais de Atendimento para análise de viabilidade.&lt;/font&gt;&lt;/font&gt;&lt;/font&gt;&lt;/font&gt;&lt;/font&gt;&lt;/font&gt;&lt;/font&gt;&lt;/font&gt;&lt;/font&gt;&lt;/font&gt;&lt;/font&gt;&lt;/font&gt;&lt;/font&gt;&lt;/font&gt;&lt;/font&gt;&lt;/font&gt;&lt;/font&gt;&lt;/font&gt;&lt;/font&gt;&lt;/font&gt;&lt;/span&gt;&lt;/span&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&lt;br/&gt;&lt;span&gt;&lt;span&gt;&lt;span&gt;&lt;strong&gt;&lt;font&gt;&lt;font&gt;&lt;font&gt;&lt;font&gt;&lt;font&gt;&lt;font&gt;&lt;font&gt;&lt;font&gt;Central de Atendimento&lt;/font&gt;&lt;/font&gt;&lt;/font&gt;&lt;/font&gt;&lt;/font&gt;&lt;/font&gt;&lt;/font&gt;&lt;/font&gt;&lt;/strong&gt;&lt;/span&gt;&lt;/span&gt;&lt;br/&gt;&lt;span&gt;&lt;span&gt;&lt;font&gt;&lt;font&gt;&lt;font&gt;&lt;font&gt;&lt;font&gt;&lt;font&gt;&lt;font&gt;&lt;font&gt;+55 53 3234.3030 | &lt;/font&gt;&lt;/font&gt;&lt;/font&gt;&lt;/font&gt;&lt;/font&gt;&lt;/font&gt;&lt;/font&gt;&lt;font&gt;&lt;font&gt;&lt;font&gt;&lt;font&gt;&lt;font&gt;&lt;font&gt;&lt;font&gt;atendimento.tcrg@wilsonsons.com.br&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</si>
  <si>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https://wilsonsonstrg.zendesk.com/api/v2/help_center/pt-br/articles/14387162947725.json</t>
  </si>
  <si>
    <t>https://atendimento.teconline.com.br/hc/pt-br/articles/14387162947725-28-03-23-Hor%C3%A1rio-Especial-Tecon-Rio-Grande-Comunica</t>
  </si>
  <si>
    <t>28/03/23 - [Horário Especial] Tecon Rio Grande Comunica</t>
  </si>
  <si>
    <t>['feriado', 'expediente no feriado', 'tiradentes', 'feriado de tiradentes', 'horários no feriado', '21 de abril', 'cargas no feriado', 'sexta-feira santa', '7 de abril', 'feriado de abril']</t>
  </si>
  <si>
    <t>&lt;p&gt;&lt;a href="https://go.pardot.com/webmail/845693/1164955560/59c5689c3c3ae717cfaee4208a52b5bbfa08e284901434d57e5647d3e70bef38" target="_self"&gt;&lt;img alt="comunicado1.png" src="https://atendimento.teconline.com.br/hc/article_attachments/14387059110029"/&gt;&lt;/a&gt;&lt;/p&gt;
&lt;p&gt;&lt;a href="https://go.pardot.com/webmail/845693/1164955560/59c5689c3c3ae717cfaee4208a52b5bbfa08e284901434d57e5647d3e70bef38" target="_self"&gt;&lt;img alt="comunicado2.png" src="https://atendimento.teconline.com.br/hc/article_attachments/14387064252813"/&gt;&lt;/a&gt;&lt;/p&gt;
&lt;p&gt; &lt;/p&gt;
&lt;p&gt; &lt;/p&gt;</t>
  </si>
  <si>
    <t>https://wilsonsonstrg.zendesk.com/api/v2/help_center/pt-br/articles/13100388154637.json</t>
  </si>
  <si>
    <t>https://atendimento.teconline.com.br/hc/pt-br/articles/13100388154637-13-02-23-Feriados-M%C3%AAs-de-Fevereiro</t>
  </si>
  <si>
    <t>13/02/23 - Feriados | Mês de Fevereiro</t>
  </si>
  <si>
    <t>['01GPY217SSC5MP9PMEN97RPEVN', '01GPY21E8TXSMS3NW306343RSN', '01GPY21PPDS2KX342QV8XEE6KA', '01GPY21XTTRNK0A3YAB9G53S51']</t>
  </si>
  <si>
    <t>['feriado', 'carnaval', 'feriado de carnaval', 'funcionamento', 'entregas no feriado', 'agendamento carnaval']</t>
  </si>
  <si>
    <t>&lt;p&gt;&lt;img alt="mceclip0.png" src="https://atendimento.teconline.com.br/hc/article_attachments/13100158407309"/&gt;&lt;/p&gt;
&lt;p&gt;&lt;img alt="mceclip1.png" src="https://atendimento.teconline.com.br/hc/article_attachments/13100263426445"/&gt;&lt;/p&gt;
&lt;p&gt;&lt;img alt="mceclip2.png" src="https://atendimento.teconline.com.br/hc/article_attachments/13100280068621"/&gt;&lt;/p&gt;</t>
  </si>
  <si>
    <t>https://wilsonsonstrg.zendesk.com/api/v2/help_center/pt-br/articles/12573680069389.json</t>
  </si>
  <si>
    <t>https://atendimento.teconline.com.br/hc/pt-br/articles/12573680069389-26-01-23-Feriados-M%C3%AAs-de-Fevereiro</t>
  </si>
  <si>
    <t>26/01/23 - Feriados | Mês de Fevereiro</t>
  </si>
  <si>
    <t>['feriado', 'nossa senhora aparecida', 'carnaval', 'horário no feriado', 'entregas no feriado', 'carga no feriado', 'nossa senhora dos navegantes', 'agendamentos no carnaval', 'carregamento no carnaval']</t>
  </si>
  <si>
    <t>&lt;p&gt;&lt;a href="https://go.pardot.com/webmail/845693/1100313421/59c5689c3c3ae717cfaee4208a52b5bbfa08e284901434d57e5647d3e70bef38" target="_blank"&gt;&lt;img alt="comunicado1.png" src="https://atendimento.teconline.com.br/hc/article_attachments/12573564759053"/&gt;&lt;/a&gt;&lt;/p&gt;
&lt;p&gt;&lt;a href="https://go.pardot.com/webmail/845693/1100313421/59c5689c3c3ae717cfaee4208a52b5bbfa08e284901434d57e5647d3e70bef38" target="_blank"&gt;&lt;img alt="comunicado2.png" src="https://atendimento.teconline.com.br/hc/article_attachments/12573567021069"/&gt;&lt;/a&gt;&lt;/p&gt;</t>
  </si>
  <si>
    <t>https://wilsonsonstrg.zendesk.com/api/v2/help_center/pt-br/articles/11848928325901.json</t>
  </si>
  <si>
    <t>https://atendimento.teconline.com.br/hc/pt-br/articles/11848928325901-Libera%C3%A7%C3%A3o-Documental-Importa%C3%A7%C3%A3o</t>
  </si>
  <si>
    <t>Liberação Documental - Importação</t>
  </si>
  <si>
    <t>['liberação de di', 'Liberação Documental', 'liberação dta', 'liberar importação', 'liberar no site', 'extrato da di', 'liberar dta', 'documentos para liberação', 'liberar importação no terminal', 'como liberar importação']</t>
  </si>
  <si>
    <t>&lt;p&gt;&lt;span&gt;Neste artigo você aprenderá as seguintes funções:&lt;/span&gt;&lt;/p&gt;
&lt;p&gt; &lt;/p&gt;
&lt;p&gt;&lt;a href="#:~:text=Documental%20Importa%C3%A7%C3%A3o%20DTC-,Libera%C3%A7%C3%A3o%20DI/%20DTA,-Link%20da%20op%C3%A7%C3%A3o"&gt;&lt;span&gt;&lt;span&gt;Liberação Documental Importação DI/ DTA&lt;/span&gt;&lt;/span&gt;&lt;/a&gt;&lt;/p&gt;
&lt;p&gt;&lt;a href="#:~:text=em%20%22Abrir%20Detalhes%22-,Libera%C3%A7%C3%A3o%20DTC,-1.%20Informar%20o"&gt;&lt;span&gt;&lt;span&gt;Liberação Documental Importação DTC&lt;/span&gt;&lt;/span&gt;&lt;/a&gt;&lt;/p&gt;
&lt;p&gt; &lt;/p&gt;
&lt;p&gt; &lt;/p&gt;
&lt;p&gt;&lt;span&gt;&lt;strong&gt;&lt;span&gt;Liberação DI/ DTA&lt;/span&gt;&lt;/strong&gt;&lt;/span&gt;&lt;/p&gt;
&lt;p&gt; &lt;/p&gt;
&lt;p&gt;&lt;span&gt;Link da opção: &lt;/span&gt;&lt;a href="http://www.teconline.com.br/acompanhamento-processo"&gt;&lt;span&gt;Clique aqui.&lt;/span&gt;&lt;/a&gt;&lt;span&gt;&lt;/span&gt;&lt;/p&gt;
&lt;p&gt;&lt;img alt="001.png" src="https://atendimento.teconline.com.br/hc/article_attachments/11847590295949"/&gt;&lt;/p&gt;
&lt;p&gt; &lt;/p&gt;
&lt;p&gt;1) Informar BL&lt;/p&gt;
&lt;p&gt;&lt;img alt="002.png" src="https://atendimento.teconline.com.br/hc/article_attachments/11847686792205"/&gt;&lt;/p&gt;
&lt;p&gt; &lt;/p&gt;
&lt;p&gt;&lt;span&gt;Opcional:&lt;/span&gt; Em "Mais Filtros" serão disponibilizadas mais opções&lt;/p&gt;
&lt;p&gt;&lt;img alt="003.png" src="https://atendimento.teconline.com.br/hc/article_attachments/11847786881549"/&gt;&lt;/p&gt;
&lt;p&gt; &lt;/p&gt;
&lt;p&gt;&lt;img alt="004.png" src="https://atendimento.teconline.com.br/hc/article_attachments/11847891231501"/&gt;&lt;/p&gt;
&lt;p&gt; &lt;/p&gt;
&lt;p&gt;&lt;span&gt;Documento de Despacho:&lt;/span&gt; Número da DI / DTA utilizada na &lt;a href="https://atendimento.teconline.com.br/hc/pt-br/articles/360033810571-Libera%C3%A7%C3%A3o-DI-e-DTA" target="_blank"&gt;Averbação&lt;/a&gt;&lt;/p&gt;
&lt;p&gt;&lt;span&gt;Cliente:&lt;/span&gt;  Nome do cliente vinculado ao BL&lt;/p&gt;
&lt;p&gt;&lt;span&gt;Período:&lt;/span&gt; Datas para pesquisas&lt;/p&gt;
&lt;p&gt;&lt;span&gt;Situação:&lt;/span&gt; Status da liberação documental&lt;/p&gt;
&lt;p&gt; &lt;/p&gt;
&lt;p&gt;&lt;strong&gt;Aguardando Documentos:&lt;/strong&gt; Processo Averbado aguardando envio dos arquivos&lt;/p&gt;
&lt;p&gt;&lt;strong&gt;Em Análise:&lt;/strong&gt; Aguardando verificação interna e liberação documental&lt;/p&gt;
&lt;p&gt;&lt;strong&gt;Liberado:&lt;/strong&gt; Documental liberado&lt;/p&gt;
&lt;p&gt;&lt;strong&gt;Averbação Pendente:&lt;/strong&gt; Aguarda processo de Averbação&lt;/p&gt;
&lt;p&gt;* Para maiores informações, acesse o nosso artigo &lt;a href="https://atendimento.teconline.com.br/hc/pt-br/articles/360038794051-Acompanhamento-de-Processo-Importa%C3%A7%C3%A3o" target="_blank"&gt;Acompanhamento de Processo - Importação&lt;/a&gt;&lt;/p&gt;
&lt;p&gt; &lt;/p&gt;
&lt;p&gt;2) Selecione "Filtrar"&lt;/p&gt;
&lt;p&gt;&lt;img alt="005.png" src="https://atendimento.teconline.com.br/hc/article_attachments/11848729856525"/&gt;&lt;/p&gt;
&lt;p&gt; &lt;/p&gt;
&lt;p&gt;3) Selecione "Enviar documentos"&lt;/p&gt;
&lt;p&gt;&lt;img alt="006.png" src="https://atendimento.teconline.com.br/hc/article_attachments/11849919325325"/&gt;&lt;/p&gt;
&lt;p&gt; &lt;/p&gt;
&lt;p&gt;4) Selecione "Enviar Novo"&lt;/p&gt;
&lt;p&gt;&lt;img alt="008.png" src="https://atendimento.teconline.com.br/hc/article_attachments/11850023327885"/&gt;&lt;/p&gt;
&lt;p&gt; &lt;/p&gt;
&lt;p&gt;5) Selecione "Tipo de Documento"&lt;/p&gt;
&lt;p&gt;&lt;img alt="009.png" src="https://atendimento.teconline.com.br/hc/article_attachments/11850088261389"/&gt;&lt;/p&gt;
&lt;p&gt;&lt;strong&gt;Importação (DI)&lt;/strong&gt;&lt;/p&gt;
&lt;p&gt;&lt;span&gt;BL, DI, extrato da DI, ICMS e termo de responsabilidade (Em PDF)&lt;/span&gt;&lt;/p&gt;
&lt;p&gt;&lt;span&gt;Extrato da DI (Em XML)&lt;/span&gt;&lt;/p&gt;
&lt;p&gt;&lt;span&gt;&lt;span&gt;Opcionais:&lt;/span&gt; Liberação de saída, Nota Fiscal e CI&lt;/span&gt;&lt;/p&gt;
&lt;p&gt; &lt;/p&gt;
&lt;p&gt;&lt;span&gt;&lt;strong&gt;Importação (DTA)&lt;/strong&gt;&lt;/span&gt;&lt;/p&gt;
&lt;p&gt;Somente o extrato da DTA&lt;/p&gt;
&lt;p&gt;&lt;span&gt;Opcional:&lt;/span&gt; BL&lt;/p&gt;
&lt;p&gt;* Para documentos de DTA, os lançamentos de informações de Transportadora e CIF serão realizadas internamente de forma manual&lt;/p&gt;
&lt;p&gt; &lt;/p&gt;
&lt;p&gt;&lt;strong&gt;Observação:&lt;/strong&gt;&lt;/p&gt;
&lt;p&gt;Em casos de processos com divergência de volumes, as documentações devem ser enviadas para o Escritório de Importação via e-mail &lt;a href="mailto:balcaoimportacao.tcrg@wilsonsons.com.br"&gt;balcaoimportacao.tcrg@wilsonsons.com.br&lt;/a&gt; para posterior liberação.&lt;strong&gt;&lt;br/&gt;&lt;/strong&gt;&lt;/p&gt;
&lt;p&gt; &lt;/p&gt;
&lt;p&gt;6) Selecione "Enviar Arquivos"&lt;/p&gt;
&lt;p&gt;&lt;img alt="010.png" src="https://atendimento.teconline.com.br/hc/article_attachments/11851128180621"/&gt;&lt;/p&gt;
&lt;p&gt; &lt;/p&gt;
&lt;p&gt;7) Selecione "Enviar Documentos" para acompanhar as aprovações de documentos&lt;/p&gt;
&lt;p&gt;&lt;img alt="011.png" src="https://atendimento.teconline.com.br/hc/article_attachments/11852276173325"/&gt;&lt;/p&gt;
&lt;p&gt;&lt;img alt="012.png" src="https://atendimento.teconline.com.br/hc/article_attachments/11852362222605"/&gt;&lt;/p&gt;
&lt;p&gt; &lt;/p&gt;
&lt;p&gt;&lt;strong&gt;Observação:&lt;/strong&gt;&lt;/p&gt;
&lt;p&gt;Para documentos com divergências, a informação detalhada pode ser verificada em "Abrir Detalhes"&lt;/p&gt;
&lt;p&gt;&lt;img alt="013.png" src="https://atendimento.teconline.com.br/hc/article_attachments/11852460493069"/&gt;&lt;/p&gt;
&lt;p&gt;&lt;img alt="014.png" src="https://atendimento.teconline.com.br/hc/article_attachments/11852537786765"/&gt;&lt;/p&gt;
&lt;p&gt;&lt;span&gt;&lt;strong&gt;Imagens operacionalizando&lt;/strong&gt;&lt;/span&gt;&lt;/p&gt;
&lt;p&gt;&lt;span&gt;&lt;strong&gt;&lt;img alt="guide.gif" src="https://atendimento.teconline.com.br/hc/article_attachments/11853355583757"/&gt;&lt;/strong&gt;&lt;/span&gt;&lt;/p&gt;
&lt;p&gt;&lt;span&gt;&lt;strong&gt;&lt;span&gt;Liberação DTC&lt;/span&gt;&lt;/strong&gt;&lt;/span&gt;&lt;/p&gt;
&lt;p&gt; &lt;/p&gt;
&lt;p&gt;&lt;span&gt;&lt;img alt="001.PNG" height="163" src="https://atendimento.teconline.com.br/hc/article_attachments/23645102846093" width="602"/&gt;&lt;/span&gt;&lt;/p&gt;
&lt;p&gt;&lt;span&gt; &lt;/span&gt;&lt;/p&gt;
&lt;p&gt;&lt;span&gt;1. Informar o BL, &lt;/span&gt;&lt;span&gt;&lt;img alt="003.PNG" height="84" src="https://atendimento.teconline.com.br/hc/article_attachments/23645093472141" width="602"/&gt;&lt;/span&gt;&lt;/p&gt;
&lt;p&gt;&lt;span&gt; &lt;/span&gt;&lt;/p&gt;
&lt;p&gt;&lt;span&gt;2. Em Dados Gerais, serão apresentadas informações básicas do processo&lt;/span&gt;&lt;/p&gt;
&lt;p&gt;&lt;span&gt;&lt;img alt="004.PNG" height="161" src="https://atendimento.teconline.com.br/hc/article_attachments/23645093479821" width="602"/&gt;&lt;/span&gt;&lt;/p&gt;
&lt;p&gt;&lt;span&gt;3. Clique sobre a opção Averbação para realizar o procedimento e/ou obter histórico&lt;/span&gt;&lt;/p&gt;
&lt;p&gt;&lt;span&gt;&lt;img alt="008.PNG" height="105" src="https://atendimento.teconline.com.br/hc/article_attachments/23645093493005" width="602"/&gt;&lt;/span&gt;&lt;/p&gt;
&lt;p&gt;&lt;span&gt; &lt;/span&gt;&lt;/p&gt;
&lt;p&gt;&lt;span&gt;&lt;img height="315" src="https://atendimento.teconline.com.br/hc/article_attachments/23645093500301" width="602"/&gt;&lt;/span&gt;&lt;/p&gt;
&lt;ul&gt;
&lt;li&gt;&lt;span&gt;Informar o número do extrato da DTC por container registrada junto à Receita Federal.&lt;/span&gt;&lt;/li&gt;
&lt;/ul&gt;
&lt;p&gt;&lt;span&gt;4. Inserir a fatura por BL e o documento por container, se precisar adicionar mais de uma fatura deve ser inserido Novo Documento - Outro Documento, se for selecionado fatura substituirá a já adicionada.&lt;/span&gt;&lt;/p&gt;
&lt;p&gt;&lt;span&gt;&lt;img height="272" src="https://atendimento.teconline.com.br/hc/article_attachments/23645102870285" width="602"/&gt;&lt;/span&gt;&lt;/p&gt;
&lt;p&gt;&lt;strong&gt;Imagens operacionalizando&lt;/strong&gt;&lt;/p&gt;
&lt;p&gt;&lt;strong&gt;&lt;img alt="Vídeo sem título ‐ Feito com o Clipchamp (12).gif" height="399" src="https://atendimento.teconline.com.br/hc/article_attachments/23656961062669" width="708"/&gt;&lt;/strong&gt;&lt;/p&gt;
&lt;p&gt; &lt;/p&gt;</t>
  </si>
  <si>
    <t>https://wilsonsonstrg.zendesk.com/api/v2/help_center/pt-br/articles/11267242185741.json</t>
  </si>
  <si>
    <t>https://atendimento.teconline.com.br/hc/pt-br/articles/11267242185741-07-12-22-Feriado-de-Natal-e-Ano-Novo</t>
  </si>
  <si>
    <t>07/12/22 - Feriado de Natal e Ano Novo</t>
  </si>
  <si>
    <t>['natal', 'ano novo', 'feriado de ano novo', 'feriado natal', 'fim de ano']</t>
  </si>
  <si>
    <t>&lt;p&gt;&lt;a href="https://go.pardot.com/webmail/845693/1053356787/59c5689c3c3ae717cfaee4208a52b5bbfa08e284901434d57e5647d3e70bef38" target="_blank"&gt;&lt;img alt="comunicado2.png" src="https://atendimento.teconline.com.br/hc/article_attachments/11267181275277"/&gt;&lt;/a&gt;&lt;/p&gt;
&lt;p&gt;&lt;a href="https://go.pardot.com/webmail/845693/1053356787/59c5689c3c3ae717cfaee4208a52b5bbfa08e284901434d57e5647d3e70bef38" target="_blank"&gt;&lt;img alt="comunicado1.png" src="https://atendimento.teconline.com.br/hc/article_attachments/11267224721293"/&gt;&lt;/a&gt;&lt;/p&gt;</t>
  </si>
  <si>
    <t>https://wilsonsonstrg.zendesk.com/api/v2/help_center/pt-br/articles/10909721856525.json</t>
  </si>
  <si>
    <t>https://atendimento.teconline.com.br/hc/pt-br/articles/10909721856525-25-11-22-Levante-de-Carga-em-DTA-Armaz%C3%A9m-Importa%C3%A7%C3%A3o</t>
  </si>
  <si>
    <t>25/11/22 - Levante de Carga em DTA - Armazém Importação</t>
  </si>
  <si>
    <t>['carga avulsa', '28-11', 'levante de dta', '28/11', 'jogo do brasil', 'receita no dia do jogo']</t>
  </si>
  <si>
    <t>&lt;p&gt;&lt;a href="https://go.pardot.com/webmail/845693/1036593768/59c5689c3c3ae717cfaee4208a52b5bbfa08e284901434d57e5647d3e70bef38" target="_blank"&gt;&lt;img alt="comunicado1.png" src="https://atendimento.teconline.com.br/hc/article_attachments/10909663000589"/&gt;&lt;img alt="comunicado2.png" src="https://atendimento.teconline.com.br/hc/article_attachments/10909664118157"/&gt;&lt;/a&gt;&lt;/p&gt;</t>
  </si>
  <si>
    <t>https://wilsonsonstrg.zendesk.com/api/v2/help_center/pt-br/articles/10903221771277.json</t>
  </si>
  <si>
    <t>https://atendimento.teconline.com.br/hc/pt-br/articles/10903221771277-Libera%C3%A7%C3%A3o-e-Consulta-Documental-Cabotagem-Descarga</t>
  </si>
  <si>
    <t>Liberação e Consulta Documental Cabotagem - Descarga</t>
  </si>
  <si>
    <t>['cabotagem', 'importação', 'liberação de importação', 'importar o xml', 'agendamento cabotagem descarga', "CTE's", 'Liberação CTE', 'Avaria CTE', 'retirada de cabotagem', 'descarga importação', 'importacao', 'CTE', "Liberação CTE's", "Avaria CTE's", 'Liberação Documental', 'import']</t>
  </si>
  <si>
    <t>&lt;p&gt; &lt;/p&gt;
&lt;p&gt;&lt;strong&gt;&lt;span&gt;Liberação&lt;/span&gt;&lt;/strong&gt;&lt;/p&gt;
&lt;p&gt;Segue descrito abaixo procedimento: &lt;/p&gt;
&lt;p&gt;&lt;span&gt;Link da opção: &lt;/span&gt;&lt;a href="http://teconline.com.br/liberacoes/cabotagem" target="_blank"&gt;"Clique aqui"&lt;/a&gt;&lt;/p&gt;
&lt;p&gt;&lt;img alt="mceclip0.png" height="259" src="https://atendimento.teconline.com.br/hc/article_attachments/10902271633549" width="820"/&gt;&lt;/p&gt;
&lt;p&gt; &lt;/p&gt;
&lt;p&gt;1) Utilizar a opção “Nova Liberação”&lt;/p&gt;
&lt;p&gt; &lt;/p&gt;
&lt;p&gt;&lt;img alt="mceclip1.png" src="https://atendimento.teconline.com.br/hc/article_attachments/10902334070285"/&gt;&lt;/p&gt;
&lt;p&gt; &lt;/p&gt;
&lt;p&gt;2) Opções de Inclusão de CTe's&lt;/p&gt;
&lt;p&gt; &lt;/p&gt;
&lt;p&gt;&lt;img alt="mceclip1.png" src="https://atendimento.teconline.com.br/hc/article_attachments/10904347984525"/&gt;&lt;/p&gt;
&lt;p&gt; &lt;/p&gt;
&lt;p&gt;&lt;span&gt;Manualmente:&lt;/span&gt; Permite o preenchimento dos campos manualmente, caso não opte pelas opções abaixo:&lt;/p&gt;
&lt;p&gt;&lt;u&gt;Adicionar múltiplos CTe's&lt;/u&gt;: Possibilita a inclusão de várias CTe's com os campos preenchidos automaticamente (Arquivo Formato XML).&lt;/p&gt;
&lt;p&gt;&lt;u&gt;Inserir manualmente&lt;/u&gt;: Possibilita a inclusão de CTe's de forma individual e manual.&lt;/p&gt;
&lt;p&gt;&lt;span&gt;&lt;u&gt;Adicionar CTe&lt;/u&gt;:&lt;/span&gt; Permite incluir o CTe com o preenchimento automático de todos os campos (Arquivo Formato XML).&lt;/p&gt;
&lt;p&gt; &lt;/p&gt;
&lt;p&gt;&lt;img alt="mceclip2.png" src="https://atendimento.teconline.com.br/hc/article_attachments/10904499453453"/&gt;&lt;/p&gt;
&lt;p&gt;&lt;u&gt;Operação&lt;/u&gt;: Nome do navio no qual o container descarregou.&lt;/p&gt;
&lt;p&gt;&lt;u&gt;Regime&lt;/u&gt;: Informar tipo do regime (Porta/Porta | Porta/Porto | Porto/Porto | Porto Porta) .&lt;/p&gt;
&lt;p&gt;&lt;u&gt;BL/CTe&lt;/u&gt;:  Número do BL ou CTe.&lt;/p&gt;
&lt;p&gt;&lt;u&gt;CE mercante&lt;/u&gt;: Número do CE Mercante.&lt;/p&gt;
&lt;p&gt;&lt;u&gt;Cliente (CNPJ)&lt;/u&gt;:  CNPJ do Cliente (somente números).&lt;/p&gt;
&lt;p&gt;&lt;u&gt;Containers&lt;/u&gt;: Número do Container.&lt;/p&gt;
&lt;p&gt;&lt;u&gt;Transportadora&lt;/u&gt;: Informar CNPJ da transportadora (somente números).&lt;/p&gt;
&lt;p&gt; &lt;/p&gt;
&lt;p&gt;3) Enviar para análise&lt;/p&gt;
&lt;p&gt; &lt;/p&gt;
&lt;p&gt;&lt;img alt="mceclip3.png" src="https://atendimento.teconline.com.br/hc/article_attachments/10904601773197"/&gt;&lt;/p&gt;
&lt;p&gt;&lt;span&gt;Enviar para análise:&lt;/span&gt; Este processo envia sua solicitação para análise, onde você pode conferir o status &lt;span&gt;&lt;a href="http://hml.teconline.com.br/liberacoes/cabotagem" target="_blank"&gt;"clicando aqui"&lt;/a&gt;&lt;/span&gt;.&lt;/p&gt;
&lt;p&gt; &lt;/p&gt;
&lt;p&gt;&lt;strong&gt;&lt;span&gt;Consulta&lt;/span&gt;&lt;/strong&gt;&lt;/p&gt;
&lt;p&gt;Segue descrito abaixo procedimento: &lt;/p&gt;
&lt;p&gt;&lt;span&gt;Link da opção: &lt;/span&gt;&lt;a href="http://teconline.com.br/liberacoes/cabotagem" target="_blank"&gt;"Clique aqui"&lt;/a&gt;&lt;/p&gt;
&lt;p&gt; &lt;/p&gt;
&lt;p&gt;&lt;img alt="mceclip0.png" src="https://atendimento.teconline.com.br/hc/article_attachments/10971047906061"/&gt;&lt;/p&gt;
&lt;p&gt; &lt;/p&gt;
&lt;p&gt;1) Utilize a opção "Consultar Liberações"&lt;/p&gt;
&lt;p&gt; &lt;/p&gt;
&lt;p&gt;2) Utilize a opção "Mais Filtros"&lt;/p&gt;
&lt;p&gt;&lt;img alt="mceclip1.png" src="https://atendimento.teconline.com.br/hc/article_attachments/10971049175949"/&gt;&lt;/p&gt;
&lt;p&gt;&lt;span&gt;Mais Filtros:&lt;/span&gt; Disponibiliza mais itens para consulta.&lt;/p&gt;
&lt;p&gt;&lt;img alt="mceclip2.png" src="https://atendimento.teconline.com.br/hc/article_attachments/10971083632397"/&gt;&lt;/p&gt;
&lt;p&gt; &lt;/p&gt;
&lt;p&gt;&lt;span&gt;Navio:&lt;/span&gt; Possibilita a consulta pela operação do navio.&lt;/p&gt;
&lt;p&gt;&lt;span&gt;CTe: Possibilita a pesquisa pelo número da CTe.&lt;/span&gt;&lt;/p&gt;
&lt;p&gt;&lt;span&gt;Núm Container: Possibilita a consulta pelo número do container.&lt;/span&gt;&lt;/p&gt;
&lt;p&gt;&lt;span&gt;CE Mercante:&lt;/span&gt; Possibilita a consulta pelo número do CE Mercante.&lt;/p&gt;
&lt;p&gt;&lt;span&gt;Status:&lt;/span&gt; Possibilita a consulta por Status da solicitação.&lt;/p&gt;
&lt;p&gt;&lt;span&gt;Exibir minha solicitações:&lt;/span&gt; Exibe somente as solicitações do usuário.&lt;/p&gt;
&lt;p&gt; &lt;/p&gt;
&lt;p&gt;3) Selecionar "Filtrar" para obter as informações&lt;/p&gt;
&lt;p&gt; &lt;/p&gt;
&lt;p&gt;&lt;img alt="mceclip4.png" src="https://atendimento.teconline.com.br/hc/article_attachments/10961220475533"/&gt;&lt;/p&gt;
&lt;p&gt; &lt;/p&gt;
&lt;p&gt;Tipos de Status de Solicitação&lt;/p&gt;
&lt;p&gt; &lt;/p&gt;
&lt;p&gt;&lt;img alt="mceclip13.png" src="https://atendimento.teconline.com.br/hc/article_attachments/10961929228941"/&gt;&lt;/p&gt;
&lt;p&gt;&lt;span&gt;Aguardando Descarga:&lt;/span&gt; Status padrão de criação, alterado para "Em Processamento" caso todos os containers tenham sido descarregados.&lt;/p&gt;
&lt;p&gt; &lt;/p&gt;
&lt;p&gt;&lt;img alt="mceclip12.png" src="https://atendimento.teconline.com.br/hc/article_attachments/10961910339725"/&gt;&lt;/p&gt;
&lt;p&gt;&lt;span&gt;Em Processamento:&lt;/span&gt; O sistema está realizando as conferencias necessários para Liberação Documental.&lt;/p&gt;
&lt;p&gt; &lt;/p&gt;
&lt;p&gt;&lt;img alt="mceclip20.png" height="40" src="https://atendimento.teconline.com.br/hc/article_attachments/10962086753037" width="137"/&gt;&lt;/p&gt;
&lt;p&gt;&lt;span&gt;Pendente Aceite Avarias:&lt;/span&gt; Há avarias ou divergências de lacre que precisam ser autorizadas pelo Armador.&lt;/p&gt;
&lt;p&gt; &lt;/p&gt;
&lt;p&gt;&lt;img alt="mceclip19.png" height="38" src="https://atendimento.teconline.com.br/hc/article_attachments/10962083288845" width="144"/&gt;&lt;/p&gt;
&lt;p&gt;&lt;span&gt;Em Análise de Entrega:&lt;/span&gt; Pendente consulta no Siscomex para verificar se há algum bloqueio e se a entrega está liberada.&lt;/p&gt;
&lt;p&gt; &lt;/p&gt;
&lt;p&gt;&lt;img alt="mceclip24.png" src="https://atendimento.teconline.com.br/hc/article_attachments/10962209799693"/&gt;&lt;/p&gt;
&lt;p&gt;&lt;span&gt;Liberado para Agendamento:&lt;/span&gt; Averbação e desembraço do processo realizadas e é possível fazer o agendamento de Retirada.&lt;/p&gt;
&lt;p&gt; &lt;/p&gt;
&lt;p&gt;&lt;img alt="mceclip22.png" height="36" src="https://atendimento.teconline.com.br/hc/article_attachments/10962171060109" width="146"/&gt;&lt;/p&gt;
&lt;p&gt;&lt;span&gt;Agendado:&lt;/span&gt; Já existe um agendamento para esse processo de liberação.&lt;/p&gt;
&lt;p&gt; &lt;/p&gt;
&lt;p&gt;&lt;img alt="mceclip23.png" height="37" src="https://atendimento.teconline.com.br/hc/article_attachments/10962173024525" width="148"/&gt;&lt;/p&gt;
&lt;p&gt;&lt;span&gt;Atendido:&lt;/span&gt; Já existe um agendamento atendido para esse processo de liberação.&lt;/p&gt;
&lt;p&gt; &lt;/p&gt;
&lt;p&gt;&lt;img alt="mceclip16.png" height="42" src="https://atendimento.teconline.com.br/hc/article_attachments/10962024059533" width="143"/&gt;&lt;/p&gt;
&lt;p&gt;&lt;span&gt;Cancelado:&lt;/span&gt; O processo foi cancelado.&lt;/p&gt;
&lt;p&gt; &lt;/p&gt;
&lt;p&gt;Ações possíveis:&lt;/p&gt;
&lt;p&gt; &lt;/p&gt;
&lt;p&gt;&lt;img alt="mceclip26.png" src="https://atendimento.teconline.com.br/hc/article_attachments/10962288719501"/&gt;&lt;span&gt;Editar&lt;/span&gt;: Abre a folha de cadastro, onde é possível baixar os anexos (CTe XML) e alterar as transportadoras associadas ao processo. Permitido somente até que haja um agendamento. Somente o usuário criador pode editar.&lt;/p&gt;
&lt;p&gt;&lt;span&gt;Cancelar:&lt;/span&gt; Cancela a solicitação de liberação.&lt;/p&gt;
&lt;p&gt;&lt;span&gt; Agendar:&lt;/span&gt; Abre a tela de agendamento, somente após a liberação.&lt;/p&gt;
&lt;p&gt;&lt;span&gt;Acompanhamento de Processo:&lt;/span&gt; Abre a tela de Acompanhamento de Processo filtrado pelo documento CTe.&lt;/p&gt;
&lt;p&gt; &lt;/p&gt;
&lt;p&gt;&lt;strong&gt; Imagens operacionalizando&lt;/strong&gt;&lt;/p&gt;
&lt;p&gt;&lt;img alt="mceclip28.gif" src="https://atendimento.teconline.com.br/hc/article_attachments/10970032915469"/&gt;&lt;/p&gt;
&lt;p&gt; &lt;/p&gt;
&lt;p&gt; &lt;/p&gt;
&lt;p&gt; &lt;/p&gt;
&lt;p&gt; &lt;/p&gt;
&lt;p&gt; &lt;/p&gt;</t>
  </si>
  <si>
    <t>https://wilsonsonstrg.zendesk.com/api/v2/help_center/pt-br/articles/10820290343309.json</t>
  </si>
  <si>
    <t>https://atendimento.teconline.com.br/hc/pt-br/articles/10820290343309-21-11-22-Altera%C3%A7%C3%A3o-no-Expediente</t>
  </si>
  <si>
    <t>21/11/22 - Alteração no Expediente</t>
  </si>
  <si>
    <t>['02/12', '03/12', 'recebimento e entrega em 2', 'recebimento e entrega em 3', 'entrega de carga solta em dezembro', 'horário em dezembro', 'alteração no expediente', 'entrega de containers em dezembro', '20/2022']</t>
  </si>
  <si>
    <t>&lt;p&gt;&lt;a href="https://go.pardot.com/webmail/845693/1030821222/59c5689c3c3ae717cfaee4208a52b5bbfa08e284901434d57e5647d3e70bef38" target="_blank"&gt;&lt;img alt="COMUNIADO1.PNG" src="https://atendimento.teconline.com.br/hc/article_attachments/10820151097357"/&gt;&lt;img alt="COMUNICADO2.PNG" src="https://atendimento.teconline.com.br/hc/article_attachments/10820177768205"/&gt;&lt;/a&gt;&lt;/p&gt;</t>
  </si>
  <si>
    <t>https://wilsonsonstrg.zendesk.com/api/v2/help_center/pt-br/articles/10819800438797.json</t>
  </si>
  <si>
    <t>https://atendimento.teconline.com.br/hc/pt-br/articles/10819800438797-21-11-22-Tecon-Santa-Clara-Comunica</t>
  </si>
  <si>
    <t>21/11/22 - Tecon Santa Clara Comunica</t>
  </si>
  <si>
    <t>['feriado', 'santa clara', '2 de dezembro']</t>
  </si>
  <si>
    <t>&lt;p&gt;&lt;a href="https://go.pardot.com/webmail/845693/1030735713/59c5689c3c3ae717cfaee4208a52b5bbfa08e284901434d57e5647d3e70bef38" target="_blank"&gt;&lt;img alt="comunicado1.PNG" src="https://atendimento.teconline.com.br/hc/article_attachments/10819711325197"/&gt;&lt;/a&gt;&lt;/p&gt;
&lt;p&gt;&lt;a href="https://go.pardot.com/webmail/845693/1030735713/59c5689c3c3ae717cfaee4208a52b5bbfa08e284901434d57e5647d3e70bef38" target="_blank"&gt;&lt;img alt="comunicado2.PNG" src="https://atendimento.teconline.com.br/hc/article_attachments/10819739327629"/&gt;&lt;/a&gt;&lt;/p&gt;</t>
  </si>
  <si>
    <t>https://wilsonsonstrg.zendesk.com/api/v2/help_center/pt-br/articles/9142649688077.json</t>
  </si>
  <si>
    <t>https://atendimento.teconline.com.br/hc/pt-br/articles/9142649688077-Retifica%C3%A7%C3%A3o-Nota-Fiscal-de-Exporta%C3%A7%C3%A3o-Carga-Avulsa</t>
  </si>
  <si>
    <t>Retificação Nota Fiscal de Exportação (Carga Avulsa)</t>
  </si>
  <si>
    <t>['exportação', 'nota fiscal', 'retificação', 'due', 'correção de nota', 'alteração de nota', 'nota fiscal de carga avulsa']</t>
  </si>
  <si>
    <t>&lt;p&gt;&lt;span&gt;Segue abaixo o procedimento para alteração da nota fiscal de carga avulsa de exportação.&lt;/span&gt;&lt;/p&gt;
&lt;p&gt; &lt;/p&gt;
&lt;p&gt;&lt;span&gt;Link da opção: &lt;a href="http://hml.teconline.com.br/retificacao-notafiscal" target="_blank"&gt;Clique aqui&lt;/a&gt;&lt;/span&gt;&lt;/p&gt;
&lt;p&gt;&lt;span&gt;&lt;img alt="001.PNG" src="https://atendimento.teconline.com.br/hc/article_attachments/9140584986893/001.PNG"/&gt;&lt;/span&gt;&lt;/p&gt;
&lt;p&gt; &lt;/p&gt;
&lt;p&gt;&lt;span&gt;1. Informar a Nota Fiscal utilizada na entrega da carga avulsa no terminal e selecione "Buscar"&lt;/span&gt;&lt;span&gt;&lt;/span&gt;&lt;/p&gt;
&lt;p&gt;&lt;span&gt;&lt;img alt="002.PNG" src="https://atendimento.teconline.com.br/hc/article_attachments/9140756418189/002.PNG"/&gt;&lt;/span&gt;&lt;/p&gt;
&lt;p&gt; &lt;/p&gt;
&lt;p&gt;&lt;span&gt;2. Localizar a Nota Fiscal&lt;/span&gt;&lt;/p&gt;
&lt;p&gt;&lt;span&gt;&lt;img alt="mceclip0.png" src="https://atendimento.teconline.com.br/hc/article_attachments/9140975701517/mceclip0.png"/&gt;&lt;/span&gt;&lt;/p&gt;
&lt;p&gt; &lt;/p&gt;
&lt;p&gt;3. Selecionar "Retificar"&lt;/p&gt;
&lt;p&gt;&lt;img alt="004.PNG" src="https://atendimento.teconline.com.br/hc/article_attachments/9140987053453/004.PNG"/&gt;&lt;/p&gt;
&lt;p&gt; &lt;/p&gt;
&lt;p&gt;4. Informar o &lt;span&gt;CNPJ vinculado a empresa para emissões de cobranças em&lt;/span&gt; &lt;span&gt;"Cliente / Cobrar de" &lt;/span&gt;&lt;/p&gt;
&lt;p&gt;&lt;img alt="005.PNG" src="https://atendimento.teconline.com.br/hc/article_attachments/9141106362509/005.PNG"/&gt;&lt;/p&gt;
&lt;p&gt; &lt;/p&gt;
&lt;p&gt;5. &lt;span&gt;Selecionar a opção "Escolher arquivo" em "NFe (XML)" para lançamento do XML da nova Nota Fiscal&lt;/span&gt;&lt;/p&gt;
&lt;p&gt;&lt;img alt="007.PNG" src="https://atendimento.teconline.com.br/hc/article_attachments/9141321467533/007.PNG"/&gt;&lt;/p&gt;
&lt;p&gt; &lt;/p&gt;
&lt;p&gt;6. &lt;span&gt;Selecionar a opção "Escolher arquivo" em "Nota (PDF)" para lançamento do PDF da nova Nota Fiscal&lt;/span&gt;&lt;/p&gt;
&lt;p&gt;&lt;img alt="008.PNG" src="https://atendimento.teconline.com.br/hc/article_attachments/9141420803341/008.PNG"/&gt;&lt;/p&gt;
&lt;p&gt; &lt;/p&gt;
&lt;p&gt;7. Selecionar "Confirmar Solicitação"&lt;/p&gt;
&lt;p&gt;&lt;img alt="009.PNG" src="https://atendimento.teconline.com.br/hc/article_attachments/9141506774157/009.PNG"/&gt;&lt;/p&gt;
&lt;p&gt; &lt;/p&gt;
&lt;p&gt;8. &lt;span&gt;Acompanhar o status da retificação conforme abaixo:&lt;/span&gt;&lt;/p&gt;
&lt;p&gt; &lt;/p&gt;
&lt;p&gt;&lt;span&gt;A) Retificação Pendente: Informa o recebimento dos arquivos e aguarda validação.&lt;/span&gt;&lt;/p&gt;
&lt;p&gt;&lt;span&gt;&lt;img alt="011.PNG" src="https://atendimento.teconline.com.br/hc/article_attachments/9142230516877/011.PNG"/&gt;&lt;/span&gt;&lt;/p&gt;
&lt;p&gt; &lt;/p&gt;
&lt;p&gt;B) &lt;span&gt;Retificação Pendente: Informa o recebimento dos arquivos e aguarda validação.&lt;/span&gt;&lt;/p&gt;
&lt;p&gt;&lt;img alt="012.PNG" src="https://atendimento.teconline.com.br/hc/article_attachments/9142505703565/012.PNG"/&gt;&lt;/p&gt;
&lt;p&gt;* Será realizado o envio de email informando o motivo da recusa &lt;/p&gt;
&lt;p&gt; &lt;/p&gt;
&lt;p&gt;C) Retificação Aprovada&lt;/p&gt;
&lt;p&gt;&lt;img alt="015.PNG" src="https://atendimento.teconline.com.br/hc/article_attachments/9159127005325/015.PNG"/&gt;&lt;/p&gt;
&lt;p&gt; &lt;/p&gt;
&lt;p&gt; &lt;/p&gt;
&lt;p&gt;&lt;span&gt;&lt;/span&gt;&lt;strong&gt;Imagens operacionalizando&lt;/strong&gt;&lt;span&gt;&lt;/span&gt;&lt;/p&gt;
&lt;p&gt;&lt;img alt="GUIDE-B2B-14-09-HD.gif" src="https://atendimento.teconline.com.br/hc/article_attachments/9169181301261/GUIDE-B2B-14-09-HD.gif"/&gt;&lt;/p&gt;
&lt;p&gt; &lt;/p&gt;
&lt;p&gt; &lt;/p&gt;
&lt;p&gt; &lt;/p&gt;</t>
  </si>
  <si>
    <t>https://wilsonsonstrg.zendesk.com/api/v2/help_center/pt-br/articles/6615245310605.json</t>
  </si>
  <si>
    <t>https://atendimento.teconline.com.br/hc/pt-br/articles/6615245310605-Cadastro-e-valida%C3%A7%C3%A3o-de-Danfe-para-agendamento-DI</t>
  </si>
  <si>
    <t>Cadastro e validação de Danfe para agendamento DI</t>
  </si>
  <si>
    <t>['agendamento', 'danfe', 'agendamento de importação', 'nota do agendamento', 'como envio a danfe', 'agendamento de di', 'danfe invalida', 'envio de danfe', 'upload da danfe', 'motivo de invalidar danfe', 'consultar danfe', 'erro da danfe no site', 'nota da di']</t>
  </si>
  <si>
    <t>&lt;p&gt; &lt;/p&gt;
&lt;p&gt;Segue descrito abaixo os procedimentos para cadastro da Danfe e consulta de sua validação.&lt;/p&gt;
&lt;p&gt; &lt;/p&gt;
&lt;p&gt;&lt;strong&gt;Anexar a Danfe ao realizar o agendamento&lt;/strong&gt;&lt;/p&gt;
&lt;p&gt;1. Na criação do agendamento, selecionar a opção "Danfe&lt;img alt="mceclip0.png" src="https://atendimento.teconline.com.br/hc/article_attachments/6613234752781/mceclip0.png"/&gt;"&lt;/p&gt;
&lt;p&gt;&lt;img alt="002.PNG" src="https://atendimento.teconline.com.br/hc/article_attachments/6613309664525/002.PNG"/&gt;&lt;/p&gt;
&lt;p&gt; &lt;/p&gt;
&lt;p&gt;2. Selecione "Escolher Arquivos" para anexar o arquivo da Danfe no formato pdf.&lt;/p&gt;
&lt;p&gt;&lt;img alt="003.PNG" src="https://atendimento.teconline.com.br/hc/article_attachments/6614055375757/003.PNG"/&gt;&lt;/p&gt;
&lt;p&gt; &lt;/p&gt;
&lt;p&gt;3. Selecione o container&lt;/p&gt;
&lt;p&gt;&lt;img alt="006.PNG" src="https://atendimento.teconline.com.br/hc/article_attachments/6614499281293/006.PNG"/&gt;&lt;/p&gt;
&lt;p&gt; &lt;/p&gt;
&lt;p&gt;4. Selecione "Salvar"&lt;/p&gt;
&lt;p&gt;&lt;img alt="009.PNG" src="https://atendimento.teconline.com.br/hc/article_attachments/6614626158605/009.PNG"/&gt;&lt;/p&gt;
&lt;p&gt; &lt;/p&gt;
&lt;p&gt; &lt;/p&gt;
&lt;p&gt;&lt;strong&gt;Anexar a Danfe ao consultar o agendamento&lt;/strong&gt;&lt;/p&gt;
&lt;p&gt;1. Selecione a opção "Danfe&lt;img alt="mceclip0.png" src="https://atendimento.teconline.com.br/hc/article_attachments/6613234752781/mceclip0.png"/&gt;"&lt;/p&gt;
&lt;p&gt;&lt;img alt="010.PNG" src="https://atendimento.teconline.com.br/hc/article_attachments/6615204941197/010.PNG"/&gt;&lt;/p&gt;
&lt;p&gt; &lt;/p&gt;
&lt;p&gt;2. Selecione "Escolher Arquivos" para anexar o arquivo da Danfe no formato pdf.&lt;/p&gt;
&lt;p&gt;&lt;img alt="003.PNG" src="https://atendimento.teconline.com.br/hc/article_attachments/6614055375757/003.PNG"/&gt;&lt;/p&gt;
&lt;p&gt; &lt;/p&gt;
&lt;p&gt;3. Selecione o container&lt;/p&gt;
&lt;p&gt;&lt;img alt="006.PNG" src="https://atendimento.teconline.com.br/hc/article_attachments/6614499281293/006.PNG"/&gt;&lt;/p&gt;
&lt;p&gt; &lt;/p&gt;
&lt;p&gt;4. Selecione "Salvar"&lt;/p&gt;
&lt;p&gt;&lt;img alt="009.PNG" src="https://atendimento.teconline.com.br/hc/article_attachments/6614626158605/009.PNG"/&gt;&lt;/p&gt;
&lt;p&gt; &lt;/p&gt;
&lt;p&gt;&lt;strong&gt;Considerações: &lt;/strong&gt;&lt;/p&gt;
&lt;p&gt;- Deve constar na Danfe o número da DI e peso, caso contrário, a mesma não será validada&lt;/p&gt;
&lt;p&gt;- A Danfe “mãe” é válida somente para o primeiro dia do carregamento&lt;/p&gt;
&lt;p&gt;- Para carregamentos da mesma DI em dias alternados, haverá necessidade de cadastro de Danfe filhote, com a numeração do container, DI e seu respectivo peso&lt;/p&gt;
&lt;p&gt;- Para envios de carta de correção, deverá ser adotado o mesmo procedimento de cadastro da Danfe&lt;/p&gt;
&lt;p&gt;- A Danfe será analisada para validação com no mínimo uma hora de antecedência do horário de agendamento&lt;/p&gt;
&lt;p&gt;- A Danfe poderá ser anexada até 20 minutos do horário do agendamento&lt;/p&gt;
&lt;p&gt;- Para realizar a retirada da carga em container é imprescindível o agendamento, cadastro e validação da Danfe&lt;/p&gt;
&lt;p&gt; &lt;/p&gt;
&lt;p&gt;&lt;strong&gt;Procedimento para consulta da validação da Danfe&lt;/strong&gt;&lt;strong&gt; &lt;/strong&gt; &lt;/p&gt;
&lt;p&gt; &lt;/p&gt;
&lt;p&gt;1. Selecionar a opção Agendamento Container&lt;/p&gt;
&lt;p&gt;&lt;img alt="a01.PNG" src="https://atendimento.teconline.com.br/hc/article_attachments/6872292174221/a01.PNG"/&gt;&lt;/p&gt;
&lt;p&gt;   &lt;/p&gt;
&lt;p&gt;2. Realizar a pesquisa por "Container"  &lt;/p&gt;
&lt;p&gt;&lt;img alt="a02.PNG" src="https://atendimento.teconline.com.br/hc/article_attachments/6872309943565/a02.PNG"/&gt;&lt;/p&gt;
&lt;p&gt; &lt;/p&gt;
&lt;p&gt;3. Acompanhar o status da Danfe conforme abaixo:&lt;/p&gt;
&lt;p&gt; &lt;/p&gt;
&lt;p&gt;A) Danfe não Recebida: Não será apresentada informação.&lt;/p&gt;
&lt;p&gt;&lt;img alt="014.PNG" src="https://atendimento.teconline.com.br/hc/article_attachments/6615515432077/014.PNG"/&gt;&lt;/p&gt;
&lt;p&gt; &lt;/p&gt;
&lt;p&gt;B) Danfe anexada: &lt;span&gt;Informa o recebimento do arquivo e aguarda validação.&lt;/span&gt;&lt;/p&gt;
&lt;p&gt;&lt;img alt="013.PNG" src="https://atendimento.teconline.com.br/hc/article_attachments/6615527843341/013.PNG"/&gt;&lt;/p&gt;
&lt;p&gt; &lt;/p&gt;
&lt;p&gt;C) &lt;span&gt;Danfe Validada. &lt;/span&gt;&lt;/p&gt;
&lt;p&gt;&lt;img alt="015.PNG" src="https://atendimento.teconline.com.br/hc/article_attachments/6615636379789/015.PNG"/&gt;&lt;/p&gt;
&lt;p&gt; &lt;/p&gt;
&lt;p&gt;D) Danfe Recusada: &lt;span&gt;Informa que o arquivo possui divergência&lt;/span&gt;&lt;img alt="016.PNG" src="https://atendimento.teconline.com.br/hc/article_attachments/6615964996749/016.PNG"/&gt;&lt;/p&gt;
&lt;p&gt; &lt;/p&gt;
&lt;p&gt;&lt;strong&gt;Observação:&lt;/strong&gt; Para obter informações detalhadas da divergência, selecione "Danfe&lt;img alt="mceclip0.png" src="https://atendimento.teconline.com.br/hc/article_attachments/6613234752781/mceclip0.png"/&gt;"&lt;/p&gt;
&lt;p&gt;&lt;img alt="010.PNG" src="https://atendimento.teconline.com.br/hc/article_attachments/6615204941197/010.PNG"/&gt;&lt;/p&gt;
&lt;p&gt;&lt;img alt="018.PNG" src="https://atendimento.teconline.com.br/hc/article_attachments/6616086498829/018.PNG"/&gt;&lt;/p&gt;
&lt;p&gt; &lt;/p&gt;
&lt;p&gt;&lt;span&gt; &lt;/span&gt;&lt;strong&gt;Imagens operacionalizando&lt;/strong&gt;&lt;span&gt; &lt;/span&gt;&lt;/p&gt;
&lt;p&gt;&lt;img alt="GUIDE-DANFE.gif" src="https://atendimento.teconline.com.br/hc/article_attachments/6627013278093/GUIDE-DANFE.gif"/&gt;&lt;/p&gt;
&lt;p&gt; &lt;/p&gt;</t>
  </si>
  <si>
    <t>https://wilsonsonstrg.zendesk.com/api/v2/help_center/pt-br/articles/4414741485197.json</t>
  </si>
  <si>
    <t>https://atendimento.teconline.com.br/hc/pt-br/articles/4414741485197-Desova-Pier</t>
  </si>
  <si>
    <t>Desova Pier</t>
  </si>
  <si>
    <t>['BL', 'presença de carga', 'identificação de carga', 'como identificar carga', 'packing list', 'desova pier', 'nvocc', 'desconsolidação', 'mhbl', 'coloader', 'bl house', 'documentos para identificação da carga', 'como enviar os documentos para identificação de carga']</t>
  </si>
  <si>
    <t>&lt;p&gt;Segue descrito abaixo os procedimentos para realizar solicitações de Desovas Pier e envio de documentos para identificação de carga para processos de importação.&lt;/p&gt;
&lt;p&gt; &lt;/p&gt;
&lt;p&gt;Link da opção: &lt;a href="http://www.teconline.com.br/desovapier" target="_blank"&gt;Clique aqui&lt;/a&gt;&lt;/p&gt;
&lt;p&gt;&lt;img alt="001.PNG" src="https://atendimento.teconline.com.br/hc/article_attachments/4414727900941/001.PNG"/&gt;&lt;/p&gt;
&lt;p&gt; &lt;/p&gt;
&lt;p&gt;&lt;strong&gt;Opção Desova Pier&lt;/strong&gt;&lt;/p&gt;
&lt;p&gt; &lt;/p&gt;
&lt;p&gt;&lt;span&gt;Para realizar a solicitação:&lt;/span&gt;&lt;/p&gt;
&lt;p&gt; &lt;/p&gt;
&lt;p&gt;1. Selecionar "Nova Solicitação"&lt;/p&gt;
&lt;p&gt;&lt;img alt="002.PNG" src="https://atendimento.teconline.com.br/hc/article_attachments/4414741496461/002.PNG"/&gt;&lt;/p&gt;
&lt;p&gt; &lt;/p&gt;
&lt;p&gt;2. &lt;span&gt;Realizar as operações abaixo:&lt;/span&gt;&lt;/p&gt;
&lt;p&gt;&lt;img alt="003.PNG" src="https://atendimento.teconline.com.br/hc/article_attachments/4414735648653/003.PNG"/&gt;&lt;/p&gt;
&lt;p&gt;&lt;span&gt;A) Informar o BL Master em "MBL"&lt;/span&gt;&lt;/p&gt;
&lt;p&gt;&lt;span&gt;B) Informar o CE do BL Master em "CE MBL"&lt;/span&gt;&lt;/p&gt;
&lt;p&gt;&lt;span&gt;C) Selecionar o Navio e Viagem programado para descarga do container no terminal em "Operação"&lt;/span&gt;&lt;/p&gt;
&lt;p&gt;&lt;span&gt;D) Informar o E-mail para recebimento de notificações via email em "E-Mail"&lt;/span&gt;&lt;/p&gt;
&lt;p&gt;&lt;span&gt;E) Informar o CNPJ para emissões de cobranças em "CNPJ"&lt;/span&gt;&lt;/p&gt;
&lt;p&gt; &lt;/p&gt;
&lt;p&gt;    Para maiores informações sobre cadastros, consulte o artigo abaixo:&lt;/p&gt;
&lt;ul&gt;
&lt;li&gt;&lt;a href="https://atendimento.teconline.com.br/hc/pt-br/articles/360000326551-Solicita%C3%A7%C3%A3o-ou-atualiza%C3%A7%C3%A3o-de-cadastro" target="_blank"&gt;Solicitação ou atualização de cadastro&lt;/a&gt;&lt;/li&gt;
&lt;/ul&gt;
&lt;p&gt;&lt;span&gt;F) Selecionar a opção "Flag" em "termo de Anuência"&lt;/span&gt;&lt;/p&gt;
&lt;p&gt;&lt;span&gt;G) Informar os containers previstos para descarga no terminal em "containers" e selecionar "Add". Adicionar um a um.&lt;/span&gt;&lt;/p&gt;
&lt;p&gt;&lt;span&gt;H) Disponibilizar via upload de arquivos documentos (BL, packing e fatura de cada HBL) em "Anexo"&lt;/span&gt;&lt;/p&gt;
&lt;p&gt; &lt;/p&gt;
&lt;p&gt;&lt;span&gt;&lt;strong&gt;Observação:&lt;/strong&gt; A Ficha de Emergência / FISPQ é obrigatório para realizar operação de desova para containers Químico / Classificado.&lt;/span&gt;&lt;/p&gt;
&lt;p&gt; &lt;/p&gt;
&lt;p&gt;&lt;span&gt;3. Selecionar "Confirmar Solicitação"&lt;/span&gt;&lt;/p&gt;
&lt;p&gt;&lt;span&gt;&lt;img alt="005.PNG" src="https://atendimento.teconline.com.br/hc/article_attachments/4414728613005/005.PNG"/&gt;&lt;/span&gt;&lt;/p&gt;
&lt;p&gt; &lt;/p&gt;
&lt;p&gt;&lt;span&gt;4. Registro da solicitação&lt;/span&gt;&lt;/p&gt;
&lt;p&gt;&lt;span&gt;&lt;img alt="007.PNG" src="https://atendimento.teconline.com.br/hc/article_attachments/4414737832333/007.PNG"/&gt;&lt;/span&gt;&lt;/p&gt;
&lt;p&gt; &lt;/p&gt;
&lt;p&gt;&lt;span&gt;5. Para realizar cancelamento ou alteração, selecione as opções:&lt;/span&gt;&lt;span&gt;&lt;/span&gt;&lt;/p&gt;
&lt;p&gt;&lt;span&gt;A)  &lt;img alt="008icone3.PNG" src="https://atendimento.teconline.com.br/hc/article_attachments/4414738016141/008icone3.PNG"/&gt; Alteração&lt;/span&gt;&lt;/p&gt;
&lt;p&gt;&lt;span&gt;B)  &lt;img alt="008icone2.PNG" src="https://atendimento.teconline.com.br/hc/article_attachments/4414744748941/008icone2.PNG"/&gt; Cancelamento&lt;/span&gt;&lt;/p&gt;
&lt;p&gt;&lt;img alt="008.PNG" src="https://atendimento.teconline.com.br/hc/article_attachments/4414744713997/008.PNG"/&gt;&lt;/p&gt;
&lt;p&gt; &lt;/p&gt;
&lt;p&gt;&lt;span&gt; &lt;/span&gt;&lt;strong&gt;Imagens operacionalizando&lt;/strong&gt;&lt;/p&gt;
&lt;p&gt;&lt;strong&gt;&lt;img alt="SOLICITA__O.gif" src="https://atendimento.teconline.com.br/hc/article_attachments/4414745390093/SOLICITA__O.gif"/&gt;&lt;/strong&gt;&lt;/p&gt;
&lt;p&gt; &lt;/p&gt;
&lt;p&gt; &lt;/p&gt;
&lt;p&gt;&lt;strong&gt;Para envios de documentos para identificação de carga&lt;/strong&gt;&lt;/p&gt;
&lt;p&gt; &lt;/p&gt;
&lt;p&gt;1. Realizar pesquisa por "Container" ou "BL"&lt;/p&gt;
&lt;p&gt;&lt;img alt="009.PNG" src="https://atendimento.teconline.com.br/hc/article_attachments/4414747712141/009.PNG"/&gt;&lt;/p&gt;
&lt;p&gt; &lt;/p&gt;
&lt;p&gt;2. Visualizar a solicitação de Desova&lt;/p&gt;
&lt;p&gt;&lt;img alt="007.PNG" src="https://atendimento.teconline.com.br/hc/article_attachments/4414747761165/007.PNG"/&gt;&lt;/p&gt;
&lt;p&gt; &lt;/p&gt;
&lt;p&gt;3. Selecionar o ícone "Documentos"&lt;/p&gt;
&lt;p&gt;&lt;img alt="010.PNG" src="https://atendimento.teconline.com.br/hc/article_attachments/4414765037965/010.PNG"/&gt;&lt;/p&gt;
&lt;p&gt; &lt;/p&gt;
&lt;p&gt;4. Selecionar "Escolher Arquivos"&lt;/p&gt;
&lt;p&gt;&lt;img alt="0011.PNG" src="https://atendimento.teconline.com.br/hc/article_attachments/4414750230797/0011.PNG"/&gt;&lt;/p&gt;
&lt;p&gt; &lt;/p&gt;
&lt;p&gt;5. Selecionar  "Confirmar Solicitação"&lt;/p&gt;
&lt;p&gt;&lt;img alt="0012.PNG" src="https://atendimento.teconline.com.br/hc/article_attachments/4414747875085/0012.PNG"/&gt;&lt;/p&gt;
&lt;p&gt; &lt;/p&gt;
&lt;p&gt;&lt;span&gt; &lt;/span&gt;&lt;strong&gt;Imagens operacionalizando&lt;/strong&gt;&lt;/p&gt;
&lt;p&gt;&lt;strong&gt;&lt;img alt="ANEXAR-DOCUMENTOS.gif" src="https://atendimento.teconline.com.br/hc/article_attachments/4414747988493/ANEXAR-DOCUMENTOS.gif"/&gt;&lt;/strong&gt;&lt;/p&gt;
&lt;p&gt; &lt;/p&gt;
&lt;p&gt; &lt;/p&gt;</t>
  </si>
  <si>
    <t>https://wilsonsonstrg.zendesk.com/api/v2/help_center/pt-br/articles/4412812626445.json</t>
  </si>
  <si>
    <t>https://atendimento.teconline.com.br/hc/pt-br/articles/4412812626445-Procedimentos-para-Acesso-ao-Terminal</t>
  </si>
  <si>
    <t>Perguntas Frequentes</t>
  </si>
  <si>
    <t>Procedimentos para Acesso ao Terminal</t>
  </si>
  <si>
    <t>['acesso', 'como entrar no terminal', 'como acessar o armazém', 'portaria', 'entrar no terminal', 'entrar no tecon', 'entrar no armazém', 'autorização', 'crachá', 'carta de solicitação', 'acompanhar vistoria', 'acesso ao terminal', 'área alfandegada']</t>
  </si>
  <si>
    <t>&lt;p&gt;Segue descrito abaixo o procedimento para acesso a área alfandegada.&lt;/p&gt;
&lt;p&gt; &lt;/p&gt;
&lt;p&gt;&lt;strong&gt;1.&lt;/strong&gt; Preenchimento da Carta de solicitação ( &lt;a href="https://wilsonsons.zendesk.com/hc/article_attachments/6627839578765/MODELO_ACESSO__REA_OPERACIONAL.doc" target="_blank"&gt;MODELO ACESSO ÁREA OPERACIONAL.doc&lt;/a&gt; )&lt;/p&gt;
&lt;p&gt; &lt;/p&gt;
&lt;p&gt;&lt;strong&gt;Observação:&lt;/strong&gt; Este documento deve ser preenchido e enviado por e-mail para unidadeseguranca.tcrg@wilsonsons.com.br.&lt;/p&gt;
&lt;p&gt; &lt;/p&gt;
&lt;p&gt;&lt;strong&gt;2.&lt;/strong&gt; Preencher o link abaixo para disponibilização de crachá&lt;/p&gt;
&lt;p&gt; &lt;/p&gt;
&lt;p&gt;&lt;strong&gt;Link de agendamento:&lt;/strong&gt;&lt;span&gt; &lt;a href="https://goo.gl/EK3TgE" target="_blank"&gt;https://goo.gl/EK3TgE&lt;/a&gt;&lt;/span&gt;&lt;/p&gt;
&lt;p&gt; &lt;/p&gt;
&lt;p&gt;&lt;strong&gt;3.&lt;/strong&gt; Para empresas prestadoras de serviços, solicitamos que seja preenchida a lista de materiais e ferramentas (link abaixo) a mesma deve ser entregue na Portaria Principal.&lt;/p&gt;
&lt;p&gt; &lt;/p&gt;
&lt;p&gt;&lt;strong&gt;Link do formulário:&lt;/strong&gt;&lt;span&gt; &lt;a href="https://wilsonsons.zendesk.com/hc/article_attachments/5515769800717/Rela__o_de_Materiais_-_Acesso.docx" target="_blank"&gt;Relação de Materiais - Acesso.docx&lt;/a&gt;&lt;/span&gt;&lt;/p&gt;
&lt;p&gt; &lt;/p&gt;
&lt;p&gt;&lt;span&gt;Abaixo disponibilizamos as informações, sobre os EPI's (Equipamentos de Proteção Individual) necessários para acesso as áreas operacionais, armazéns e manutenção.&lt;br/&gt;&lt;br/&gt;• EPI obrigatório área armazém/operacional: Capacete, calça longa, colete refletivo e sapato fechado;&lt;br/&gt;• EPI área manutenção: Capacete, calça longa, colete refletivo, sapato fechado, protetor auricular e óculos de proteção.&lt;br/&gt;&lt;br/&gt;&lt;/span&gt;&lt;/p&gt;
&lt;p&gt;&lt;span&gt;Para maiores informações, favor contatar nosso setor de Atendimento Comercial. &lt;a href="https://atendimento.teconline.com.br/hc/pt-br/articles/360000323871" target="_blank"&gt;Clique aqui&lt;/a&gt;&lt;/span&gt;&lt;/p&gt;
&lt;p&gt; &lt;/p&gt;</t>
  </si>
  <si>
    <t>https://wilsonsonstrg.zendesk.com/api/v2/help_center/pt-br/articles/4410772250125.json</t>
  </si>
  <si>
    <t>https://atendimento.teconline.com.br/hc/pt-br/articles/4410772250125-Canal-no-Telegram-para-motorista</t>
  </si>
  <si>
    <t>Canal no Telegram para motorista</t>
  </si>
  <si>
    <t>['gate', 'motorista', 'telegram', 'aviso sobre parada gate', 'parada gate', 'parada de operação', 'canal de atendimento', 'canal para motoristas']</t>
  </si>
  <si>
    <t>&lt;p&gt;&lt;a href="https://abre.ai/motoristarig" target="_blank"&gt;&lt;img alt="comunicado.PNG" src="https://atendimento.teconline.com.br/hc/article_attachments/4410763618445/comunicado.PNG"/&gt;&lt;/a&gt;&lt;/p&gt;</t>
  </si>
  <si>
    <t>https://wilsonsonstrg.zendesk.com/api/v2/help_center/pt-br/articles/4410447945741.json</t>
  </si>
  <si>
    <t>https://atendimento.teconline.com.br/hc/pt-br/articles/4410447945741-Cadastro-Teconline</t>
  </si>
  <si>
    <t>Cadastro Teconline</t>
  </si>
  <si>
    <t>['teconline', 'senha', 'login', 'senha expirada', 'senha para o site', 'como posso obter acesso ao site', 'como criar login', 'cadastro', 'acesso ao site', 'como criar login e senha']</t>
  </si>
  <si>
    <t>&lt;p&gt;Neste artigo você aprenderá as seguintes funções:&lt;/p&gt;&lt;p&gt; &lt;/p&gt;&lt;p&gt;1 - &lt;a href="https://atendimento.teconline.com.br/hc/pt-br/articles/4410447945741-Solicita%C3%A7%C3%A3o-de-Login-e-Senha#:~:text=login%20e%20senha.-,Solicitar%20um%20perfil%20de%20usu%C3%A1rio%20para%20acesso%20ao%20site,-Teconline"&gt;Solicitar um perfil de usuário para acesso ao site&lt;/a&gt; &lt;a href="www.teconline.com.br" target="_blank"&gt;Teconline&lt;/a&gt;;&lt;/p&gt;&lt;p&gt;2 - &lt;a href="https://atendimento.teconline.com.br/hc/pt-br/articles/4410447945741-Solicita%C3%A7%C3%A3o-de-Login-e-Senha#:~:text=Senha%20de%20acesso.-,Realizar%20o%20MFA%20(Multiplo%20Fator%20de%20Autentica%C3%A7%C3%A3o),-Agora%20chegou%20o"&gt;Realizar o MFA (Multiplo Fator de Autenticação)&lt;/a&gt;;&lt;/p&gt;&lt;p&gt;3 - &lt;a href="https://atendimento.teconline.com.br/hc/pt-br/articles/4410447945741-Cadastro-Teconline#:~:text=permitir%C3%A1%20seu%20acesso.-,Configurar%20o%20MFA%20(Multiplo%20Fator%20de%20Autentica%C3%A7%C3%A3o),-Para%20deixar%20sua"&gt;Configurar o MFA (Multiplo Fator de Autenticação)&lt;/a&gt;.&lt;/p&gt;&lt;p&gt; &lt;/p&gt;&lt;p&gt;Com este artigo você ficará apto para realizar as atividades de cadastro e configuração dos dispositivos de segurança do &lt;a href="www.teconline.com.br" target="_blank"&gt;Teconline&lt;/a&gt;.&lt;/p&gt;&lt;p&gt; &lt;/p&gt;&lt;p&gt;Segue descrito abaixo o procedimento para realizar a criação de login e senha.&lt;/p&gt;&lt;p&gt; &lt;/p&gt;&lt;p&gt;&lt;span&gt;&lt;strong&gt;Solicitar um perfil de usuário para acesso ao site&lt;/strong&gt;&lt;/span&gt; &lt;a href="www.teconline.com.br" target="_blank"&gt;&lt;strong&gt;Teconline&lt;/strong&gt;&lt;/a&gt;&lt;/p&gt;&lt;p&gt; &lt;/p&gt;&lt;p&gt;1. Acessar o link &lt;a href="http://www.teconline.com.br/controle-acesso" target="_blank"&gt;Cadastre-se&lt;/a&gt;&lt;/p&gt;&lt;p&gt;&lt;img alt="logo.PNG" height="205" src="https://atendimento.teconline.com.br/hc/article_attachments/4410453816589" width="721"/&gt;&lt;/p&gt;&lt;p&gt; &lt;/p&gt;&lt;p&gt;2. Ler e aceitar o "Termo de Adesão"&lt;/p&gt;&lt;p&gt;&lt;img alt="01.png" src="https://atendimento.teconline.com.br/hc/article_attachments/4410453858317"/&gt;&lt;/p&gt;&lt;p&gt; &lt;/p&gt;&lt;p&gt;3. Preencher o formulário em "Dados do usuário"&lt;/p&gt;&lt;p&gt;&lt;img alt="02.png" src="https://atendimento.teconline.com.br/hc/article_attachments/4410453880717"/&gt;&lt;/p&gt;&lt;p&gt; &lt;/p&gt;&lt;p&gt;4. Preencher com o "CPF" ou "CNPJ" somente com números&lt;/p&gt;&lt;p&gt;&lt;img alt="03.png" src="https://atendimento.teconline.com.br/hc/article_attachments/4410453918093"/&gt;&lt;/p&gt;&lt;p&gt; &lt;/p&gt;&lt;p&gt;5. Serão apresentados automaticamente os dados da empresa cadastrados no sistema do terminal​&lt;/p&gt;&lt;p&gt;&lt;img alt="04.png" src="https://atendimento.teconline.com.br/hc/article_attachments/4410453993613"/&gt;&lt;/p&gt;&lt;p&gt;&lt;strong&gt;Observação:&lt;/strong&gt; Identificando divergências, favor contatar nosso setor de Atendimento Comercial. Para maiores informações, &lt;a href="https://atendimento.teconline.com.br/hc/pt-br/articles/360000323871" target="_blank"&gt;Clique aqui&lt;/a&gt;&lt;/p&gt;&lt;p&gt; &lt;/p&gt;&lt;p&gt;6. Preencher "Telefone" e "Email da empresa"&lt;/p&gt;&lt;p&gt;&lt;img alt="05.png" src="https://atendimento.teconline.com.br/hc/article_attachments/4410454089101"/&gt;&lt;/p&gt;&lt;p&gt; &lt;/p&gt;&lt;p&gt;7. Selecionar o perfil desejado​&lt;/p&gt;&lt;p&gt;&lt;img alt="06.png" src="https://atendimento.teconline.com.br/hc/article_attachments/4410447630349"/&gt;&lt;/p&gt;&lt;p&gt; &lt;/p&gt;&lt;p&gt;8. Selecionar Salvar&lt;/p&gt;&lt;p&gt;&lt;img alt="07.png" src="https://atendimento.teconline.com.br/hc/article_attachments/4410447654541"/&gt;&lt;/p&gt;&lt;p&gt;9. Após realizar a conclusão, sua solicitação será analisada e será enviado para o e-mail informado no formulário o Login e Senha de acesso.&lt;/p&gt;&lt;p&gt; &lt;/p&gt;&lt;p&gt;&lt;span&gt;&lt;strong&gt;Realizar o MFA (Multiplo Fator de Autenticação)&lt;/strong&gt;&lt;/span&gt;&lt;/p&gt;&lt;p&gt;Agora chegou o momento de usar o usuário e senha que você recebeu no e-mail informado durante o preenchimento dos dados para cadastro.&lt;/p&gt;&lt;p&gt; &lt;/p&gt;&lt;p&gt;1 - Informar Usuário e Senha e clicar em "Acessar minha conta"&lt;/p&gt;&lt;p&gt; &lt;/p&gt;&lt;p&gt;&lt;img height="371" src="https://atendimento.teconline.com.br/hc/article_attachments/41889238828173" width="303"/&gt;&lt;/p&gt;&lt;p&gt; &lt;/p&gt;&lt;p&gt;2 - Enviar código de verificação para o e-mail vinculado ao seu cadastro:&lt;/p&gt;&lt;p&gt; &lt;/p&gt;&lt;p&gt;&lt;img height="379" src="https://atendimento.teconline.com.br/hc/article_attachments/41889238833549" width="455"/&gt;&lt;/p&gt;&lt;p&gt; &lt;/p&gt;&lt;p&gt;3 - Informe o código que você recebeu em seu e-mail para confirmar sua identidade:&lt;/p&gt;&lt;p&gt; &lt;/p&gt;&lt;p&gt;&lt;img height="332" src="https://atendimento.teconline.com.br/hc/article_attachments/41889238835981" width="390"/&gt;&lt;/p&gt;&lt;p&gt;Observação: Lembre-se de verificar sua caixa de spam, caso não tenha recebido o código de verificação do Teconline na caixa de entrada principal.&lt;/p&gt;&lt;p&gt;Assim que você informar o código e clicar em "Confirmar" o site automáticamente permitirá seu acesso.&lt;/p&gt;&lt;p&gt; &lt;/p&gt;&lt;p&gt;&lt;span&gt;&lt;strong&gt;Configurar o MFA (Multiplo Fator de Autenticação)&lt;/strong&gt;&lt;/span&gt;&lt;/p&gt;&lt;p&gt; &lt;/p&gt;&lt;p&gt;Para deixar sua experiência ainda melhor, possibilitamos que você também configure uma palavra-chave e número de celular para receber os códigos de verificação do Teconline.&lt;/p&gt;&lt;p&gt; &lt;/p&gt;&lt;p&gt;1 - Ao clicar no botão &lt;img height="36" src="https://atendimento.teconline.com.br/hc/article_attachments/41889232644365" width="40"/&gt; para que seja disponibilizada as opções de configuração. Logo após em &lt;img height="23" src="https://atendimento.teconline.com.br/hc/article_attachments/41889232645645" width="69"/&gt;:&lt;/p&gt;&lt;p&gt; &lt;/p&gt;&lt;p&gt;&lt;img height="365" src="https://atendimento.teconline.com.br/hc/article_attachments/41889238839693" width="366"/&gt;&lt;/p&gt;&lt;p&gt; &lt;/p&gt;&lt;p&gt;2 - Após ter clicado em &lt;img height="23" src="https://atendimento.teconline.com.br/hc/article_attachments/41889232651149" width="69"/&gt; o site disponibilizará um formulário para "Cadastrar Palavra-chave" e "Cadastrar Celular".&lt;/p&gt;&lt;p&gt; &lt;/p&gt;&lt;p&gt;• &lt;strong&gt;Cadastrar Palavra-chave:&lt;/strong&gt;&lt;/p&gt;&lt;p&gt;&lt;img height="505" src="https://atendimento.teconline.com.br/hc/article_attachments/41889238842381" width="508"/&gt;&lt;/p&gt;&lt;p&gt;• Cadastrar Celular&lt;/p&gt;&lt;p&gt;&lt;img height="438" src="https://atendimento.teconline.com.br/hc/article_attachments/41889232666125" width="505"/&gt;&lt;/p&gt;&lt;p&gt; &lt;/p&gt;&lt;p&gt;Observação: Ambos cadastros são opcionais.&lt;br/&gt;&lt;br/&gt;Após realizar as configurações você poderá escolher a opção que mais desejar:&lt;/p&gt;&lt;p&gt; &lt;/p&gt;&lt;p&gt;&lt;img alt="{CCB1E81E-10BB-471E-A3F9-B737B8F159A2}.png" height="303" src="https://atendimento.teconline.com.br/hc/article_attachments/41955959354893" width="378"/&gt;&lt;/p&gt;&lt;p&gt; &lt;/p&gt;</t>
  </si>
  <si>
    <t>https://wilsonsonstrg.zendesk.com/api/v2/help_center/pt-br/articles/4408342400013.json</t>
  </si>
  <si>
    <t>https://atendimento.teconline.com.br/hc/pt-br/articles/4408342400013-Rainbow</t>
  </si>
  <si>
    <t>Rainbow</t>
  </si>
  <si>
    <t>['rainbow', 'como usar o rainbow', 'cadastro de funcionários', 'desligamento de funcionário', 'documentação para funcionários', 'documentação de funcionários', 'funcionario', 'funcionário', 'funcionários', 'funcionarios', 'cadastro para funcionário', 'empresa', 'documentação de empresa', 'documentação para empresa', 'documentos', 'acesso ao rainbow', 'login para rainbown', 'cadastro de empresa']</t>
  </si>
  <si>
    <t>&lt;p&gt;Segue descrito abaixo procedimento : &lt;/p&gt;
&lt;p&gt;&lt;em&gt;&lt;span&gt;Atenção! &lt;/span&gt;&lt;/em&gt;&lt;em&gt;A partir de Junho/2023 o registro de integração que atualmente era realizado no sistema rainbow a todos os agentes marítimos será substituído pelo Briefing de Segurança.&lt;/em&gt;&lt;/p&gt;
&lt;div&gt;&lt;em&gt;Desta forma quando a integração estiver vencida o colaborador deverá apresentar-se na Portaria Principal e realizar o Briefing de Segurança.&lt;/em&gt;&lt;/div&gt;
&lt;div&gt;&lt;span&gt;.&lt;/span&gt;&lt;/div&gt;
&lt;div&gt;No artigo abaixo você aprenderá sobre:&lt;br/&gt;&lt;span&gt;.&lt;/span&gt;&lt;br/&gt;&lt;a href="https://atendimento.teconline.com.br/hc/pt-br/articles/4408342400013#:~:text=.-,Cadastro%20de%20Despachantes%2C%20Clientes%20e%20Prestadores%20de%20Servi%C3%A7os,-."&gt;• &lt;span&gt;Cadastro de Despachantes, Clientes e Prestadores de Serviços&lt;/span&gt;&lt;/a&gt;
&lt;/div&gt;
&lt;div&gt;&lt;a href="https://atendimento.teconline.com.br/hc/pt-br/articles/4408342400013#:~:text=Imagens%20operacionalizando-,Cadastro%20de%20Fornecedores,-O%20cadastro%20de"&gt;• &lt;span&gt;Cadastro de Fornecedores&lt;/span&gt;&lt;/a&gt;&lt;/div&gt;
&lt;div&gt;&lt;span&gt;.&lt;/span&gt;&lt;/div&gt;
&lt;div&gt;&lt;span&gt;&lt;strong&gt;Cadastro de Despachantes, Clientes e Prestadores de Serviços&lt;/strong&gt;&lt;/span&gt;&lt;/div&gt;
&lt;div&gt;&lt;span&gt;.&lt;/span&gt;&lt;/div&gt;
&lt;p&gt;1) Acesse o site do Tecon Rio Grande, através do endereço &lt;a href="https://www.wilsonsons.com.br/pt-br/teconriogrande/" target="_blank"&gt;www.wilsonsons.com.br&lt;/a&gt;&lt;/p&gt;
&lt;p&gt; &lt;/p&gt;
&lt;p&gt;2) Clique em &lt;strong&gt;Portais&lt;/strong&gt;&lt;/p&gt;
&lt;p&gt;&lt;strong&gt;&lt;img alt="01.PNG" src="https://atendimento.teconline.com.br/hc/article_attachments/4409114016141"/&gt;&lt;/strong&gt;&lt;/p&gt;
&lt;p&gt; &lt;/p&gt;
&lt;p&gt;3) Clique em &lt;strong&gt;Portal de Fornecedores&lt;/strong&gt;&lt;/p&gt;
&lt;p&gt;&lt;img alt="02.PNG" src="https://atendimento.teconline.com.br/hc/article_attachments/4409119810701"/&gt;&lt;/p&gt;
&lt;p&gt; &lt;/p&gt;
&lt;p&gt;4) Inserir &lt;strong&gt;Usuário&lt;/strong&gt; e &lt;strong&gt;Senha&lt;/strong&gt; para acessar&lt;/p&gt;
&lt;p&gt;&lt;img alt="03.PNG" src="https://atendimento.teconline.com.br/hc/article_attachments/4408342113037"/&gt;&lt;/p&gt;
&lt;p&gt; &lt;/p&gt;
&lt;p&gt;&lt;strong&gt;Observação:&lt;/strong&gt; Login e Senha serão enviados automaticamente pelo sistema após o cadastro da empresa realizado pelo ponto focal.&lt;/p&gt;
&lt;p&gt;E-mail: &lt;a href="andressa.martins@wilsonsons.com.br" target="_self"&gt;&lt;span&gt;andressa.martins@wilsonsons.com.br&lt;/span&gt;&lt;/a&gt;&lt;/p&gt;
&lt;p&gt;Telefone: (53) 3234-3035&lt;/p&gt;
&lt;p&gt; &lt;/p&gt;
&lt;p&gt;&lt;span&gt;&lt;strong&gt;Documentação da Empresa&lt;/strong&gt;&lt;/span&gt;&lt;span&gt;&lt;/span&gt;&lt;/p&gt;
&lt;p&gt;- O sistema aceita arquivos em PDF e JPG, no tamanho máximo de 10MB por arquivo.&lt;/p&gt;
&lt;p&gt;&lt;strong&gt;&lt;img alt="04.PNG" src="https://atendimento.teconline.com.br/hc/article_attachments/4408342302733"/&gt;&lt;/strong&gt;&lt;/p&gt;
&lt;p&gt; &lt;/p&gt;
&lt;p&gt;- Clique em &lt;strong&gt;Rainbow / Sistemas&lt;/strong&gt; e logo após &lt;strong&gt;Cadastro de Empresas&lt;/strong&gt;&lt;/p&gt;
&lt;p&gt;&lt;img alt="05.PNG" src="https://atendimento.teconline.com.br/hc/article_attachments/4408347972749"/&gt;&lt;/p&gt;
&lt;p&gt; &lt;/p&gt;
&lt;p&gt;- Clicar no ícone correspondente à documentação da empresa&lt;/p&gt;
&lt;p&gt;&lt;img alt="06.PNG" src="https://atendimento.teconline.com.br/hc/article_attachments/4408342546829"/&gt;&lt;/p&gt;
&lt;p&gt; &lt;/p&gt;
&lt;p&gt;- Nesta tela é possível visualizar e anexar todos documentos exigíveis da empresa&lt;/p&gt;
&lt;p&gt;&lt;img alt="07.PNG" src="https://atendimento.teconline.com.br/hc/article_attachments/4408342612365"/&gt;&lt;/p&gt;
&lt;p&gt; &lt;/p&gt;
&lt;p&gt;- Clique no ícone &lt;strong&gt;Administrar Documentos&lt;/strong&gt; para anexar e enviar a documentação da empresa&lt;/p&gt;
&lt;p&gt;&lt;img alt="08.PNG" src="https://atendimento.teconline.com.br/hc/article_attachments/4408342649997"/&gt;&lt;/p&gt;
&lt;p&gt; &lt;/p&gt;
&lt;p&gt;- Clique em &lt;strong&gt;Adicionar&lt;/strong&gt;&lt;/p&gt;
&lt;p&gt;&lt;strong&gt;&lt;img alt="09.PNG" src="https://atendimento.teconline.com.br/hc/article_attachments/4408342677389"/&gt;&lt;/strong&gt;&lt;/p&gt;
&lt;p&gt; &lt;/p&gt;
&lt;p&gt;- Preencha a data de entrega de acordo com o dia do envio e após clique &lt;strong&gt;Salvar&lt;/strong&gt;&lt;/p&gt;
&lt;p&gt;&lt;strong&gt;&lt;img alt="10.PNG" src="https://atendimento.teconline.com.br/hc/article_attachments/4408342732301"/&gt;&lt;/strong&gt;&lt;/p&gt;
&lt;p&gt; &lt;/p&gt;
&lt;p&gt;- Para anexar o documento clique no ícone correspondente a &lt;strong&gt;Documentos Digitalizados&lt;/strong&gt;&lt;/p&gt;
&lt;p&gt;&lt;strong&gt;&lt;img alt="11.PNG" src="https://atendimento.teconline.com.br/hc/article_attachments/4408342766093"/&gt;&lt;/strong&gt;&lt;/p&gt;
&lt;p&gt; &lt;/p&gt;
&lt;p&gt;- Clique em &lt;strong&gt;Anexar&lt;/strong&gt;&lt;/p&gt;
&lt;p&gt;&lt;strong&gt;&lt;img alt="12.PNG" src="https://atendimento.teconline.com.br/hc/article_attachments/4408348115213"/&gt;&lt;/strong&gt;&lt;/p&gt;
&lt;p&gt; &lt;/p&gt;
&lt;p&gt;- Selecione o documento no computador e &lt;strong&gt;Abrir&lt;/strong&gt;&lt;/p&gt;
&lt;p&gt;&lt;strong&gt;&lt;img alt="13.PNG" src="https://atendimento.teconline.com.br/hc/article_attachments/4408342809229"/&gt;&lt;/strong&gt;&lt;/p&gt;
&lt;p&gt; &lt;/p&gt;
&lt;p&gt;- Verifique se o documento selecionado consta nos anexos e clique após em &lt;strong&gt;Fechar&lt;/strong&gt;.&lt;/p&gt;
&lt;p&gt;&lt;img alt="14.PNG" src="https://atendimento.teconline.com.br/hc/article_attachments/4408373248141"/&gt;&lt;/p&gt;
&lt;p&gt; &lt;/p&gt;
&lt;p&gt;&lt;strong&gt;Imagens operacionalizando&lt;/strong&gt;&lt;/p&gt;
&lt;p&gt;&lt;strong&gt;&lt;img alt="GUIDE-RAINBOWN-DOCUMENTA__O-DA-EMPRESA.gif" src="https://atendimento.teconline.com.br/hc/article_attachments/4408424492813"/&gt;&lt;/strong&gt;&lt;/p&gt;
&lt;p&gt; &lt;/p&gt;
&lt;p&gt; &lt;/p&gt;
&lt;p&gt; &lt;/p&gt;
&lt;p&gt;&lt;span&gt;&lt;strong&gt;Cadastro de funcionários&lt;/strong&gt;&lt;/span&gt;&lt;span&gt;&lt;/span&gt;&lt;/p&gt;
&lt;p&gt;- Clicar em &lt;strong&gt;Cadastro de funcionários&lt;/strong&gt;&lt;/p&gt;
&lt;p&gt;&lt;img alt="b01.PNG" src="https://atendimento.teconline.com.br/hc/article_attachments/4408366245773"/&gt;&lt;/p&gt;
&lt;p&gt; &lt;/p&gt;
&lt;p&gt;- Clique no ícone correspondente a &lt;strong&gt;Novo&lt;/strong&gt;&lt;/p&gt;
&lt;p&gt;&lt;strong&gt;&lt;img alt="b02.PNG" src="https://atendimento.teconline.com.br/hc/article_attachments/4408374060173"/&gt;&lt;/strong&gt;&lt;/p&gt;
&lt;p&gt; &lt;/p&gt;
&lt;p&gt;- Preencher todos os campos abaixo:&lt;/p&gt;
&lt;p&gt;&lt;span&gt;Empresa:&lt;/span&gt; nome da empresa&lt;/p&gt;
&lt;p&gt;&lt;span&gt;Perfil:&lt;/span&gt; selecionar o perfil da lista suspensa&lt;/p&gt;
&lt;p&gt;&lt;span&gt;Matricula:&lt;/span&gt; Clicar no sinal de +&lt;/p&gt;
&lt;p&gt;&lt;span&gt;Nome:&lt;/span&gt; Adicionar o nome do funcionário a ser cadastrado.&lt;/p&gt;
&lt;p&gt;&lt;img alt="b03.PNG" src="https://atendimento.teconline.com.br/hc/article_attachments/4408366351629"/&gt;&lt;/p&gt;
&lt;p&gt; &lt;/p&gt;
&lt;p&gt;- Clicar na lista suspensa que aparece no campo contrato e selecioná-la&lt;/p&gt;
&lt;p&gt;&lt;img alt="b04.PNG" src="https://atendimento.teconline.com.br/hc/article_attachments/4408374246285"/&gt;&lt;/p&gt;
&lt;p&gt; &lt;/p&gt;
&lt;p&gt;- Campos obrigatórios&lt;/p&gt;
&lt;p&gt;&lt;span&gt;CPF:&lt;/span&gt; Colocar o CPF do funcionário&lt;/p&gt;
&lt;p&gt;&lt;span&gt;Data de admissão:&lt;/span&gt; Data de admissão contida na CTPS&lt;/p&gt;
&lt;p&gt;&lt;span&gt;Função:&lt;/span&gt; Função descrita na CTPS&lt;/p&gt;
&lt;p&gt;&lt;span&gt;Matrícula Externa:&lt;/span&gt; Colocar o RG do colaborador que está sendo cadastrado&lt;/p&gt;
&lt;p&gt;&lt;span&gt;Órgão emissor do RG:&lt;/span&gt; Repetir o RG do colaborador&lt;/p&gt;
&lt;p&gt;&lt;span&gt;Superior:&lt;/span&gt; Informar o nome do responsável pela equipe que executará a prestação de serviço&lt;/p&gt;
&lt;p&gt;&lt;span&gt;Telefone da empresa:&lt;/span&gt; Colocar o telefone da empresa&lt;/p&gt;
&lt;p&gt;&lt;span&gt;UF:&lt;/span&gt; Colocar o estado emissor do RG&lt;/p&gt;
&lt;p&gt;&lt;span&gt;Local da prestação:&lt;/span&gt; Tecon Rio Grande ou WilsonSons LOG&lt;/p&gt;
&lt;p&gt; &lt;/p&gt;
&lt;p&gt;- Clique em &lt;strong&gt;Salvar&lt;/strong&gt; e retorne ao início do processo para inserção de mais colaboradores&lt;/p&gt;
&lt;p&gt;&lt;img alt="b05.PNG" src="https://atendimento.teconline.com.br/hc/article_attachments/4408374494605"/&gt;&lt;/p&gt;
&lt;p&gt; &lt;/p&gt;
&lt;p&gt;&lt;strong&gt;Imagens operacionalizando&lt;/strong&gt;&lt;/p&gt;
&lt;p&gt;&lt;strong&gt;&lt;img alt="GUIDE-RAINBOWN-CADASTRO-DE-FUNCION_RIOS.gif" src="https://atendimento.teconline.com.br/hc/article_attachments/4408424757773"/&gt;&lt;/strong&gt;&lt;/p&gt;
&lt;p&gt; &lt;/p&gt;
&lt;p&gt; &lt;/p&gt;
&lt;p&gt; &lt;/p&gt;
&lt;p&gt;&lt;span&gt;&lt;strong&gt;Documentação de funcionários&lt;/strong&gt;&lt;/span&gt;&lt;span&gt;&lt;/span&gt;&lt;/p&gt;
&lt;p&gt;- No menu inicial, clique na opção &lt;strong&gt;Cadastro de Funcionários &lt;/strong&gt;&lt;/p&gt;
&lt;p&gt;&lt;img alt="b06.PNG" src="https://atendimento.teconline.com.br/hc/article_attachments/4408374581133"/&gt;&lt;/p&gt;
&lt;p&gt; &lt;/p&gt;
&lt;p&gt;- Selecione o tipo de filtro &lt;strong&gt;Empresa&lt;/strong&gt;&lt;/p&gt;
&lt;p&gt;&lt;strong&gt;&lt;img alt="b07.PNG" src="https://atendimento.teconline.com.br/hc/article_attachments/4408374701197"/&gt;&lt;/strong&gt;&lt;/p&gt;
&lt;p&gt; &lt;/p&gt;
&lt;p&gt;- Digite o nome da empresa no campo Filtrar dados, clique em &lt;strong&gt;Filtrar&lt;/strong&gt;&lt;/p&gt;
&lt;p&gt; &lt;/p&gt;
&lt;p&gt;- Em seguida aparecerá a lista dos funcionários cadastrados&lt;/p&gt;
&lt;p&gt;&lt;strong&gt;&lt;img alt="b08.PNG" src="https://atendimento.teconline.com.br/hc/article_attachments/4408374833421"/&gt;&lt;/strong&gt;&lt;/p&gt;
&lt;p&gt; &lt;/p&gt;
&lt;p&gt;- O 3º ícone corresponde à &lt;strong&gt;Documentação de Funcionário&lt;/strong&gt;, onde se encontra a documentação exigível que deverá ser anexada.&lt;strong&gt;&lt;br/&gt;&lt;/strong&gt;&lt;/p&gt;
&lt;p&gt;&lt;img alt="b09.PNG" src="https://atendimento.teconline.com.br/hc/article_attachments/4408374971789"/&gt;&lt;/p&gt;
&lt;p&gt; &lt;/p&gt;
&lt;p&gt;- Clique no ícone, correspondente à &lt;strong&gt;Administração de Documentos&lt;/strong&gt;&lt;/p&gt;
&lt;p&gt;&lt;strong&gt;&lt;img alt="b10.PNG" src="https://atendimento.teconline.com.br/hc/article_attachments/4408375027981"/&gt;&lt;/strong&gt;&lt;/p&gt;
&lt;p&gt; &lt;/p&gt;
&lt;p&gt;&lt;strong&gt;- Adicionar&lt;/strong&gt;&lt;/p&gt;
&lt;p&gt;&lt;strong&gt;&lt;img alt="b11.PNG" src="https://atendimento.teconline.com.br/hc/article_attachments/4408375089037"/&gt;&lt;/strong&gt;&lt;/p&gt;
&lt;p&gt; &lt;/p&gt;
&lt;p&gt;- Preencha a data de entrega de acordo com a data em que os documentos estão sendo entregues.&lt;strong&gt;&lt;br/&gt;&lt;/strong&gt;&lt;/p&gt;
&lt;p&gt; &lt;/p&gt;
&lt;p&gt;- O campo &lt;strong&gt;Data da Emissão&lt;/strong&gt; deverá ser preenchido com a data do documento. Logo após, clique em &lt;strong&gt;Salvar&lt;/strong&gt;.&lt;/p&gt;
&lt;p&gt;&lt;img alt="b12.PNG" src="https://atendimento.teconline.com.br/hc/article_attachments/4408375156621"/&gt;&lt;/p&gt;
&lt;p&gt; &lt;/p&gt;
&lt;p&gt;- Após salvar os dados, clique em &lt;strong&gt;OK.&lt;/strong&gt;&lt;/p&gt;
&lt;p&gt;&lt;strong&gt;&lt;img alt="b13.PNG" src="https://atendimento.teconline.com.br/hc/article_attachments/4408375217421"/&gt;&lt;/strong&gt;&lt;/p&gt;
&lt;p&gt; &lt;/p&gt;
&lt;p&gt;- Clique no ícone correspondente a &lt;strong&gt;Documentos Digitalizados.&lt;/strong&gt;&lt;/p&gt;
&lt;p&gt;&lt;strong&gt;&lt;img alt="b14.PNG" src="https://atendimento.teconline.com.br/hc/article_attachments/4408375261581"/&gt;&lt;/strong&gt;&lt;/p&gt;
&lt;p&gt; &lt;/p&gt;
&lt;p&gt;&lt;strong&gt;- Anexar.&lt;/strong&gt;&lt;/p&gt;
&lt;p&gt;&lt;strong&gt;&lt;img alt="b15.PNG" src="https://atendimento.teconline.com.br/hc/article_attachments/4408366890509"/&gt;&lt;/strong&gt;&lt;/p&gt;
&lt;p&gt; &lt;/p&gt;
&lt;p&gt;- Selecione o documento no computador &lt;strong&gt;Abrir&lt;/strong&gt;&lt;/p&gt;
&lt;p&gt;&lt;strong&gt;&lt;img alt="b16.PNG" src="https://atendimento.teconline.com.br/hc/article_attachments/4408366921485"/&gt;&lt;/strong&gt;&lt;/p&gt;
&lt;p&gt; &lt;/p&gt;
&lt;p&gt;- Verifique se o documento selecionado consta nos Anexos e clique após em &lt;strong&gt;Fechar.&lt;/strong&gt;&lt;/p&gt;
&lt;p&gt;&lt;strong&gt;&lt;img alt="b17.PNG" src="https://atendimento.teconline.com.br/hc/article_attachments/4408375408269"/&gt;&lt;/strong&gt;&lt;/p&gt;
&lt;p&gt; &lt;/p&gt;
&lt;p&gt;- Caso seja necessário excluir um documento anexado, basta clicar no 3º ícone &lt;strong&gt;Excluir Lançamento&lt;/strong&gt; e&lt;strong&gt; Ok&lt;br/&gt;&lt;/strong&gt;&lt;/p&gt;
&lt;p&gt;&lt;strong&gt;&lt;img alt="b18.PNG" src="https://atendimento.teconline.com.br/hc/article_attachments/4408375656461"/&gt;&lt;/strong&gt;&lt;/p&gt;
&lt;p&gt; &lt;/p&gt;
&lt;p&gt;&lt;strong&gt;Imagens operacionalizando&lt;/strong&gt;&lt;/p&gt;
&lt;p&gt;&lt;img alt="GUIDE-RAINBOWN-DOCUMENTA__O-DE-FUNCION_RIOS.gif" src="https://atendimento.teconline.com.br/hc/article_attachments/4408421584013"/&gt;&lt;/p&gt;
&lt;p&gt; &lt;/p&gt;
&lt;p&gt; &lt;/p&gt;
&lt;p&gt;&lt;span&gt;&lt;strong&gt;Desligamento de funcionário&lt;/strong&gt;&lt;/span&gt;&lt;span&gt;&lt;/span&gt;&lt;/p&gt;
&lt;p&gt;- No menu inicial, clique na opção &lt;strong&gt;Cadastro de Funcionários &lt;/strong&gt;&lt;/p&gt;
&lt;p&gt;&lt;strong&gt;&lt;img alt="b01.PNG" src="https://atendimento.teconline.com.br/hc/article_attachments/4408375697165"/&gt;&lt;/strong&gt;&lt;/p&gt;
&lt;p&gt; &lt;/p&gt;
&lt;p&gt;- Selecione o tipo de filtro &lt;strong&gt;Empresa&lt;/strong&gt;&lt;/p&gt;
&lt;p&gt;&lt;strong&gt;&lt;img alt="b07.PNG" src="https://atendimento.teconline.com.br/hc/article_attachments/4408375755277"/&gt;&lt;/strong&gt;&lt;/p&gt;
&lt;p&gt; &lt;/p&gt;
&lt;p&gt;- Digite o nome da empresa no campo Filtrar dados, clique em &lt;strong&gt;Filtrar&lt;/strong&gt;&lt;/p&gt;
&lt;p&gt; &lt;/p&gt;
&lt;p&gt;- Em seguida aparecerá a lista dos funcionários cadastrados&lt;/p&gt;
&lt;p&gt;&lt;img alt="b08.PNG" src="https://atendimento.teconline.com.br/hc/article_attachments/4408375813389"/&gt;&lt;/p&gt;
&lt;p&gt; &lt;/p&gt;
&lt;p&gt;- O primeiro ícone corresponde à função de &lt;strong&gt;Editar Dados do Funcionário&lt;/strong&gt;, sendo possível a modificação ou acréscimo de informações&lt;/p&gt;
&lt;p&gt;&lt;strong&gt;&lt;img alt="c01.PNG" src="https://atendimento.teconline.com.br/hc/article_attachments/4408375881613"/&gt;&lt;/strong&gt;&lt;/p&gt;
&lt;p&gt; &lt;/p&gt;
&lt;p&gt;- Há dois critérios para desligamento de funcionário no sistema:&lt;strong&gt;&lt;br/&gt;&lt;/strong&gt;&lt;/p&gt;
&lt;p&gt;A) O colaborador deixa de prestar atividade na unidade da Wilson Sons&lt;/p&gt;
&lt;p&gt;B) O colaborador deixa de fazer parte do quadro de colaboradores da empresa contratada&lt;/p&gt;
&lt;p&gt; &lt;/p&gt;
&lt;p&gt;- Apenas não presta mais serviço na Wilson Sons: Preencher campo &lt;strong&gt;Motivo&lt;/strong&gt;.&lt;/p&gt;
&lt;p&gt;- Não faz mais parte do quadro de colaboradores da empresa: Preencher campo &lt;strong&gt;Motivo demissão&lt;/strong&gt;.&lt;/p&gt;
&lt;p&gt;&lt;img alt="c02.PNG" src="https://atendimento.teconline.com.br/hc/article_attachments/4408376021133"/&gt;&lt;/p&gt;
&lt;p&gt; &lt;/p&gt;
&lt;p&gt;- Após editados os dados, clique em &lt;strong&gt;Salvar&lt;/strong&gt;&lt;/p&gt;
&lt;p&gt;&lt;strong&gt;&lt;img alt="c03.PNG" src="https://atendimento.teconline.com.br/hc/article_attachments/4408367263117"/&gt;&lt;/strong&gt;&lt;/p&gt;
&lt;p&gt; &lt;/p&gt;
&lt;p&gt;&lt;strong&gt;Imagens operacionalizando&lt;/strong&gt;&lt;/p&gt;
&lt;p&gt;&lt;strong&gt;&lt;img alt="GUIDE-RAINBOWN-DESLIGAMENTO-DE-FUNCION_RIOS.gif" src="https://atendimento.teconline.com.br/hc/article_attachments/4408427613453"/&gt;&lt;/strong&gt;&lt;/p&gt;
&lt;p&gt; &lt;/p&gt;
&lt;p&gt;&lt;span&gt;&lt;strong&gt;Cadastro de Fornecedores&lt;/strong&gt;&lt;/span&gt;&lt;/p&gt;
&lt;p&gt;&lt;span&gt;&lt;/span&gt;&lt;span&gt;O cadastro de fornecedores deverá ser realizado através da plataforma BEXUP, conforme em anexo.&lt;/span&gt;&lt;/p&gt;
&lt;p&gt; &lt;/p&gt;
&lt;p&gt; &lt;/p&gt;
&lt;p&gt; &lt;/p&gt;
&lt;p&gt; &lt;/p&gt;
&lt;p&gt;Havendo dúvidas, gentileza entrar em contato:&lt;/p&gt;
&lt;p&gt;E-mail: &lt;a href="andressa.martins@wilsonsons.com.br" target="_self"&gt;&lt;span&gt;andressa.martins@wilsonsons.com.br&lt;/span&gt;&lt;/a&gt;&lt;/p&gt;
&lt;p&gt;Telefone: (53) 3234-3035&lt;/p&gt;</t>
  </si>
  <si>
    <t>https://wilsonsonstrg.zendesk.com/api/v2/help_center/pt-br/articles/4402863718029.json</t>
  </si>
  <si>
    <t>https://atendimento.teconline.com.br/hc/pt-br/articles/4402863718029-Como-realizar-reclama%C3%A7%C3%A3o</t>
  </si>
  <si>
    <t>Reclamação</t>
  </si>
  <si>
    <t>Como realizar reclamação</t>
  </si>
  <si>
    <t>['quero falar com o terminal', 'reclamação', 'reclamacao', 'quero realizar uma reclamação', 'quero reclamar', 'como reclamar', 'reclamar', 'registro de reclamação']</t>
  </si>
  <si>
    <t>&lt;p&gt;Para realizar a sua reclamação, utilize o &lt;a href="https://atendimento.teconline.com.br/" target="_self"&gt;Portal do cliente.&lt;/a&gt;&lt;/p&gt;
&lt;p&gt;Link: &lt;a href="https://atendimento.teconline.com.br/" target="_blank"&gt;Clique aqui&lt;/a&gt;&lt;/p&gt;
&lt;p&gt; &lt;/p&gt;
&lt;p&gt;Selecione a opção &lt;a href="https://atendimento.teconline.com.br/hc/pt-br/requests/new" target="_self"&gt;Enviar uma Solicitação&lt;/a&gt;&lt;/p&gt;
&lt;p&gt;&lt;img alt="reclamar01.PNG" src="https://atendimento.teconline.com.br/hc/article_attachments/4402856626061/reclamar01.PNG"/&gt;&lt;/p&gt;
&lt;p&gt; &lt;/p&gt;
&lt;p&gt; &lt;/p&gt;
&lt;p&gt;Selecione &lt;strong&gt;Reclamação&lt;/strong&gt;&lt;/p&gt;
&lt;p&gt;&lt;strong&gt;&lt;img alt="reclamar02.PNG" src="https://atendimento.teconline.com.br/hc/article_attachments/4402856643085/reclamar02.PNG"/&gt;&lt;/strong&gt;&lt;/p&gt;
&lt;p&gt; &lt;/p&gt;
&lt;p&gt; &lt;/p&gt;
&lt;p&gt;Preencha todos os campos&lt;/p&gt;
&lt;p&gt;&lt;img alt="reclama__o-formul_rio.PNG" src="https://atendimento.teconline.com.br/hc/article_attachments/4402856674445/reclama__o-formul_rio.PNG"/&gt;&lt;/p&gt;
&lt;p&gt; &lt;/p&gt;
&lt;p&gt; &lt;/p&gt;
&lt;p&gt;Selecione &lt;strong&gt;Enviar&lt;/strong&gt;&lt;/p&gt;
&lt;p&gt;&lt;strong&gt;&lt;img alt="reclama__o-formul_rio-enviar.png" src="https://atendimento.teconline.com.br/hc/article_attachments/4402863320717/reclama__o-formul_rio-enviar.png"/&gt;&lt;/strong&gt;&lt;/p&gt;
&lt;p&gt; &lt;/p&gt;
&lt;p&gt;Será realizado envio do Protocolo de Atendimento para o endereço de email informado no formulário&lt;/p&gt;
&lt;p&gt; &lt;/p&gt;
&lt;p&gt;&lt;strong&gt;&lt;img alt="protocolo-de-atendimento.PNG" src="https://atendimento.teconline.com.br/hc/article_attachments/4402863444877/protocolo-de-atendimento.PNG"/&gt;&lt;/strong&gt;&lt;/p&gt;
&lt;p&gt; &lt;/p&gt;
&lt;p&gt;Dúvidas, gentileza contatar nossos canais de atendimento. Para maiores informações, &lt;a href="https://atendimento.teconline.com.br/hc/pt-br/articles/360000323871-Canais-de-Atendimento-ao-Cliente" target="_self"&gt;clique aqui&lt;/a&gt;&lt;/p&gt;
&lt;p&gt; &lt;/p&gt;
&lt;p&gt; &lt;/p&gt;
&lt;p&gt; &lt;/p&gt;
&lt;p&gt; &lt;/p&gt;
&lt;p&gt; &lt;/p&gt;
&lt;p&gt; &lt;/p&gt;</t>
  </si>
  <si>
    <t>https://wilsonsonstrg.zendesk.com/api/v2/help_center/pt-br/articles/360058846591.json</t>
  </si>
  <si>
    <t>https://atendimento.teconline.com.br/hc/pt-br/articles/360058846591-Lan%C3%A7amento-de-nota-fiscal-bagagem-Exporta%C3%A7%C3%A3o-Beta-com-Video</t>
  </si>
  <si>
    <t>DÚVIDAS GERAIS</t>
  </si>
  <si>
    <t>Lançamento de nota fiscal bagagem - Exportação (Beta com Video)</t>
  </si>
  <si>
    <t>&lt;p&gt;O processo de bagagem não possui nota fiscal, porém é indispensável o lançamento dos dados referentes a carga. Para tal, favor seguir o procedimento listado abaixo:&lt;/p&gt;
&lt;p&gt; &lt;/p&gt;
&lt;p&gt;Link da opção: &lt;a href="http://www.teconline.com.br/agendamento-nota-fiscal/cadastro" target="_blank"&gt;Clique aqui.&lt;/a&gt;&lt;/p&gt;
&lt;p&gt;&lt;img alt="01.PNG" src="https://atendimento.teconline.com.br/hc/article_attachments/360090262751/01.PNG"/&gt;&lt;/p&gt;
&lt;p&gt;&lt;strong&gt;&lt;u&gt;Lançamento manual&lt;/u&gt;&lt;/strong&gt;&lt;/p&gt;
&lt;p&gt;1. Selecionar a opção "Nova Nota Fiscal"   &lt;/p&gt;
&lt;p&gt;&lt;img alt="02.PNG" src="https://atendimento.teconline.com.br/hc/article_attachments/360090262871/02.PNG"/&gt;&lt;/p&gt;
&lt;p&gt; &lt;/p&gt;
&lt;p&gt;2. Selecionar a opção "Bagagem"   &lt;/p&gt;
&lt;p&gt;&lt;img alt="03.PNG" src="https://atendimento.teconline.com.br/hc/article_attachments/360090263051/03.PNG"/&gt;&lt;/p&gt;
&lt;p&gt; &lt;/p&gt;
&lt;p&gt;3. Preencher os campos abaixo:&lt;/p&gt;
&lt;p&gt;      - Nro. DUE&lt;/p&gt;
&lt;p&gt;      - Quantidade total&lt;/p&gt;
&lt;p&gt;      - Peso total (bruto)&lt;/p&gt;
&lt;p&gt;      - Transportadora&lt;/p&gt;
&lt;p&gt;      - Emissão e Saída&lt;/p&gt;
&lt;p&gt;      - Valor total         &lt;/p&gt;
&lt;p&gt;      - Dados do Exportador      &lt;/p&gt;
&lt;p&gt;     &lt;img alt="mceclip3.png" height="65" src="https://atendimento.teconline.com.br/hc/article_attachments/360046248592/mceclip3.png" width="606"/&gt;&lt;/p&gt;
&lt;p&gt;&lt;strong&gt;      Observação:&lt;/strong&gt;  Caso  você visualize  a  mensagem  "CNPJ não cadastrado",  favor entrar em contato                com Atendimento Comercial. Para maiores informações, &lt;a href="https://atendimento.teconline.com.br/hc/pt-br/articles/360000323871-Canais-de-Atendimento-ao-Cliente" target="_self"&gt;clique aqui.&lt;/a&gt;&lt;/p&gt;
&lt;p&gt;      - CNPJ/CPF do Destinatário &lt;/p&gt;
&lt;p&gt;      - Razão Social do Destinatário &lt;/p&gt;
&lt;p&gt;      - Inscrição&lt;/p&gt;
&lt;p&gt;      - País (nome de consulta em inglês)&lt;/p&gt;
&lt;p&gt;      - UF&lt;/p&gt;
&lt;p&gt;      - Cliente Estrangeiro&lt;/p&gt;
&lt;p&gt;      - Container e Booking         &lt;/p&gt;
&lt;p&gt;&lt;img alt="05.PNG" height="144" src="https://atendimento.teconline.com.br/hc/article_attachments/360090291232/05.PNG" width="631"/&gt;     &lt;/p&gt;
&lt;p&gt;      Para realizar o lançamento de mais containers, favor selecionar "Adicionar"     &lt;/p&gt;
&lt;p&gt;     - NCM&lt;/p&gt;
&lt;p&gt;     &lt;img alt="mceclip5.png" height="105" src="https://atendimento.teconline.com.br/hc/article_attachments/360046344991/mceclip5.png" width="662"/&gt;&lt;/p&gt;
&lt;p&gt;     - Selecionar a opção "Salvar" no canto inferior direito da Página&lt;/p&gt;
&lt;p&gt;     &lt;img alt="mceclip6.png" height="74" src="https://atendimento.teconline.com.br/hc/article_attachments/360046345031/mceclip6.png" width="104"/&gt;&lt;/p&gt;
&lt;p&gt;&lt;strong&gt;     Observação&lt;/strong&gt;: Após realizar o procedimento acima mencionado, você irá visualizar a mensagem "Nota       Fiscal Salva Com Sucesso" confirmando o lançamento dos dados.&lt;/p&gt;
&lt;p&gt; &lt;/p&gt;
&lt;p&gt;&lt;strong&gt;Alerta: &lt;/strong&gt;Após o ingresso da unidade no terminal, não será possível alterar as informações lançadas.&lt;/p&gt;
&lt;p&gt; &lt;/p&gt;
&lt;p&gt;&lt;strong&gt; Imagens operacionalizando&lt;/strong&gt;&lt;/p&gt;
&lt;p&gt;&lt;img alt="B2B-BAGAGEM.gif" height="373" src="https://atendimento.teconline.com.br/hc/article_attachments/360090266511/B2B-BAGAGEM.gif" width="763"/&gt;&lt;/p&gt;
&lt;p&gt;&lt;/p&gt;
&lt;p&gt; &lt;/p&gt;
&lt;p&gt; &lt;/p&gt;</t>
  </si>
  <si>
    <t>https://wilsonsonstrg.zendesk.com/api/v2/help_center/pt-br/articles/360058171672.json</t>
  </si>
  <si>
    <t>https://atendimento.teconline.com.br/hc/pt-br/articles/360058171672-Envio-de-Curr%C3%ADculo</t>
  </si>
  <si>
    <t>Envio de Currículo</t>
  </si>
  <si>
    <t>['rh', 'trabalho', 'vagas', 'currículo', 'curriculo', 'cv', 'emprego', 'para onde eu envio meu currículo ?', 'como faço para', 'vaga', 'oportunidade', 'dho', 'departamento pessoal', 'curriculum vitae', 'curriculo enviar']</t>
  </si>
  <si>
    <t>&lt;p&gt; &lt;/p&gt;
&lt;p&gt;Primeiramente, gostaríamos de agradecer o contato e interesse de ingressar no time Wilson Sons.&lt;/p&gt;
&lt;p&gt; &lt;/p&gt;
&lt;p&gt;Seu currículo deverá ser cadastrado em nosso site abaixo. Nosso RH realiza a pesquisa dos cadastros do site no momento das seleções.&lt;/p&gt;
&lt;p&gt; &lt;/p&gt;
&lt;p&gt;Cadastro de currículo: &lt;a href="https://wilsonsons.gupy.io/jobs/228062?jobBoardSource=gupy_public_page" target="_blank"&gt;Clique aqui&lt;/a&gt;&lt;/p&gt;
&lt;p&gt;Vagas disponíveis: &lt;a href="https://wilsonsons.gupy.io/" target="_blank"&gt;Clique aqui&lt;/a&gt;&lt;/p&gt;
&lt;p&gt;Link do Atendimento Comercial: &lt;a href="https://atendimento.teconline.com.br/hc/pt-br/articles/360000323871-Canais-de-Atendimento-ao-Cliente" target="_blank"&gt;Clique aqui&lt;/a&gt;&lt;/p&gt;</t>
  </si>
  <si>
    <t>https://wilsonsonstrg.zendesk.com/api/v2/help_center/pt-br/articles/360053838232.json</t>
  </si>
  <si>
    <t>https://atendimento.teconline.com.br/hc/pt-br/articles/360053838232-Alterar-Cliente-DTA-P%C3%A1tio-e-DTC</t>
  </si>
  <si>
    <t>Alterar Cliente DTA Pátio e DTC</t>
  </si>
  <si>
    <t>['dp', 'dtc', 'carga pátio', 'alterar despesas', 'dtá pátio', 'transito de container', 'Trânsito de container', 'alterar OS', 'mudar as despesas', 'sair em nome', 'nota no nome do cliente']</t>
  </si>
  <si>
    <t>&lt;p&gt;Segue descrito abaixo o procedimento para alterar o cliente para despesas de DTA Pátio e DTC.&lt;/p&gt;
&lt;p&gt; &lt;/p&gt;
&lt;p&gt;Link da opção: &lt;a href="http://www.teconline.com.br/altera-dta-dtc" target="_blank"&gt;Clique aqui&lt;/a&gt;&lt;/p&gt;
&lt;p&gt;&lt;img alt="DT01A.PNG" src="https://atendimento.teconline.com.br/hc/article_attachments/360079561132/DT01A.PNG"/&gt;&lt;/p&gt;
&lt;p&gt; &lt;/p&gt;
&lt;p&gt;&lt;strong&gt;Para realizar a alteração:&lt;/strong&gt;&lt;/p&gt;
&lt;p&gt;1. Informar o número do documento em "Documento"&lt;/p&gt;
&lt;p&gt;&lt;img alt="dt02.PNG" src="https://atendimento.teconline.com.br/hc/article_attachments/360079717551/dt02.PNG"/&gt;&lt;/p&gt;
&lt;p&gt;&lt;strong&gt;Observa&lt;/strong&gt;&lt;strong&gt;çã&lt;/strong&gt;&lt;strong&gt;o: &lt;/strong&gt;Deverá ser preenchido com o mesmo documento informado no processo de averbação &lt;/p&gt;
&lt;p&gt;&lt;strong&gt;Exemplo:&lt;/strong&gt; DC200111222 ou DP200111222&lt;/p&gt;
&lt;p&gt; &lt;/p&gt;
&lt;p&gt;Para maiores informações, clique no link abaixo:&lt;/p&gt;
&lt;ul&gt;
&lt;li&gt;&lt;a href="https://atendimento.teconline.com.br/hc/pt-br/articles/360038794051-Acompanhamento-de-Processo-Importa%C3%A7%C3%A3o" target="_blank"&gt;Acompanhamento de Processo - Importação&lt;/a&gt;&lt;/li&gt;
&lt;/ul&gt;
&lt;p&gt; &lt;/p&gt;
&lt;p&gt;2. Informar o CNPJ &lt;/p&gt;
&lt;p&gt;&lt;img alt="dt03.PNG" src="https://atendimento.teconline.com.br/hc/article_attachments/360079561252/dt03.PNG"/&gt;&lt;/p&gt;
&lt;p&gt; &lt;/p&gt;
&lt;p&gt;3. Marcar a caixa de seleção ao lado de "Termos de alteração"&lt;/p&gt;
&lt;p&gt;&lt;img alt="dt05.PNG" src="https://atendimento.teconline.com.br/hc/article_attachments/360079563032/dt05.PNG"/&gt;&lt;/p&gt;
&lt;p&gt; &lt;/p&gt;
&lt;p&gt;4. Selecionar "Confirmar Alteração"&lt;/p&gt;
&lt;p&gt;&lt;img alt="dt06.PNG" src="https://atendimento.teconline.com.br/hc/article_attachments/360079563532/dt06.PNG"/&gt;&lt;/p&gt;
&lt;p&gt; &lt;/p&gt;
&lt;p&gt;&lt;strong&gt;Imagens operacionalizando&lt;/strong&gt;&lt;/p&gt;
&lt;p&gt;&lt;img alt="ALTERA__O-DTA.gif" src="https://atendimento.teconline.com.br/hc/article_attachments/360079564272/ALTERA__O-DTA.gif"/&gt;&lt;/p&gt;
&lt;p&gt;&lt;strong&gt;Observa&lt;/strong&gt;&lt;strong&gt;çã&lt;/strong&gt;&lt;strong&gt;o: &lt;/strong&gt;A solicitação deverá ser realizada antes do orçamento&lt;/p&gt;
&lt;p&gt; &lt;/p&gt;
&lt;p&gt; &lt;/p&gt;
&lt;p&gt; &lt;/p&gt;
&lt;p&gt; &lt;/p&gt;</t>
  </si>
  <si>
    <t>https://wilsonsonstrg.zendesk.com/api/v2/help_center/pt-br/articles/360053571571.json</t>
  </si>
  <si>
    <t>https://atendimento.teconline.com.br/hc/pt-br/articles/360053571571-Solicita%C3%A7%C3%A3o-de-Carga-P%C3%A1tio-e-DTC</t>
  </si>
  <si>
    <t>Solicitação de Carga Pátio e DTC</t>
  </si>
  <si>
    <t>['importação', 'dp', 'dtc', 'carga pátio', 'documento transito container', 'informar carga pátio', 'informar dtc', 'como informo carga pátio', 'como informo dtc']</t>
  </si>
  <si>
    <t>&lt;p&gt;Segue descrito abaixo o procedimento para Solicitação de Carga Pátio e DTC.&lt;/p&gt;
&lt;p&gt; &lt;/p&gt;
&lt;p&gt;Link da opção: &lt;a href="http://www.teconline.com.br/cargapatiodtc" target="_self"&gt;Clique aqui.&lt;/a&gt;&lt;/p&gt;
&lt;p&gt;&lt;img alt="dtc01.PNG" src="https://atendimento.teconline.com.br/hc/article_attachments/360079149692/dtc01.PNG"/&gt;&lt;/p&gt;
&lt;p&gt; &lt;/p&gt;
&lt;p&gt;&lt;strong&gt;Para realizar a solicitação:&lt;/strong&gt;&lt;/p&gt;
&lt;p&gt;1. Selecionar a opção "Nova solicitação"&lt;/p&gt;
&lt;p&gt;&lt;img alt="dtc02.PNG" src="https://atendimento.teconline.com.br/hc/article_attachments/360079149732/dtc02.PNG"/&gt;&lt;/p&gt;
&lt;p&gt; &lt;/p&gt;
&lt;p&gt;2. Realizar as operações abaixo:&lt;/p&gt;
&lt;p&gt;A) Selecionar operação CRP - Carga Pátio ou DTC - Documento Transito Container&lt;/p&gt;
&lt;p&gt;&lt;img alt="dtc03b.PNG" src="https://atendimento.teconline.com.br/hc/article_attachments/360079149912/dtc03b.PNG"/&gt;&lt;/p&gt;
&lt;p&gt; &lt;/p&gt;
&lt;p&gt;B) Selecionar em "Operação" o navio &lt;/p&gt;
&lt;p&gt;&lt;img alt="dtc04b.PNG" src="https://atendimento.teconline.com.br/hc/article_attachments/360079275511/dtc04b.PNG"/&gt;&lt;/p&gt;
&lt;p&gt; &lt;/p&gt;
&lt;p&gt;C) Informar container. Caso seja necessário informar mais de um container, clicar em "Adicionar"&lt;img alt="dtc05.PNG" src="https://atendimento.teconline.com.br/hc/article_attachments/360079149892/dtc05.PNG"/&gt;&lt;/p&gt;
&lt;p&gt;&lt;strong&gt;Observa&lt;/strong&gt;&lt;strong&gt;çã&lt;/strong&gt;&lt;strong&gt;o: &lt;/strong&gt;Adicionar a quantidade de containers vinculada ao processo em "Adicionar"&lt;/p&gt;
&lt;p&gt; &lt;/p&gt;
&lt;p&gt;D) Selecione "Data Prev. Atracação" , "Despachante" e "Observação"&lt;/p&gt;
&lt;p&gt;&lt;img alt="dtc06.PNG" src="https://atendimento.teconline.com.br/hc/article_attachments/360079275751/dtc06.PNG"/&gt;&lt;/p&gt;
&lt;p&gt; &lt;/p&gt;
&lt;p&gt;3. Selecionar a opção "Salvar"&lt;/p&gt;
&lt;p&gt;&lt;img alt="dtc07.PNG" src="https://atendimento.teconline.com.br/hc/article_attachments/360079149992/dtc07.PNG"/&gt;&lt;/p&gt;
&lt;p&gt; &lt;/p&gt;
&lt;p&gt;&lt;strong&gt;Imagens operacionalizando&lt;/strong&gt;&lt;/p&gt;
&lt;p&gt;&lt;strong&gt;&lt;img alt="GUIDE-SOLICITACAO-DP-E-DTC.gif" src="https://atendimento.teconline.com.br/hc/article_attachments/360079200392/GUIDE-SOLICITACAO-DP-E-DTC.gif"/&gt;&lt;/strong&gt;&lt;/p&gt;
&lt;p&gt; &lt;/p&gt;
&lt;p&gt;&lt;strong&gt;Observa&lt;/strong&gt;&lt;strong&gt;çã&lt;/strong&gt;&lt;strong&gt;o: &lt;/strong&gt;A solicitação deverá ser realizada antes da atracação da operação de navio&lt;/p&gt;
&lt;p&gt; &lt;/p&gt;</t>
  </si>
  <si>
    <t>https://wilsonsonstrg.zendesk.com/api/v2/help_center/pt-br/articles/360052831411.json</t>
  </si>
  <si>
    <t>https://atendimento.teconline.com.br/hc/pt-br/articles/360052831411-Consulta-Sailing-Breakdown</t>
  </si>
  <si>
    <t>Brito</t>
  </si>
  <si>
    <t>Consulta Sailing Breakdown</t>
  </si>
  <si>
    <t>&lt;p&gt;Olá,&lt;/p&gt;
&lt;p&gt;&lt;/p&gt;</t>
  </si>
  <si>
    <t>https://wilsonsonstrg.zendesk.com/api/v2/help_center/pt-br/articles/360050016032.json</t>
  </si>
  <si>
    <t>https://atendimento.teconline.com.br/hc/pt-br/articles/360050016032-Consulta-Sailing-Breakdown-Novo-Layout-Fernanda</t>
  </si>
  <si>
    <t>IMPORTAÇÃO</t>
  </si>
  <si>
    <t>Consulta Sailing Breakdown (Novo Layout) Fernanda</t>
  </si>
  <si>
    <t>&lt;p&gt;&lt;/p&gt;
&lt;p&gt;&lt;/p&gt;</t>
  </si>
  <si>
    <t>https://wilsonsonstrg.zendesk.com/api/v2/help_center/pt-br/articles/360043898131.json</t>
  </si>
  <si>
    <t>https://atendimento.teconline.com.br/hc/pt-br/articles/360043898131-Atualiza%C3%A7%C3%A3o-de-senha</t>
  </si>
  <si>
    <t>Atualização de senha</t>
  </si>
  <si>
    <t>['teconline', 'redefinir', 'senha', 'login', 'vigência', 'trocar', 'atualizar', 'não lembro']</t>
  </si>
  <si>
    <t>&lt;div&gt;
&lt;div&gt;
&lt;div&gt;
&lt;p&gt;Segue descrito abaixo o procedimento para realizar a atualização de senha&lt;/p&gt;
&lt;p&gt; &lt;/p&gt;
&lt;p&gt;Link da opção: &lt;a href="http://www.teconline.com.br/login" target="_self"&gt;Clique aqui.&lt;/a&gt;&lt;/p&gt;
&lt;p&gt;&lt;img alt="mceclip0.png" src="https://atendimento.teconline.com.br/hc/article_attachments/360057815231/mceclip0.png"/&gt;&lt;/p&gt;
&lt;p&gt; &lt;/p&gt;
1. Selecionar "Clique aqui"&lt;/div&gt;
&lt;div&gt;&lt;img alt="guide02.PNG" src="https://atendimento.teconline.com.br/hc/article_attachments/360057658332/guide02.PNG"/&gt;&lt;/div&gt;
&lt;div&gt; &lt;/div&gt;
&lt;div&gt;2. Informar o email vinculado ao login&lt;/div&gt;
&lt;div&gt;&lt;img alt="mceclip1.png" src="https://atendimento.teconline.com.br/hc/article_attachments/360057815491/mceclip1.png"/&gt;&lt;/div&gt;
&lt;div&gt; &lt;/div&gt;
&lt;div&gt;3. Selecionar "Redefinir Senha"&lt;/div&gt;
&lt;div&gt;&lt;img alt="guide04.PNG" src="https://atendimento.teconline.com.br/hc/article_attachments/360057815591/guide04.PNG"/&gt;&lt;/div&gt;
&lt;div&gt; &lt;/div&gt;
&lt;div&gt;4. Será enviado ao email cadastrado os logins vinculados e as novas senhas de acesso&lt;/div&gt;
&lt;div&gt; &lt;/div&gt;
&lt;div&gt;
&lt;strong&gt;Observação:&lt;/strong&gt; Para email cadastrado com mais de um login, serão alteradas as senha de todos automaticamente.&lt;/div&gt;
&lt;div&gt; &lt;/div&gt;
&lt;ul&gt;
&lt;li&gt; Para realizar a alteração do email vinculado ao login, favor entrar em contato com nossos canais de atendimento. Para maiores informações, &lt;a href="https://atendimento.teconline.com.br/hc/pt-br/articles/360000323871-Canais-de-Atendimento-ao-Cliente" target="_self"&gt;clique aqui.&lt;/a&gt;
&lt;/li&gt;
&lt;/ul&gt;
&lt;div&gt; &lt;/div&gt;
&lt;div&gt;&lt;strong&gt;Imagens operacionalizando&lt;/strong&gt;&lt;/div&gt;
&lt;div&gt;&lt;strong&gt;&lt;img alt="GUIDE-LOGIN.gif" src="https://atendimento.teconline.com.br/hc/article_attachments/360057823731/GUIDE-LOGIN.gif"/&gt;&lt;/strong&gt;&lt;/div&gt;
&lt;/div&gt;
&lt;/div&gt;</t>
  </si>
  <si>
    <t>https://wilsonsonstrg.zendesk.com/api/v2/help_center/pt-br/articles/360040428672.json</t>
  </si>
  <si>
    <t>https://atendimento.teconline.com.br/hc/pt-br/articles/360040428672-Agendamento-de-Retirada-de-Devolu%C3%A7%C3%A3o-Exporta%C3%A7%C3%A3o-Cabotagem</t>
  </si>
  <si>
    <t>Agendamento de Retirada de Devolução Exportação - Cabotagem</t>
  </si>
  <si>
    <t>['agendamento', 'retirada', 'agendamento de exportação', 'agendamento de container', 'agendamento de cheio', 'retirada da carga', 'cancelamento de embarque', 'agendamento de devolução de exportação', 'agendamento de devolução de cabotagem']</t>
  </si>
  <si>
    <t>&lt;p&gt;Segue descrito abaixo o procedimento para realizar agendamento para desistência de embarque.&lt;/p&gt;
&lt;p&gt;&lt;img alt="01.PNG" src="https://atendimento.teconline.com.br/hc/article_attachments/4407861639693/01.PNG"/&gt;&lt;/p&gt;
&lt;p&gt; &lt;/p&gt;
&lt;p&gt;1) Utilizar a opção “Novo Agendamento”&lt;/p&gt;
&lt;p&gt;&lt;img alt="02.PNG" src="https://atendimento.teconline.com.br/hc/article_attachments/4407861647245/02.PNG"/&gt;&lt;/p&gt;
&lt;p&gt; &lt;/p&gt;
&lt;p&gt;2) Selecionar em “Tipo” a faina desejada&lt;/p&gt;
&lt;p&gt;&lt;img alt="05.PNG" src="https://atendimento.teconline.com.br/hc/article_attachments/4407869684493/05.PNG"/&gt;&lt;/p&gt;
&lt;p&gt; &lt;/p&gt;
&lt;p&gt;3) Dados do motorista e do veículo&lt;/p&gt;
&lt;p&gt;&lt;img alt="06.PNG" src="https://atendimento.teconline.com.br/hc/article_attachments/4407861922957/06.PNG"/&gt;&lt;/p&gt;
&lt;p&gt;&lt;u&gt;CNH&lt;/u&gt;: Número da CNH do motorista que irá realizar a entrega da unidade.&lt;/p&gt;
&lt;p&gt;&lt;u&gt;Transportadora&lt;/u&gt;: Empresa transportadora vinculada ao login e senha&lt;/p&gt;
&lt;p&gt;&lt;u&gt;Placa cavalo&lt;/u&gt;: Placa do veículo caminhão que irá realizar a entrega da unidade.&lt;/p&gt;
&lt;p&gt;&lt;u&gt;Placa Carreta 1&lt;/u&gt;: Placa da carreta em que será realizada a entrega da unidade.&lt;/p&gt;
&lt;p&gt;&lt;u&gt;Placa Carreta 2&lt;/u&gt;: Placa informada somente se o veículo for Rodotrem (Bitrem).&lt;/p&gt;
&lt;p&gt; &lt;/p&gt;
&lt;p&gt;4) Dados do Container&lt;/p&gt;
&lt;p&gt;&lt;img alt="07.PNG" src="https://atendimento.teconline.com.br/hc/article_attachments/4407861998989/07.PNG"/&gt;&lt;/p&gt;
&lt;p&gt;Container: Informar a numeração do container (letras e números)&lt;/p&gt;
&lt;p&gt; &lt;/p&gt;
&lt;p&gt;5) Selecionar despesas e CNPJ para cobrança&lt;/p&gt;
&lt;p&gt;&lt;img alt="09.PNG" src="https://atendimento.teconline.com.br/hc/article_attachments/4407862449549/09.PNG"/&gt;&lt;/p&gt;
&lt;p&gt; &lt;/p&gt;
&lt;p&gt;6) Data e horário para entrega&lt;/p&gt;
&lt;p&gt;&lt;img alt="08.PNG" src="https://atendimento.teconline.com.br/hc/article_attachments/4407862312461/08.PNG"/&gt;&lt;/p&gt;
&lt;p&gt;&lt;u&gt;Data de Agendamento&lt;/u&gt;: Data para entrega da unidade&lt;/p&gt;
&lt;p&gt;&lt;u&gt;Hora Agendamento&lt;/u&gt;: Horário para entrega da unidade&lt;/p&gt;
&lt;p&gt;* Horários com Ícone Vermelho – Sem vagas disponíveis&lt;/p&gt;
&lt;p&gt;* Horários com Ícone Verde – Com vagas disponíveis&lt;/p&gt;
&lt;p&gt;* Se desejar informações para Saldo de Vagas, &lt;a href="https://atendimento.teconline.com.br/hc/pt-br/articles/360038044552" target="_self"&gt;Clique aqui.&lt;/a&gt;&lt;/p&gt;
&lt;p&gt; &lt;/p&gt;
&lt;p&gt;7) Finalizar agendamento &lt;/p&gt;
&lt;p&gt;Este é último passo do agendamento. Ao confirmar você deve visualizar a mensagem "Agendamento realizado com sucesso" e, posteriormente, receberá em seu email o Bat Eletrônico com os dados inseridos.&lt;/p&gt;
&lt;p&gt; &lt;/p&gt;
&lt;p&gt;&lt;strong&gt;Imagens operacionalizando&lt;/strong&gt;&lt;/p&gt;
&lt;p&gt;&lt;strong&gt;&lt;img alt="GUIDE-RETIRADA-DEV-EXP.gif" src="https://atendimento.teconline.com.br/hc/article_attachments/4407863540109/GUIDE-RETIRADA-DEV-EXP.gif"/&gt;&lt;/strong&gt;&lt;/p&gt;</t>
  </si>
  <si>
    <t>https://wilsonsonstrg.zendesk.com/api/v2/help_center/pt-br/articles/360040410632.json</t>
  </si>
  <si>
    <t>https://atendimento.teconline.com.br/hc/pt-br/articles/360040410632-Agendamento-de-Exporta%C3%A7%C3%A3o-Cheio-MAPA</t>
  </si>
  <si>
    <t>Agendamento de Exportação Cheio - MAPA</t>
  </si>
  <si>
    <t>['agendamento', 'entrega de cheio', 'entrega', 'agendamento de container', 'mapa', 'savig', 'último levante', 'agendamento mapa', 'local de levante']</t>
  </si>
  <si>
    <t>&lt;p&gt;&lt;span&gt;Com este guia passo a passo, você aprenderá a agendar suas exportações de forma rápida e fácil, simplificando a sua logística de exportação. Ao final deste tutorial, você estará apto a realizar seu Agendamento de Exportação Cheio - Mapa. &lt;/span&gt;&lt;/p&gt;
&lt;ol&gt;
&lt;li&gt;&lt;strong&gt;Selecionar a opção “Agendamento” e em seguida “Container”: &lt;/strong&gt;&lt;/li&gt;
&lt;/ol&gt;
&lt;p&gt;      &lt;a href="https://www.teconline.com.br/agendamento-container"&gt;&lt;span&gt;Clique aqui&lt;/span&gt;&lt;/a&gt; para ser direcionado a tela abaixo:&lt;/p&gt;
&lt;p&gt;&lt;img height="175" src="https://atendimento.teconline.com.br/hc/article_attachments/34516990680205" width="602"/&gt;&lt;/p&gt;
&lt;p&gt;&lt;strong&gt;&lt;span&gt;2) Utilizar a opção “&lt;/span&gt;&lt;/strong&gt;&lt;strong&gt;&lt;span&gt;Novo Agendamento&lt;/span&gt;&lt;/strong&gt;&lt;strong&gt;&lt;span&gt;” no canto superior direito da tela:&lt;/span&gt;&lt;/strong&gt;&lt;img height="176" src="https://atendimento.teconline.com.br/hc/article_attachments/34517050995725" width="602"/&gt;&lt;/p&gt;
&lt;p&gt;&lt;strong&gt;3) Escolha o tipo de serviço:&lt;/strong&gt;&lt;/p&gt;
&lt;p&gt;Selecione em &lt;strong&gt;“&lt;/strong&gt;&lt;strong&gt;&lt;span&gt;tipo&lt;/span&gt;&lt;/strong&gt;” a opção &lt;strong&gt;"&lt;/strong&gt;&lt;strong&gt;&lt;span&gt;Entrada de Container Cheio - Mapa&lt;/span&gt;&lt;/strong&gt;&lt;strong&gt;"&lt;/strong&gt; para dar início ao seu agendamento.&lt;/p&gt;
&lt;p&gt;&lt;span&gt;&lt;img height="156" src="https://atendimento.teconline.com.br/hc/article_attachments/34516990685837" width="602"/&gt;&lt;/span&gt;&lt;/p&gt;
&lt;p&gt;&lt;span&gt; &lt;/span&gt;&lt;/p&gt;
&lt;p&gt;&lt;strong&gt;&lt;span&gt;4)&lt;/span&gt;&lt;/strong&gt;&lt;span&gt; &lt;/span&gt;&lt;strong&gt;&lt;span&gt;Preencha os dados do motorista e do veículo:&lt;/span&gt;&lt;/strong&gt;&lt;/p&gt;
&lt;p&gt;&lt;span&gt;&lt;img alt="002.png" height="187" src="https://atendimento.teconline.com.br/hc/article_attachments/34516990687373" width="602"/&gt;&lt;/span&gt;&lt;/p&gt;
&lt;p&gt;&lt;span&gt;CNH:&lt;/span&gt; Número da CNH do motorista que irá realizar a entrega da unidade.&lt;/p&gt;
&lt;p&gt;&lt;span&gt;Transportadora:&lt;/span&gt; Empresa transportadora vinculada ao login e senha&lt;/p&gt;
&lt;p&gt;&lt;span&gt;Placa Cavalo:&lt;/span&gt; Placa do veículo caminhão que irá realizar a entrega da unidade.&lt;/p&gt;
&lt;p&gt;&lt;span&gt;Placa Carreta 1:&lt;/span&gt; Placa da carreta em que será realizada a entrega da unidade.&lt;/p&gt;
&lt;p&gt;&lt;span&gt;Placa Carreta 2:&lt;/span&gt; Placa informada somente se o veículo for Rodotrem (Bitrem).&lt;/p&gt;
&lt;p&gt;&lt;span&gt;  &lt;/span&gt;&lt;/p&gt;
&lt;p&gt;&lt;strong&gt;&lt;span&gt;5)&lt;/span&gt;&lt;/strong&gt;&lt;span&gt; &lt;/span&gt;&lt;strong&gt;&lt;span&gt;Forneça as informações do Booking:&lt;/span&gt;&lt;/strong&gt;&lt;/p&gt;
&lt;p&gt;&lt;span&gt;Digite a informação do Booking vinculado à unidade e em seguida clique em pesquisar:&lt;/span&gt;&lt;/p&gt;
&lt;p&gt;&lt;span&gt;&lt;img height="176" src="https://atendimento.teconline.com.br/hc/article_attachments/34517051000333" width="602"/&gt;&lt;/span&gt;&lt;/p&gt;
&lt;p&gt;&lt;strong&gt;&lt;span&gt;Observações:&lt;/span&gt;&lt;/strong&gt;&lt;/p&gt;
&lt;ul&gt;
&lt;li&gt;&lt;span&gt;Para os Bookings que possuem validação, os campos de Operação Navio, Armador, Porto de Descarga e Destino Final serão preenchidos automaticamente;&lt;/span&gt;&lt;/li&gt;
&lt;li&gt;&lt;span&gt;Para inserir mais de um Booking no mesmo agendamento, clique no botão “Novo Booking”; &lt;/span&gt;&lt;/li&gt;
&lt;/ul&gt;
&lt;p&gt;&lt;strong&gt;6) Insira os dados do container e do lacre:&lt;/strong&gt;&lt;/p&gt;
&lt;p&gt;Selecione o campo “Novo Container” e posteriormente clique em “N° CONTAINER”&lt;/p&gt;
&lt;p&gt;&lt;img height="236" src="https://atendimento.teconline.com.br/hc/article_attachments/34516990689549" width="602"/&gt;&lt;img height="179" src="https://atendimento.teconline.com.br/hc/article_attachments/34516990690829" width="591"/&gt;&lt;/p&gt;
&lt;p&gt;&lt;span&gt;Container:&lt;/span&gt; Digite o número de identificação do container (letras e números). &lt;/p&gt;
&lt;p&gt;&lt;span&gt;ISO:&lt;/span&gt; Selecione o código ISO correspondente ao tipo de container.&lt;/p&gt;
&lt;p&gt;&lt;span&gt;Capacidade Max:&lt;/span&gt;  Insira a capacidade máxima de carga do container. &lt;/p&gt;
&lt;p&gt;&lt;span&gt;Peso documental:&lt;/span&gt; Informe o peso bruto da carga descrito na nota fiscal da mercadoria.  &lt;/p&gt;
&lt;p&gt;&lt;span&gt;Tara:&lt;/span&gt; Indique o peso vazio do container. &lt;/p&gt;
&lt;p&gt;&lt;span&gt;Cliente/Cobrar de:&lt;/span&gt; Insira o CNPJ da empresa para emissões de cobranças.&lt;/p&gt;
&lt;p&gt;&lt;span&gt;Categoria:&lt;/span&gt; Selecione "Exportação".&lt;/p&gt;
&lt;p&gt;&lt;strong&gt;Opções: Marque o flag "Somente em conclusão de trânsito" se for o caso&lt;/strong&gt;. &lt;/p&gt;
&lt;p&gt;&lt;span&gt;Tipo do Lacre:&lt;/span&gt; Informe o tipo do lacre utilizado. (Adicione os detalhes de outros lacres, se necessário).&lt;/p&gt;
&lt;p&gt;&lt;span&gt;Sobremedida:&lt;/span&gt; Preencha este campo apenas para containers Open Top ou Flat Racks com carga excedendo as dimensões padrão. &lt;/p&gt;
&lt;p&gt;&lt;span&gt;Mercadoria:&lt;/span&gt; Selecione o tipo de mercadoria (seca, perigosa, refrigerada ou refrigerada perigosa).&lt;/p&gt;
&lt;p&gt;&lt;span&gt;UN:&lt;/span&gt; Informe o número UN somente se a carga for perigosa ou refrigerada perigosa. &lt;/p&gt;
&lt;p&gt;&lt;span&gt;Temperatura &lt;span&gt;(Cº)&lt;/span&gt;, Umidade &lt;span&gt;(%),&lt;/span&gt;  e Ventilação &lt;span&gt;(cbm/h)&lt;/span&gt;:&lt;/span&gt; Preencha esses campos apenas para cargas refrigeradas ou refrigeradas perigosas. &lt;/p&gt;
&lt;p&gt;&lt;span&gt;Documento de Ficha de Emergência:&lt;/span&gt; Para cargas perigosas, anexe o documento de Ficha de Emergência para validação e entrega da unidade. Para mais informações, &lt;a href="https://atendimento.teconline.com.br/hc/pt-br/articles/360033811191-Ficha-de-Emerg%C3%AAncia-Processo-de-Exporta%C3%A7%C3%A3o-Cabotagem-Embarque"&gt;&lt;span&gt;clique aqui.&lt;/span&gt;&lt;/a&gt;&lt;/p&gt;
&lt;p&gt;&lt;strong&gt;&lt;span&gt;7)&lt;/span&gt;&lt;/strong&gt;&lt;span&gt; &lt;/span&gt;&lt;strong&gt;&lt;span&gt;Indique o nome e endereço do local de Estufagem da unidade:&lt;/span&gt;&lt;/strong&gt;&lt;/p&gt;
&lt;p&gt;&lt;span&gt;&lt;img height="144" src="https://atendimento.teconline.com.br/hc/article_attachments/34516990691853" width="602"/&gt;&lt;/span&gt;&lt;/p&gt;
&lt;p&gt;&lt;strong&gt;&lt;span&gt;8) Informe o local e endereço do Último levante da unidade:&lt;/span&gt;&lt;/strong&gt;&lt;/p&gt;
&lt;p&gt;&lt;span&gt;&lt;img height="143" src="https://atendimento.teconline.com.br/hc/article_attachments/34517051006989" width="602"/&gt;&lt;/span&gt;&lt;/p&gt;
&lt;p&gt;&lt;span&gt;*Se desejar utilizar o mesmo endereço de Estufagem da unidade, clique no campo “&lt;/span&gt;&lt;span&gt;Copiar&lt;/span&gt;&lt;span&gt; &lt;/span&gt;&lt;span&gt;endereço de estufagem&lt;/span&gt;&lt;span&gt;” no canto superior direito:&lt;/span&gt;&lt;img height="43" src="https://atendimento.teconline.com.br/hc/article_attachments/34516990696461" width="602"/&gt;&lt;/p&gt;
&lt;p&gt;&lt;strong&gt;9) Selecione a data e horário para entrega:&lt;/strong&gt;&lt;/p&gt;
&lt;p&gt;&lt;span&gt; &lt;/span&gt;&lt;img height="206" src="https://atendimento.teconline.com.br/hc/article_attachments/34517051009677" width="596"/&gt;&lt;img height="29" src="https://atendimento.teconline.com.br/hc/article_attachments/34516990703245" width="606"/&gt;&lt;/p&gt;
&lt;p&gt;&lt;span&gt;Data de Agendamento:&lt;/span&gt; Data para entrega da unidade&lt;/p&gt;
&lt;p&gt;&lt;span&gt;Hora Agendamento:&lt;/span&gt; Horário para entrega da unidade&lt;/p&gt;
&lt;p&gt;&lt;strong&gt;* Horários com Ícone Vermelho&lt;/strong&gt; – Sem vagas disponíveis&lt;/p&gt;
&lt;p&gt;*&lt;strong&gt; Horários com Ícone Verde&lt;/strong&gt; – Com vagas disponíveis&lt;/p&gt;
&lt;p&gt; &lt;/p&gt;
&lt;p&gt;&lt;span&gt;&lt;strong&gt;Atenção!&lt;/strong&gt;&lt;/span&gt;&lt;/p&gt;
&lt;p&gt;Caso os horários estiverem esgotados, agora você pode &lt;strong&gt;acompanhar as vagas para agendamento &lt;/strong&gt;de um jeito muito mais fácil e rápido!&lt;/p&gt;
&lt;p&gt;Com o novo sistema de &lt;strong&gt;Monitoramento de Horários Esgotados&lt;/strong&gt;, você poderá reservar um horário por janela de agendamento e ser avisado por e-mail assim que o horário for liberado, seja por desistência ou qualquer outra alteração na programação.&lt;/p&gt;
&lt;p&gt;&lt;strong&gt;Como funciona?&lt;/strong&gt;&lt;/p&gt;
&lt;ol&gt;
&lt;li&gt;&lt;strong&gt; Clique no ícone  &lt;img src="https://atendimento.teconline.com.br/hc/article_attachments/34519408937741"/&gt; ao lado do horário esgotado desejado:                                                                     &lt;img src="https://atendimento.teconline.com.br/hc/article_attachments/34519432416397"/&gt;   &lt;/strong&gt;&lt;/li&gt;
&lt;li&gt;
&lt;strong&gt;Informe o número do Booking e Container: e clique em &lt;span&gt;Confirmar:&lt;/span&gt;                                                          &lt;/strong&gt;&lt;strong&gt;&lt;img src="https://atendimento.teconline.com.br/hc/article_attachments/34519432421005"/&gt;                                                                           &lt;/strong&gt;
&lt;/li&gt;
&lt;li&gt;&lt;strong&gt;Após a confirmação aparecerá a seguinte mensagem abaixo:                                                                    &lt;img src="https://atendimento.teconline.com.br/hc/article_attachments/34519408952845"/&gt;&lt;/strong&gt;&lt;/li&gt;
&lt;/ol&gt;
&lt;p&gt;&lt;strong&gt;Vantagens:&lt;/strong&gt;&lt;/p&gt;
&lt;ul&gt;
&lt;li&gt;
&lt;strong&gt;Agilidade:&lt;/strong&gt; Seja notificado sobre novas vagas e agende seu serviço rapidamente.&lt;/li&gt;
&lt;li&gt;
&lt;strong&gt;Eficiência:&lt;/strong&gt; Evite consultas constantes no Teconline e otimize seu tempo.&lt;/li&gt;
&lt;/ul&gt;
&lt;p&gt;&lt;strong&gt;Regras:&lt;/strong&gt;&lt;/p&gt;
&lt;ul&gt;
&lt;li&gt;Você pode reservar apenas uma vaga por hora.&lt;/li&gt;
&lt;li&gt;Ao tentar realizar uma reserva o sistema apresentará a mensagem abaixo, orientando sobre o monitoramento ativo e com a opção para cancelar a reserva atual e entre na fila novamente.&lt;/li&gt;
&lt;/ul&gt;
&lt;p&gt;&lt;img src="https://atendimento.teconline.com.br/hc/article_attachments/34519432426125"/&gt;&lt;/p&gt;
&lt;p&gt; &lt;/p&gt;
&lt;p&gt;&lt;strong&gt;&lt;span&gt;10)  Finalize o agendamento:&lt;/span&gt;&lt;/strong&gt;&lt;/p&gt;
&lt;ul&gt;
&lt;li&gt;
&lt;strong&gt;&lt;span&gt;Confirme os dados: &lt;/span&gt;&lt;/strong&gt;&lt;span&gt;Revise todas as informações inseridas com atenção.&lt;/span&gt;&lt;strong&gt;&lt;span&gt; &lt;/span&gt;&lt;/strong&gt;
&lt;/li&gt;
&lt;li&gt;
&lt;strong&gt;&lt;span&gt;Confirme o agendamento: &lt;/span&gt;&lt;/strong&gt;&lt;span&gt;Clique em &lt;strong&gt;"&lt;/strong&gt;&lt;/span&gt;&lt;strong&gt;&lt;span&gt;FINALIZAR AGENDAMENTO&lt;/span&gt;&lt;/strong&gt;&lt;span&gt;&lt;strong&gt;"&lt;/strong&gt; no canto inferior direito da tela para concluir o processo. Ao confirmar você deve visualizar a mensagem "&lt;/span&gt;&lt;span&gt;Agendamento realizado com sucesso&lt;/span&gt;&lt;span&gt;".&lt;/span&gt;
&lt;/li&gt;
&lt;li&gt;
&lt;strong&gt;&lt;span&gt;Verifique seu email:  &lt;/span&gt;&lt;/strong&gt;&lt;span&gt;Você receberá uma notificação&lt;/span&gt;&lt;span&gt; com os detalhes do agendamento.&lt;/span&gt;
&lt;/li&gt;
&lt;/ul&gt;
&lt;p&gt;&lt;span&gt; &lt;/span&gt;&lt;/p&gt;
&lt;p&gt;&lt;strong&gt;&lt;span&gt;Observações importantes:&lt;/span&gt;&lt;/strong&gt;&lt;/p&gt;
&lt;ul&gt;
&lt;li&gt;Para a entrada do container no terminal (gate in), é necessário o agendamento e o cadastro da nota fiscal de exportação.&lt;/li&gt;
&lt;/ul&gt;
&lt;ul&gt;
&lt;li&gt;Para bagagem, é necessário o lançamento dos dados na Web.&lt;/li&gt;
&lt;/ul&gt;
&lt;ul&gt;
&lt;li&gt;Para mais informações quanto ao lançamento de Nota Fiscal, &lt;a href="https://atendimento.teconline.com.br/hc/pt-br/articles/360038007032-Lan%C3%A7amento-de-Nota-Fiscal-Exporta%C3%A7%C3%A3o"&gt;&lt;span&gt;Clique aqui.&lt;/span&gt;&lt;/a&gt;
&lt;/li&gt;
&lt;/ul&gt;
&lt;p&gt;&lt;span&gt;  &lt;/span&gt;&lt;/p&gt;
&lt;p&gt;Caso ainda haja dúvidas, entre em contato com o nosso atendimento ao cliente pelos meios abaixo:&lt;br/&gt;E-mail: &lt;span&gt;atendimento.tcrg@wilsonsons.com.br&lt;/span&gt;&lt;/p&gt;
&lt;p&gt;Telefone: (53) 32343030&lt;/p&gt;
&lt;p&gt;WhatsApp: (53) 32343030&lt;/p&gt;
&lt;p&gt;&lt;span&gt;Chat: &lt;/span&gt;&lt;a href="https://atendimento.teconline.com.br/"&gt;&lt;span&gt;https://atendimento.teconline.com.br&lt;/span&gt;&lt;/a&gt;&lt;span&gt; e &lt;/span&gt;&lt;a href="http://www.teconline.com.br/"&gt;&lt;span&gt;http://www.teconline.com.br&lt;/span&gt;&lt;/a&gt;&lt;/p&gt;</t>
  </si>
  <si>
    <t>https://wilsonsonstrg.zendesk.com/api/v2/help_center/pt-br/articles/360040840231.json</t>
  </si>
  <si>
    <t>https://atendimento.teconline.com.br/hc/pt-br/articles/360040840231-Agendamento-de-Exporta%C3%A7%C3%A3o-Cheio</t>
  </si>
  <si>
    <t>Agendamento de Exportação Cheio</t>
  </si>
  <si>
    <t>['ade', 'nota fiscal', 'agendamento', 'entrega de cheio', 'nota fiscal ade', 'agendamento de exportação', 'agendamento de container', 'agendamento de cheio', 'entrega de container', 'savig', 'local de estufagem', 'último levante']</t>
  </si>
  <si>
    <t>&lt;p&gt;&lt;span&gt;Com este guia passo a passo, você aprenderá a agendar suas exportações de forma rápida e fácil, simplificando a sua logística de exportação. Ao final deste tutorial, você estará apto a realizar seu Agendamento de Exportação Cheio. &lt;/span&gt;&lt;/p&gt;
&lt;ol&gt;
&lt;li&gt;&lt;strong&gt;Selecionar a opção “Agendamento” e em seguida “Container”: &lt;/strong&gt;&lt;/li&gt;
&lt;/ol&gt;
&lt;p&gt;      Você pode acessar a tela abaixo &lt;a href="https://www.teconline.com.br/agendamento-container"&gt;&lt;span&gt;Clicando aqui&lt;/span&gt;&lt;/a&gt;.&lt;/p&gt;
&lt;p&gt;&lt;img height="190" src="https://atendimento.teconline.com.br/hc/article_attachments/34516386132877" width="657"/&gt;&lt;/p&gt;
&lt;p&gt;&lt;strong&gt;&lt;span&gt;2) Utilizar a opção “&lt;/span&gt;&lt;/strong&gt;&lt;strong&gt;&lt;span&gt;Novo Agendamento&lt;/span&gt;&lt;/strong&gt;&lt;strong&gt;&lt;span&gt;”:&lt;/span&gt;&lt;/strong&gt;&lt;img height="192" src="https://atendimento.teconline.com.br/hc/article_attachments/34516378588301" width="657"/&gt;&lt;/p&gt;
&lt;p&gt;&lt;strong&gt;3) Escolha o tipo de serviço:&lt;/strong&gt;&lt;/p&gt;
&lt;p&gt;Na tela seguinte, você poderá escolher qual tipo de agendamento necessita realizar. Para este passo-a-passo, vamos escolher a opção “&lt;span&gt;Entrada de Container Cheio&lt;/span&gt;”:&lt;/p&gt;
&lt;p&gt;&lt;span&gt;&lt;img height="207" src="https://atendimento.teconline.com.br/hc/article_attachments/34516386144653" width="656"/&gt;&lt;/span&gt;&lt;/p&gt;
&lt;p&gt;&lt;span&gt; &lt;/span&gt;&lt;strong&gt;4) Preencha os dados do motorista e do veículo:&lt;/strong&gt;&lt;img alt="002.png" height="187" src="https://atendimento.teconline.com.br/hc/article_attachments/34516378595469" width="602"/&gt;&lt;/p&gt;
&lt;p&gt;&lt;span&gt;CNH:&lt;/span&gt; Número da CNH do motorista que irá realizar a entrega da unidade.&lt;/p&gt;
&lt;p&gt;&lt;span&gt;Transportadora:&lt;/span&gt; Empresa transportadora vinculada ao login e senha&lt;/p&gt;
&lt;p&gt;&lt;span&gt;Placa cavalo:&lt;/span&gt; Placa do veículo caminhão que irá realizar a entrega da unidade.&lt;/p&gt;
&lt;p&gt;&lt;span&gt;Placa Carreta 1:&lt;/span&gt; Placa da carreta em que será realizada a entrega da unidade.&lt;/p&gt;
&lt;p&gt;&lt;span&gt;Placa Carreta 2:&lt;/span&gt; Placa informada somente se o veículo for Rodotrem (Bitrem).&lt;/p&gt;
&lt;p&gt;  &lt;/p&gt;
&lt;p&gt;&lt;strong&gt;5) Forneça as informações do Booking:&lt;/strong&gt;&lt;/p&gt;
&lt;p&gt;Digite a informação do Booking vinculado à unidade e em seguida clique em pesquisar:&lt;/p&gt;
&lt;p&gt;&lt;span&gt;&lt;img height="193" src="https://atendimento.teconline.com.br/hc/article_attachments/34516378599565" width="656"/&gt;&lt;/span&gt;&lt;/p&gt;
&lt;p&gt;&lt;strong&gt;&lt;span&gt;Observações:&lt;/span&gt;&lt;/strong&gt;&lt;/p&gt;
&lt;ul&gt;
&lt;li&gt;&lt;span&gt;Para os Bookings que possuem validação, os campos de Operação Navio, Armador, Porto de Descarga e Destino Final serão preenchidos automaticamente;&lt;/span&gt;&lt;/li&gt;
&lt;li&gt;&lt;span&gt;Para inserir mais de um Booking no mesmo agendamento, clique no botão “Novo Booking”; &lt;/span&gt;&lt;/li&gt;
&lt;/ul&gt;
&lt;p&gt;&lt;strong&gt;&lt;span&gt;6) Insira os dados do container e do lacre:&lt;/span&gt;&lt;/strong&gt;&lt;/p&gt;
&lt;p&gt;&lt;span&gt;Selecione o campo &lt;/span&gt;&lt;span&gt;“Novo Container”&lt;/span&gt;&lt;span&gt; e posteriormente clique em &lt;/span&gt;&lt;span&gt;“N° CONTAINER”&lt;/span&gt;&lt;/p&gt;
&lt;p&gt;&lt;span&gt;&lt;img height="179" src="https://atendimento.teconline.com.br/hc/article_attachments/34516378601485" width="591"/&gt;&lt;/span&gt;&lt;img height="236" src="https://atendimento.teconline.com.br/hc/article_attachments/34516386158093" width="602"/&gt;&lt;/p&gt;
&lt;p&gt;&lt;span&gt;Container:&lt;/span&gt; Digite o número de identificação do container (letras e números). &lt;/p&gt;
&lt;p&gt;&lt;span&gt;ISO:&lt;/span&gt; Selecione o código ISO correspondente ao tipo de container.&lt;/p&gt;
&lt;p&gt;&lt;span&gt;Capacidade Max:&lt;/span&gt;  Insira a capacidade máxima de carga do container. &lt;/p&gt;
&lt;p&gt;&lt;span&gt;Peso documental:&lt;/span&gt; Informe o peso bruto da carga descrito na nota fiscal da mercadoria.  &lt;/p&gt;
&lt;p&gt;&lt;span&gt;Tara:&lt;/span&gt; Indique o peso vazio do container. &lt;/p&gt;
&lt;p&gt;&lt;span&gt;Cliente/Cobrar de:&lt;/span&gt; Insira o CNPJ da empresa para emissões de cobranças.&lt;/p&gt;
&lt;p&gt;&lt;span&gt;Categoria:&lt;/span&gt; Selecione "Exportação".&lt;/p&gt;
&lt;p&gt;&lt;span&gt;Opções:&lt;/span&gt; Marque o flag "Somente em conclusão de trânsito" se for o caso. &lt;/p&gt;
&lt;p&gt;&lt;span&gt;Tipo do Lacre:&lt;/span&gt; Informe o tipo do lacre utilizado. (Adicione os detalhes de outros lacres, se necessário).&lt;/p&gt;
&lt;p&gt;&lt;span&gt;Sobremedida:&lt;/span&gt; Preencha este campo apenas para containers Open Top ou Flat Racks com carga excedendo as dimensões padrão. &lt;/p&gt;
&lt;p&gt;&lt;span&gt;Mercadoria:&lt;/span&gt; Selecione o tipo de mercadoria (seca, perigosa, refrigerada ou refrigerada perigosa).&lt;/p&gt;
&lt;p&gt;&lt;span&gt;UN:&lt;/span&gt; Informe o número UN somente se a carga for perigosa ou refrigerada perigosa. &lt;/p&gt;
&lt;p&gt;&lt;span&gt;Temperatura (Cº), Umidade (%),  e Ventilação (cbm/h):&lt;/span&gt; Preencha esses campos apenas para cargas refrigeradas ou refrigeradas perigosas. &lt;/p&gt;
&lt;p&gt;&lt;span&gt;Documento de Ficha de Emergência:&lt;/span&gt; Para cargas perigosas, anexe o documento de Ficha de Emergência para validação e entrega da unidade. Para mais informações, &lt;a href="https://atendimento.teconline.com.br/hc/pt-br/articles/360033811191-Ficha-de-Emerg%C3%AAncia-Processo-de-Exporta%C3%A7%C3%A3o-Cabotagem-Embarque"&gt;&lt;span&gt;clique aqui.&lt;/span&gt;&lt;/a&gt;&lt;/p&gt;
&lt;p&gt; &lt;/p&gt;
&lt;p&gt;&lt;strong&gt;&lt;span&gt;7)&lt;/span&gt;&lt;/strong&gt;&lt;span&gt; &lt;/span&gt;&lt;strong&gt;&lt;span&gt;Indique o nome e endereço do local de Estufagem da unidade:&lt;/span&gt;&lt;/strong&gt;&lt;img height="144" src="https://atendimento.teconline.com.br/hc/article_attachments/34516378607757" width="602"/&gt;&lt;/p&gt;
&lt;p&gt; &lt;/p&gt;
&lt;p&gt;&lt;strong&gt;&lt;span&gt;8) Informe o local e endereço do Último levante da unidade:&lt;/span&gt;&lt;/strong&gt;&lt;img height="143" src="https://atendimento.teconline.com.br/hc/article_attachments/34516386163981" width="602"/&gt;&lt;/p&gt;
&lt;p&gt;&lt;span&gt;*Se desejar utilizar o mesmo endereço de Estufagem da unidade, clique no campo “&lt;/span&gt;&lt;span&gt;Copiar&lt;/span&gt;&lt;span&gt; &lt;/span&gt;&lt;span&gt;endereço de estufagem&lt;/span&gt;&lt;span&gt;” no canto superior direito:&lt;/span&gt;&lt;/p&gt;
&lt;p&gt;&lt;img height="43" src="https://atendimento.teconline.com.br/hc/article_attachments/34516386167693" width="602"/&gt;&lt;/p&gt;
&lt;p&gt;&lt;strong&gt;&lt;span&gt;9) Selecione a data e horário para entrega:&lt;/span&gt;&lt;/strong&gt;&lt;/p&gt;
&lt;p&gt;&lt;span&gt; &lt;/span&gt;&lt;img height="206" src="https://atendimento.teconline.com.br/hc/article_attachments/34516386171405" width="596"/&gt;&lt;img height="29" src="https://atendimento.teconline.com.br/hc/article_attachments/34516386173709" width="602"/&gt;&lt;/p&gt;
&lt;p&gt; &lt;span&gt;Data de Agendamento:&lt;/span&gt; Data para entrega da unidade&lt;/p&gt;
&lt;p&gt; &lt;span&gt;Hora Agendamento:&lt;/span&gt; Horário para entrega da unidade&lt;/p&gt;
&lt;p&gt;&lt;strong&gt;* Horários com Ícone Vermelho&lt;/strong&gt; – Sem vagas disponíveis&lt;/p&gt;
&lt;p&gt;&lt;strong&gt;* Horários com Ícone Verde&lt;/strong&gt; – Com vagas disponíveis&lt;/p&gt;
&lt;p&gt;&lt;span&gt;&lt;strong&gt;Atenção!&lt;/strong&gt;&lt;/span&gt;&lt;/p&gt;
&lt;p&gt;Caso os horários estiverem esgotados, agora você pode &lt;strong&gt;acompanhar as vagas para agendamento &lt;/strong&gt;de um jeito muito mais fácil e rápido!&lt;/p&gt;
&lt;p&gt;Com o novo sistema de &lt;strong&gt;Monitoramento de Horários Esgotados&lt;/strong&gt;, você poderá reservar um horário por janela de agendamento e ser avisado por e-mail assim que o horário for liberado, seja por desistência ou qualquer outra alteração na programação.&lt;/p&gt;
&lt;p&gt;&lt;strong&gt;Como funciona?&lt;/strong&gt;&lt;/p&gt;
&lt;ol&gt;
&lt;li&gt;&lt;strong&gt; Clique no ícone  &lt;img src="https://atendimento.teconline.com.br/hc/article_attachments/34519783536269"/&gt; ao lado do horário esgotado desejado:                                                                     &lt;img src="https://atendimento.teconline.com.br/hc/article_attachments/34519783538317"/&gt;   &lt;/strong&gt;&lt;/li&gt;
&lt;li&gt;
&lt;strong&gt;Informe o número do Booking e Container: e clique em &lt;span&gt;Confirmar:&lt;/span&gt;                                                          &lt;/strong&gt;&lt;strong&gt;&lt;img src="https://atendimento.teconline.com.br/hc/article_attachments/34519783540749"/&gt;                                                                           &lt;/strong&gt;
&lt;/li&gt;
&lt;li&gt;&lt;strong&gt;Após a confirmação aparecerá a seguinte mensagem abaixo:                                                                    &lt;img src="https://atendimento.teconline.com.br/hc/article_attachments/34519783543693"/&gt;&lt;/strong&gt;&lt;/li&gt;
&lt;/ol&gt;
&lt;p&gt;&lt;strong&gt;Vantagens:&lt;/strong&gt;&lt;/p&gt;
&lt;ul&gt;
&lt;li&gt;
&lt;strong&gt;Agilidade:&lt;/strong&gt; Seja notificado sobre novas vagas e agende seu serviço rapidamente.&lt;/li&gt;
&lt;li&gt;
&lt;strong&gt;Eficiência:&lt;/strong&gt; Evite consultas constantes no Teconline e otimize seu tempo.&lt;/li&gt;
&lt;/ul&gt;
&lt;p&gt;&lt;strong&gt;Regras:&lt;/strong&gt;&lt;/p&gt;
&lt;ul&gt;
&lt;li&gt;Você pode reservar apenas uma vaga por hora.&lt;/li&gt;
&lt;li&gt;Ao tentar realizar uma reserva o sistema apresentará a mensagem abaixo, orientando sobre o monitoramento ativo e com a opção para cancelar a reserva atual e entre na fila novamente.&lt;/li&gt;
&lt;/ul&gt;
&lt;p&gt;&lt;img src="https://atendimento.teconline.com.br/hc/article_attachments/34519783551117"/&gt;&lt;span&gt;&lt;/span&gt;&lt;/p&gt;
&lt;p&gt; &lt;/p&gt;
&lt;p&gt;&lt;strong&gt;&lt;span&gt;10)  Finalize o agendamento:&lt;/span&gt;&lt;/strong&gt;&lt;/p&gt;
&lt;ul&gt;
&lt;li&gt;
&lt;strong&gt;&lt;span&gt;Confirme os dados: &lt;/span&gt;&lt;/strong&gt;&lt;span&gt;Revise todas as informações inseridas com atenção.&lt;/span&gt;&lt;strong&gt;&lt;span&gt; &lt;/span&gt;&lt;/strong&gt;
&lt;/li&gt;
&lt;li&gt;
&lt;strong&gt;&lt;span&gt;Confirme o agendamento: &lt;/span&gt;&lt;/strong&gt;&lt;span&gt;Clique em "&lt;/span&gt;&lt;span&gt;FINALIZAR AGENDAMENTO&lt;/span&gt;&lt;span&gt;" no canto inferior direito da tela para concluir o processo. Ao confirmar você deve visualizar a mensagem "Agendamento realizado com sucesso".&lt;/span&gt;
&lt;/li&gt;
&lt;li&gt;
&lt;strong&gt;&lt;span&gt;Verifique seu email:  &lt;/span&gt;&lt;/strong&gt;&lt;span&gt;Você receberá o &lt;/span&gt;&lt;span&gt;Bat Eletrônico&lt;/span&gt;&lt;span&gt; com os detalhes do agendamento.&lt;/span&gt;
&lt;/li&gt;
&lt;/ul&gt;
&lt;p&gt;&lt;span&gt; &lt;/span&gt;&lt;/p&gt;
&lt;p&gt;&lt;span&gt;&lt;strong&gt;&lt;span&gt;Observações importantes:&lt;/span&gt;&lt;/strong&gt;&lt;/span&gt;&lt;/p&gt;
&lt;p&gt; &lt;/p&gt;
&lt;ul&gt;
&lt;li&gt;Para a entrada do container no terminal (gate in), é necessário o agendamento e o cadastro da nota fiscal de exportação.&lt;/li&gt;
&lt;li&gt;Para bagagem, é necessário o lançamento dos dados na Web.&lt;/li&gt;
&lt;/ul&gt;
&lt;ul&gt;
&lt;li&gt;&lt;span&gt;Para mais informações quanto ao lançamento de Nota Fiscal, &lt;a href="https://atendimento.teconline.com.br/hc/pt-br/articles/360038007032-Lan%C3%A7amento-de-Nota-Fiscal-Exporta%C3%A7%C3%A3o"&gt;&lt;span&gt;Clique aqui.&lt;/span&gt;&lt;/a&gt;&lt;/span&gt;&lt;/li&gt;
&lt;/ul&gt;
&lt;p&gt;&lt;span&gt;  &lt;/span&gt;&lt;/p&gt;
&lt;p&gt;Caso ainda haja dúvidas, entre em contato com o nosso atendimento ao cliente pelos meios abaixo:&lt;br/&gt;E-mail: &lt;span&gt;atendimento.tcrg@wilsonsons.com.br&lt;/span&gt;&lt;/p&gt;
&lt;p&gt;Telefone: (53) 32343030&lt;/p&gt;
&lt;p&gt;WhatsApp: (53) 32343030&lt;/p&gt;
&lt;p&gt;&lt;span&gt;Chat: &lt;/span&gt;&lt;a href="https://atendimento.teconline.com.br/"&gt;&lt;span&gt;https://atendimento.teconline.com.br&lt;/span&gt;&lt;/a&gt;&lt;span&gt; e &lt;/span&gt;&lt;a href="http://www.teconline.com.br/"&gt;&lt;span&gt;http://www.teconline.com.br&lt;/span&gt;&lt;/a&gt;&lt;/p&gt;</t>
  </si>
  <si>
    <t>https://wilsonsonstrg.zendesk.com/api/v2/help_center/pt-br/articles/360040837671.json</t>
  </si>
  <si>
    <t>https://atendimento.teconline.com.br/hc/pt-br/articles/360040837671-Agendamento-de-Container-Alugado</t>
  </si>
  <si>
    <t>Agendamento de Container Alugado</t>
  </si>
  <si>
    <t>['agendamento', 'container alugado', 'entrega de container bau']</t>
  </si>
  <si>
    <t>&lt;p&gt;Segue descrito abaixo o procedimento.&lt;/p&gt;
&lt;p&gt; &lt;/p&gt;
&lt;p&gt;Link da opção: &lt;a href="http://www.teconline.com.br/agendamento-container/cadastro" target="_self"&gt;Clique aqui.&lt;/a&gt;&lt;/p&gt;
&lt;p&gt;&lt;img alt="g01.PNG" src="https://atendimento.teconline.com.br/hc/article_attachments/4408210677005/g01.PNG"/&gt;&lt;/p&gt;
&lt;p&gt; &lt;/p&gt;
&lt;p&gt;1) Utilizar a opção “Novo Agendamento”&lt;/p&gt;
&lt;p&gt;&lt;img alt="g02.PNG" src="https://atendimento.teconline.com.br/hc/article_attachments/4408201776525/g02.PNG"/&gt;&lt;/p&gt;
&lt;p&gt; &lt;/p&gt;
&lt;p&gt;2) Selecionar em “Tipo” a faina desejada&lt;/p&gt;
&lt;p&gt;&lt;img alt="g03.PNG" src="https://atendimento.teconline.com.br/hc/article_attachments/4408201806477/g03.PNG"/&gt;&lt;/p&gt;
&lt;p&gt; &lt;/p&gt;
&lt;p&gt; &lt;/p&gt;
&lt;p&gt;3) Dados do motorista e do veículo&lt;/p&gt;
&lt;p&gt;&lt;u&gt;&lt;img alt="004.png" src="https://atendimento.teconline.com.br/hc/article_attachments/360051923571/004.png"/&gt;&lt;/u&gt;&lt;/p&gt;
&lt;p&gt;&lt;u&gt;&lt;/u&gt;&lt;u&gt;CNH&lt;/u&gt;: Número da CNH do motorista que irá realizar a entrega da unidade.&lt;/p&gt;
&lt;p&gt;&lt;u&gt;Transportadora&lt;/u&gt;: Empresa transportadora vinculada ao login e senha&lt;/p&gt;
&lt;p&gt;&lt;u&gt;Placa cavalo&lt;/u&gt;: Placa do caminhão que irá realizar a entrega da unidade.&lt;/p&gt;
&lt;p&gt;&lt;u&gt;Placa Carreta 1&lt;/u&gt;: Placa da carreta em que será realizada a entrega da unidade.&lt;/p&gt;
&lt;p&gt;&lt;u&gt;Placa Carreta 2&lt;/u&gt;: Placa informada somente se o veículo for Rodotrem (Bitrem).&lt;/p&gt;
&lt;p&gt; &lt;/p&gt;
&lt;p&gt;4) Dados do Container &lt;/p&gt;
&lt;p&gt;Click no campo NOVO CNTR, posteriormente em Nº CONTAINER&lt;/p&gt;
&lt;p&gt;&lt;img alt="g04.PNG" src="https://atendimento.teconline.com.br/hc/article_attachments/4408210834957/g04.PNG"/&gt;&lt;/p&gt;
&lt;p&gt;&lt;u&gt;Container:&lt;/u&gt; Informar a numeração do container (letras e números)&lt;/p&gt;
&lt;p&gt;&lt;u&gt;ISO:&lt;/u&gt; Código vinculado ao tipo do container &lt;/p&gt;
&lt;p&gt;&lt;u&gt;Capacidade Max:&lt;/u&gt; Capacidade máxima da unidade &lt;/p&gt;
&lt;p&gt;&lt;u&gt;Tara:&lt;/u&gt; Tara da unidade&lt;/p&gt;
&lt;p&gt; &lt;/p&gt;
&lt;p&gt;5) Data e horário para entrega&lt;/p&gt;
&lt;p&gt;&lt;u&gt;&lt;img alt="g05.PNG" src="https://atendimento.teconline.com.br/hc/article_attachments/4408201942285/g05.PNG"/&gt;&lt;/u&gt;&lt;/p&gt;
&lt;p&gt; &lt;/p&gt;
&lt;p&gt;&lt;u&gt;Data de Agendamento&lt;/u&gt;: Data para entrega da unidade&lt;/p&gt;
&lt;p&gt;&lt;u&gt;Hora Agendamento&lt;/u&gt;: Horário para entrega da unidade&lt;/p&gt;
&lt;p&gt;* Horários com Ícone Vermelho – Sem vagas disponíveis&lt;/p&gt;
&lt;p&gt;* Horários com Ícone Verde – Com vagas disponíveis&lt;/p&gt;
&lt;p&gt;* Se desejar informações para Saldo de Vagas, &lt;a href="https://atendimento.teconline.com.br/hc/pt-br/articles/360038044552" target="_self"&gt;Clique aqui.&lt;/a&gt;&lt;/p&gt;
&lt;p&gt; &lt;/p&gt;
&lt;p&gt;6) Finalizar agendamento &lt;/p&gt;
&lt;p&gt;Este é último passo do agendamento. Ao confirmar você deve visualizar a mensagem "Agendamento realizado com sucesso" e, posteriormente, receberá em seu email o Bat Eletrônico com os dados inseridos.&lt;/p&gt;
&lt;p&gt; &lt;/p&gt;
&lt;p&gt;&lt;strong&gt;Imagens operacionalizando&lt;/strong&gt;&lt;/p&gt;
&lt;p&gt;&lt;strong&gt;&lt;img alt="AGENDAMENTO-CNTR-ALUGADO.gif" src="https://atendimento.teconline.com.br/hc/article_attachments/4408203874189/AGENDAMENTO-CNTR-ALUGADO.gif"/&gt;&lt;/strong&gt;&lt;/p&gt;
&lt;p&gt; &lt;/p&gt;
&lt;p&gt; &lt;/p&gt;
&lt;p&gt; &lt;/p&gt;
&lt;p&gt; &lt;/p&gt;
&lt;p&gt; &lt;/p&gt;
&lt;p&gt; &lt;/p&gt;</t>
  </si>
  <si>
    <t>https://wilsonsonstrg.zendesk.com/api/v2/help_center/pt-br/articles/360040097051.json</t>
  </si>
  <si>
    <t>https://atendimento.teconline.com.br/hc/pt-br/articles/360040097051-Consulta-Containers</t>
  </si>
  <si>
    <t>Consulta Containers</t>
  </si>
  <si>
    <t>['BL', 'BL MASTER', 'container', 'timeline', 'último local de estufagem', 'último levante', 'CONSULTA CONTAINER', 'caxu', 'clhu', 'mrku', 'ultimo levante', 'TEMU', 'BSIU', 'CAAU', 'SUDU', 'MWCU', 'BMOU', 'SEKU', 'MNBU', 'UASU', 'ttnu', 'cadu', 'cxhu', 'mscu', 'crtu', 'ultimo local de estufagem', 'TCLU', 'FFAU', 'MSDU', 'TGHU', 'TGBU', 'MMAU', 'HASU', 'TLLU', 'FDCU', 'TRIU', 'SEGU', 'UACU', 'HLXU', 'TCNU', 'GCXU', 'HLBU', 'FCIU', 'peso container']</t>
  </si>
  <si>
    <t>&lt;p&gt;Segue descrito abaixo o procedimento para consultar informações de containers.&lt;/p&gt;
&lt;p&gt; &lt;/p&gt;
&lt;p&gt;Link da opção: &lt;a href="http://www.teconline.com.br/containers" target="_self"&gt;Clique aqui.&lt;/a&gt;&lt;/p&gt;
&lt;p&gt;&lt;img alt="consulta_container_1.PNG" src="https://atendimento.teconline.com.br/hc/article_attachments/360065025192/consulta_container_1.PNG"/&gt;&lt;/p&gt;
&lt;p&gt; &lt;/p&gt;
&lt;p&gt;1. Informar o Container&lt;/p&gt;
&lt;p&gt;&lt;img alt="consulta_container_2.PNG" src="https://atendimento.teconline.com.br/hc/article_attachments/360065025292/consulta_container_2.PNG"/&gt;&lt;/p&gt;
&lt;p&gt;&lt;strong&gt;Observação:&lt;/strong&gt; A pesquisa também pode ser realizada pelo Nº Booking ou Nº Nota Fiscal&lt;/p&gt;
&lt;p&gt; &lt;/p&gt;
&lt;p&gt;2. Clicar na informação “Ver Detalhes”&lt;/p&gt;
&lt;p&gt;&lt;img alt="consulta_container_3.PNG" src="https://atendimento.teconline.com.br/hc/article_attachments/360065025372/consulta_container_3.PNG"/&gt;&lt;/p&gt;
&lt;p&gt; &lt;/p&gt;
&lt;p&gt;&lt;strong&gt;Observação:&lt;/strong&gt; Para containers de exportação que não ingressaram no terminal, serão disponibilizadas adicionalmente as informações de horário de agendamento e se já possui Nota Fiscal cadastrada.&lt;/p&gt;
&lt;p&gt;&lt;img alt="consulta_container_4.PNG" src="https://atendimento.teconline.com.br/hc/article_attachments/360065025532/consulta_container_4.PNG"/&gt;&lt;/p&gt;
&lt;p&gt; &lt;/p&gt;
&lt;p&gt; &lt;/p&gt;
&lt;p&gt;3. Clicar sobre a passagem do container para obter as informações&lt;/p&gt;
&lt;p&gt;&lt;img alt="consulta_container_5.PNG" src="https://atendimento.teconline.com.br/hc/article_attachments/360065025572/consulta_container_5.PNG"/&gt;&lt;/p&gt;
&lt;p&gt; &lt;/p&gt;
&lt;p&gt;4. Timeline do container, informando a entrada e saída da unidade&lt;/p&gt;
&lt;p&gt;&lt;img alt="consulta_container_6.PNG" src="https://atendimento.teconline.com.br/hc/article_attachments/360065207831/consulta_container_6.PNG"/&gt;&lt;/p&gt;
&lt;p&gt; &lt;/p&gt;
&lt;p&gt;5. Em Dados Gerais, serão apresentadas informações básicas do container&lt;/p&gt;
&lt;p&gt;&lt;img alt="consulta_container_7.PNG" src="https://atendimento.teconline.com.br/hc/article_attachments/360065025612/consulta_container_7.PNG"/&gt;&lt;/p&gt;
&lt;p&gt; &lt;/p&gt;
&lt;p&gt;&lt;strong&gt;Observação:&lt;/strong&gt; Para containers de exportação, ao clicar no número do Booking, será direcionada para Consulta Booking&lt;/p&gt;
&lt;p&gt;&lt;img alt="consulta_container_8.PNG" src="https://atendimento.teconline.com.br/hc/article_attachments/360065207911/consulta_container_8.PNG"/&gt;&lt;/p&gt;
&lt;p&gt; &lt;/p&gt;
&lt;p&gt;6. Em movimentações, serão apresentadas informações mais detalhadas da unidade&lt;/p&gt;
&lt;p&gt;&lt;img alt="consulta_container_9.PNG" src="https://atendimento.teconline.com.br/hc/article_attachments/360065207971/consulta_container_9.PNG"/&gt;&lt;/p&gt;
&lt;p&gt; &lt;/p&gt;
&lt;p&gt;&lt;strong&gt;Observação 1: &lt;/strong&gt;Para containers de exportação são apresentadas as informações de Local de Estufagem e Levante&lt;/p&gt;
&lt;p&gt;&lt;img alt="004.PNG" src="https://atendimento.teconline.com.br/hc/article_attachments/5016937723789/004.PNG"/&gt;&lt;/p&gt;
&lt;p&gt; &lt;/p&gt;
&lt;p&gt;&lt;strong&gt;Observação 2:&lt;/strong&gt; Para containers de importação é apresentada a informação de BL Master&lt;/p&gt;
&lt;p&gt;&lt;img alt="consulta_container_10.PNG" src="https://atendimento.teconline.com.br/hc/article_attachments/360065208051/consulta_container_10.PNG"/&gt;&lt;/p&gt;
&lt;p&gt; &lt;/p&gt;
&lt;p&gt;7. Timeline do veículo, informando a entrada e saída&lt;/p&gt;
&lt;p&gt;&lt;img alt="consulta_container_11.PNG" src="https://atendimento.teconline.com.br/hc/article_attachments/360065025752/consulta_container_11.PNG"/&gt;&lt;/p&gt;
&lt;p&gt; &lt;/p&gt;
&lt;p&gt;8. Informações de DUE para containers de Exportação&lt;/p&gt;
&lt;p&gt;&lt;img alt="consulta_container_12.PNG" src="https://atendimento.teconline.com.br/hc/article_attachments/360065208131/consulta_container_12.PNG"/&gt;&lt;/p&gt;
&lt;p&gt; &lt;/p&gt;
&lt;p&gt;9. Informações de Lacres&lt;/p&gt;
&lt;p&gt;&lt;img alt="consulta_container_13.PNG" src="https://atendimento.teconline.com.br/hc/article_attachments/360065025832/consulta_container_13.PNG"/&gt;&lt;/p&gt;
&lt;p&gt; &lt;/p&gt;
&lt;p&gt; &lt;/p&gt;
&lt;p&gt;&lt;strong&gt;Imagens operacionalizando&lt;/strong&gt;&lt;/p&gt;
&lt;p&gt;&lt;strong&gt;&lt;img alt="CONSULTA-CONTAINER-SAVIG.gif" src="https://atendimento.teconline.com.br/hc/article_attachments/5017199594509/CONSULTA-CONTAINER-SAVIG.gif"/&gt;&lt;/strong&gt;&lt;/p&gt;
&lt;p&gt; &lt;/p&gt;
&lt;p&gt; &lt;/p&gt;</t>
  </si>
  <si>
    <t>https://wilsonsonstrg.zendesk.com/api/v2/help_center/pt-br/articles/360039870291.json</t>
  </si>
  <si>
    <t>https://atendimento.teconline.com.br/hc/pt-br/articles/360039870291-Consultar-Or%C3%A7amento-Importa%C3%A7%C3%A3o</t>
  </si>
  <si>
    <t>Consultar Orçamento Importação</t>
  </si>
  <si>
    <t>['boleto', 'orçamento', 'onde pego o boleto', 'em que local posso obter o boleto', 'como posso imprimir o boleto', 'como consultar orçamento', 'cancelar orçamento', 'detalhes de pagamento', 'numerário', 'valores para pagamento']</t>
  </si>
  <si>
    <t>&lt;p&gt;&lt;span&gt;Segue descrito abaixo o procedimento para consulta do orçamento.&lt;/span&gt;&lt;/p&gt;
&lt;p&gt; &lt;/p&gt;
&lt;p&gt;Link da opção: &lt;a href="http://www.teconline.com.br/consulta-orcamentos" target="_self"&gt;Clique aqui.&lt;/a&gt;&lt;/p&gt;
&lt;p&gt;&lt;span&gt;&lt;img alt="or_amento1.PNG" src="https://atendimento.teconline.com.br/hc/article_attachments/360070166991/or_amento1.PNG"/&gt;&lt;/span&gt;&lt;/p&gt;
&lt;p&gt; &lt;/p&gt;
&lt;p&gt;&lt;span&gt;1. Selecione "Mais Filtros"&lt;/span&gt;&lt;/p&gt;
&lt;p&gt;&lt;span&gt;&lt;img alt="or_amento2.PNG" src="https://atendimento.teconline.com.br/hc/article_attachments/360069948212/or_amento2.PNG"/&gt;&lt;/span&gt;&lt;/p&gt;
&lt;p&gt; &lt;/p&gt;
&lt;p&gt;&lt;span&gt;2. Pesquisar por "Número de BL"&lt;/span&gt;&lt;/p&gt;
&lt;p&gt;&lt;span&gt;&lt;img alt="or_amento3.PNG" src="https://atendimento.teconline.com.br/hc/article_attachments/360069948252/or_amento3.PNG"/&gt;&lt;/span&gt;&lt;/p&gt;
&lt;p&gt; &lt;/p&gt;
&lt;p&gt;3. Selecione "Filtrar"&lt;/p&gt;
&lt;p&gt;&lt;img alt="or_amento4.PNG" src="https://atendimento.teconline.com.br/hc/article_attachments/360069948312/or_amento4.PNG"/&gt;&lt;/p&gt;
&lt;p&gt; &lt;/p&gt;
&lt;p&gt; &lt;/p&gt;
&lt;p&gt;4. Opcionalmente, pesquisar por:&lt;/p&gt;
&lt;p&gt;A) Container&lt;/p&gt;
&lt;p&gt;&lt;img alt="or_amento5.PNG" src="https://atendimento.teconline.com.br/hc/article_attachments/360069948372/or_amento5.PNG"/&gt;&lt;/p&gt;
&lt;p&gt; &lt;/p&gt;
&lt;p&gt;B) Cliente&lt;/p&gt;
&lt;p&gt;&lt;img alt="or_amento6.PNG" src="https://atendimento.teconline.com.br/hc/article_attachments/360070167151/or_amento6.PNG"/&gt;&lt;/p&gt;
&lt;p&gt; &lt;/p&gt;
&lt;p&gt;C) Orçamento / Nota&lt;/p&gt;
&lt;p&gt;&lt;img alt="or_amento7.PNG" src="https://atendimento.teconline.com.br/hc/article_attachments/360070167191/or_amento7.PNG"/&gt;&lt;/p&gt;
&lt;p&gt; &lt;/p&gt;
&lt;p&gt;D) Situação do Orçamento &lt;/p&gt;
&lt;p&gt;&lt;img alt="or_amento8.PNG" src="https://atendimento.teconline.com.br/hc/article_attachments/360069948412/or_amento8.PNG"/&gt;&lt;/p&gt;
&lt;p&gt; &lt;/p&gt;
&lt;p&gt;E) Tipo&lt;/p&gt;
&lt;p&gt;&lt;img alt="or_amento9.PNG" src="https://atendimento.teconline.com.br/hc/article_attachments/360070167271/or_amento9.PNG"/&gt;&lt;/p&gt;
&lt;p&gt; &lt;/p&gt;
&lt;p&gt;5. Verificar o número &lt;/p&gt;
&lt;p&gt;&lt;img alt="or_amento10.PNG" src="https://atendimento.teconline.com.br/hc/article_attachments/360069948452/or_amento10.PNG"/&gt;&lt;/p&gt;
&lt;p&gt; &lt;/p&gt;
&lt;p&gt;6. Verificar a situação &lt;/p&gt;
&lt;p&gt;&lt;img alt="or_amento11.PNG" src="https://atendimento.teconline.com.br/hc/article_attachments/360070167351/or_amento11.PNG"/&gt;&lt;/p&gt;
&lt;p&gt; &lt;/p&gt;
&lt;p&gt; &lt;/p&gt;
&lt;p&gt;7. Em "Detalhes" serão disponibilizadas as informações de criação do boleto&lt;/p&gt;
&lt;p&gt;&lt;img alt="or_amento12.PNG" src="https://atendimento.teconline.com.br/hc/article_attachments/360069948472/or_amento12.PNG"/&gt;&lt;/p&gt;
&lt;p&gt; &lt;/p&gt;
&lt;p&gt; &lt;/p&gt;
&lt;p&gt;8. Detalhes do Orçamento&lt;/p&gt;
&lt;p&gt;&lt;img alt="or_amento13.PNG" src="https://atendimento.teconline.com.br/hc/article_attachments/360069948512/or_amento13.PNG"/&gt;&lt;/p&gt;
&lt;p&gt; &lt;/p&gt;
&lt;p&gt;9. Em "Boleto" será disponibilizada a 2º Via do Orçamento e Boleto&lt;/p&gt;
&lt;p&gt;&lt;img alt="or_amento14.PNG" src="https://atendimento.teconline.com.br/hc/article_attachments/360070167451/or_amento14.PNG"/&gt;&lt;/p&gt;
&lt;p&gt; &lt;/p&gt;
&lt;p&gt;10. Em "Ação", será possível realizar o cancelamento do orçamento em "Cancelar"&lt;/p&gt;
&lt;p&gt;&lt;img alt="or_amento15.PNG" src="https://atendimento.teconline.com.br/hc/article_attachments/360069948532/or_amento15.PNG"/&gt;&lt;/p&gt;
&lt;p&gt;&lt;strong&gt;Observação:&lt;/strong&gt; Orçamentos pagos &lt;strong&gt;não&lt;/strong&gt; devem ser cancelados. Dúvidas, ligar para o &lt;a href="https://atendimento.teconline.com.br/hc/pt-br/articles/360000323871-Canais-de-Atendimento-ao-Cliente" target="_blank"&gt;Atendimento Comercial - Import Desk&lt;/a&gt;.&lt;/p&gt;
&lt;p&gt; &lt;/p&gt;
&lt;p&gt;&lt;strong&gt;Imagens operacionalizando&lt;/strong&gt;&lt;/p&gt;
&lt;p&gt;&lt;strong&gt;&lt;img alt="or_amentoimp.gif" src="https://atendimento.teconline.com.br/hc/article_attachments/360070167571/or_amentoimp.gif"/&gt;&lt;/strong&gt;&lt;/p&gt;</t>
  </si>
  <si>
    <t>https://wilsonsonstrg.zendesk.com/api/v2/help_center/pt-br/articles/360039467172.json</t>
  </si>
  <si>
    <t>https://atendimento.teconline.com.br/hc/pt-br/articles/360039467172-Or%C3%A7amento-de-Exporta%C3%A7%C3%A3o</t>
  </si>
  <si>
    <t>Orçamento de Exportação</t>
  </si>
  <si>
    <t>&lt;p&gt;&lt;span&gt;Segue descrito abaixo o procedimento para emissão do orçamento.&lt;/span&gt;&lt;/p&gt;
&lt;p&gt; &lt;/p&gt;
&lt;p&gt;&lt;span&gt;Link da opção: &lt;a href="http://www.teconline.com.br/consulta-orcamentos" target="_blank"&gt;Clique aqui.&lt;/a&gt;&lt;/span&gt;&lt;/p&gt;
&lt;p&gt;&lt;span&gt;&lt;img alt="or_amentoexp1.PNG" src="https://atendimento.teconline.com.br/hc/article_attachments/360073175072/or_amentoexp1.PNG"/&gt;&lt;/span&gt;&lt;/p&gt;
&lt;p&gt; &lt;/p&gt;
&lt;p&gt;1. Selecione "Novo Orçamento"&lt;/p&gt;
&lt;p&gt;&lt;img alt="or_amentoexp2.PNG" src="https://atendimento.teconline.com.br/hc/article_attachments/360073435151/or_amentoexp2.PNG"/&gt;&lt;/p&gt;
&lt;p&gt; &lt;/p&gt;
&lt;p&gt;2. Selecione o Tipo de orçamento&lt;/p&gt;
&lt;p&gt;&lt;img alt="or_amentoexp3.PNG" src="https://atendimento.teconline.com.br/hc/article_attachments/360073435231/or_amentoexp3.PNG"/&gt;&lt;/p&gt;
&lt;p&gt; &lt;/p&gt;
&lt;p&gt;3. Selecione "Continuar"&lt;/p&gt;
&lt;p&gt;&lt;img alt="or_amentoexp4.PNG" src="https://atendimento.teconline.com.br/hc/article_attachments/360073175132/or_amentoexp4.PNG"/&gt;&lt;/p&gt;
&lt;p&gt; &lt;/p&gt;
&lt;p&gt;4. Selecionar as opções de orçamento por "DUE" ou por "Container"&lt;/p&gt;
&lt;p&gt;&lt;img alt="or_amentoexp5.PNG" src="https://atendimento.teconline.com.br/hc/article_attachments/360073175152/or_amentoexp5.PNG"/&gt;&lt;/p&gt;
&lt;p&gt; &lt;/p&gt;
&lt;p&gt;5. Preencher "Documento"&lt;/p&gt;
&lt;p&gt;&lt;img alt="or_amentoexp6.PNG" src="https://atendimento.teconline.com.br/hc/article_attachments/360073435331/or_amentoexp6.PNG"/&gt;&lt;/p&gt;
&lt;p&gt; &lt;/p&gt;
&lt;p&gt;6. Selecionar "Processar"&lt;/p&gt;
&lt;p&gt;&lt;img alt="or_amentoexp7.PNG" src="https://atendimento.teconline.com.br/hc/article_attachments/360073435371/or_amentoexp7.PNG"/&gt;&lt;/p&gt;
&lt;p&gt; &lt;/p&gt;
&lt;p&gt;7. Serão apresentadas as Despesas, Valores e Situação&lt;/p&gt;
&lt;p&gt;&lt;img alt="or_amentoexp8.PNG" src="https://atendimento.teconline.com.br/hc/article_attachments/360073435391/or_amentoexp8.PNG"/&gt;&lt;/p&gt;
&lt;p&gt; &lt;/p&gt;
&lt;p&gt;8. Selecionar as despesas disponíveis/desejadas &lt;/p&gt;
&lt;p&gt;&lt;img alt="or_amentoexp9.PNG" src="https://atendimento.teconline.com.br/hc/article_attachments/360073175252/or_amentoexp9.PNG"/&gt;&lt;/p&gt;
&lt;p&gt; &lt;/p&gt;
&lt;p&gt;9. No final da página será disponibilizado o "Total"&lt;/p&gt;
&lt;p&gt;&lt;img alt="or_amentoexp10.PNG" src="https://atendimento.teconline.com.br/hc/article_attachments/360073435491/or_amentoexp10.PNG"/&gt;&lt;/p&gt;
&lt;p&gt; &lt;/p&gt;
&lt;p&gt;10. Selecionar "Gerar Boleto"&lt;/p&gt;
&lt;p&gt;&lt;img alt="or_amentoexp11.PNG" src="https://atendimento.teconline.com.br/hc/article_attachments/360073435511/or_amentoexp11.PNG"/&gt;&lt;/p&gt;
&lt;p&gt; &lt;/p&gt;
&lt;p&gt;11. Legendas em "Situação"&lt;/p&gt;
&lt;p&gt;A) Despesas programadas para faturamento após a retirada da carga&lt;/p&gt;
&lt;p&gt;&lt;img alt="mceclip11.png" src="https://atendimento.teconline.com.br/hc/article_attachments/360049787852/mceclip11.png"/&gt;&lt;/p&gt;
&lt;p&gt;B) Despesas com orçamento e boletos criados para pagamento na mesma data&lt;/p&gt;
&lt;p&gt;&lt;img alt="mceclip12.png" src="https://atendimento.teconline.com.br/hc/article_attachments/360049907971/mceclip12.png"/&gt;&lt;/p&gt;
&lt;p&gt;C) Despesas isenta na data de consulta ou com Nota Fiscal emitida&lt;/p&gt;
&lt;p&gt;&lt;img alt="mceclip13.png" height="50" src="https://atendimento.teconline.com.br/hc/article_attachments/360049787872/mceclip13.png" width="159"/&gt;&lt;/p&gt;
&lt;p&gt;12. Opcionalmente, preencher a "Referência de cliente" &lt;/p&gt;
&lt;p&gt;&lt;img alt="or_amentoexp12.PNG" src="https://atendimento.teconline.com.br/hc/article_attachments/360073435551/or_amentoexp12.PNG"/&gt;&lt;/p&gt;
&lt;p&gt; &lt;/p&gt;
&lt;p&gt;13. Selecionar "Sim"&lt;/p&gt;
&lt;p&gt;&lt;img alt="or_amentoexp13.PNG" src="https://atendimento.teconline.com.br/hc/article_attachments/360073435591/or_amentoexp13.PNG"/&gt;&lt;/p&gt;
&lt;p&gt; &lt;/p&gt;
&lt;p&gt;&lt;strong&gt;Consideração:&lt;/strong&gt;&lt;/p&gt;
&lt;p&gt;Realizando a consulta por container, favor atentar que não será disponibilizada a despesa de Recepção e Entrega de Carga.&lt;/p&gt;
&lt;p&gt; &lt;/p&gt;
&lt;p&gt; &lt;/p&gt;
&lt;p&gt;&lt;strong&gt;Imagens operacionalizando&lt;/strong&gt;&lt;/p&gt;
&lt;p&gt;&lt;img alt="OR_AMENTO-DE-EXP.gif" src="https://atendimento.teconline.com.br/hc/article_attachments/360073435771/OR_AMENTO-DE-EXP.gif"/&gt;&lt;/p&gt;</t>
  </si>
  <si>
    <t>https://wilsonsonstrg.zendesk.com/api/v2/help_center/pt-br/articles/360039870111.json</t>
  </si>
  <si>
    <t>https://atendimento.teconline.com.br/hc/pt-br/articles/360039870111-Acompanhamento-de-Processo-Exporta%C3%A7%C3%A3o</t>
  </si>
  <si>
    <t>Tiara</t>
  </si>
  <si>
    <t>Acompanhamento de Processo - Exportação</t>
  </si>
  <si>
    <t>['DUE', 'booking', 'consultar booking', 'acompanhamento de processo', 'consultar due', 'processo de exportação', 'dde', 'timeline', 'processo', 'acompanhamento']</t>
  </si>
  <si>
    <t>&lt;h2&gt; &lt;/h2&gt;
&lt;p&gt;Segue descrito abaixo o procedimento para consultar as situações dos processos de exportação.&lt;/p&gt;
&lt;p&gt; &lt;/p&gt;
&lt;p&gt;Link da opção: &lt;a href="http://www.teconline.com.br/acompanhamento-processo" target="_blank"&gt;clique aqui.&lt;/a&gt;&lt;/p&gt;
&lt;p&gt;&lt;img alt="ACOMEXP1.PNG" src="https://atendimento.teconline.com.br/hc/article_attachments/360073184012/ACOMEXP1.PNG"/&gt;&lt;/p&gt;
&lt;p&gt; &lt;/p&gt;
&lt;p&gt;1. Informar o booking&lt;/p&gt;
&lt;p&gt;&lt;img alt="ACOMEXP2.PNG" src="https://atendimento.teconline.com.br/hc/article_attachments/360073443291/ACOMEXP2.PNG"/&gt;&lt;/p&gt;
&lt;p&gt; &lt;/p&gt;
&lt;p&gt;2. Em Dados Gerais, serão apresentadas informações básicas do processo&lt;/p&gt;
&lt;p&gt;&lt;img alt="ACOMEXP3.PNG" src="https://atendimento.teconline.com.br/hc/article_attachments/360073184052/ACOMEXP3.PNG"/&gt;&lt;/p&gt;
&lt;p&gt; &lt;/p&gt;
&lt;p&gt;3. &lt;span&gt;Artigo para auxílio&lt;/span&gt;&lt;/p&gt;
&lt;p&gt;&lt;span&gt;&lt;img alt="006_expc.PNG" src="https://atendimento.teconline.com.br/hc/article_attachments/4415951907725/006_expc.PNG"/&gt;&lt;/span&gt;&lt;/p&gt;
&lt;p&gt; &lt;/p&gt;
&lt;p&gt;4. Timeline do processo&lt;/p&gt;
&lt;p&gt;&lt;img alt="ACOMEXP4.PNG" src="https://atendimento.teconline.com.br/hc/article_attachments/360073443371/ACOMEXP4.PNG"/&gt;&lt;/p&gt;
&lt;p&gt; &lt;/p&gt;
&lt;p&gt;A) Recebimento do último container do processo&lt;/p&gt;
&lt;p&gt;&lt;img alt="ACOMEXP5.PNG" src="https://atendimento.teconline.com.br/hc/article_attachments/360073443411/ACOMEXP5.PNG"/&gt;&lt;/p&gt;
&lt;p&gt; &lt;/p&gt;
&lt;p&gt;B) Recepção da carga&lt;/p&gt;
&lt;p&gt;&lt;img alt="ACOMEXP6.PNG" src="https://atendimento.teconline.com.br/hc/article_attachments/360073184172/ACOMEXP6.PNG"/&gt;&lt;/p&gt;
&lt;p&gt; &lt;/p&gt;
&lt;p&gt;C) Liberação do processo&lt;/p&gt;
&lt;p&gt;&lt;img alt="ACOMEXP7.PNG" src="https://atendimento.teconline.com.br/hc/article_attachments/360073443511/ACOMEXP7.PNG"/&gt;&lt;/p&gt;
&lt;p&gt; &lt;/p&gt;
&lt;p&gt;D) Entrega&lt;/p&gt;
&lt;p&gt;&lt;img alt="ACOMEXP8.PNG" src="https://atendimento.teconline.com.br/hc/article_attachments/360073184312/ACOMEXP8.PNG"/&gt;&lt;/p&gt;
&lt;p&gt; &lt;/p&gt;
&lt;p&gt;E) Embarque do último container do processo&lt;/p&gt;
&lt;p&gt;&lt;img alt="ACOMEXP9.PNG" src="https://atendimento.teconline.com.br/hc/article_attachments/360073443611/ACOMEXP9.PNG"/&gt;&lt;/p&gt;
&lt;p&gt; &lt;/p&gt;
&lt;p&gt;5. Detalhes dos Containers&lt;/p&gt;
&lt;p&gt;&lt;img alt="ACOMEXP10.PNG" src="https://atendimento.teconline.com.br/hc/article_attachments/360073184452/ACOMEXP10.PNG"/&gt;&lt;/p&gt;
&lt;p&gt; &lt;/p&gt;
&lt;p&gt;&lt;strong&gt;Imagens operacionalizando&lt;/strong&gt;&lt;/p&gt;
&lt;p&gt;&lt;img alt="ACOMPANHAMENTO-DE-PROCESSO-EXP.gif" src="https://atendimento.teconline.com.br/hc/article_attachments/360073443691/ACOMPANHAMENTO-DE-PROCESSO-EXP.gif"/&gt;&lt;/p&gt;</t>
  </si>
  <si>
    <t>https://wilsonsonstrg.zendesk.com/api/v2/help_center/pt-br/articles/360039866151.json</t>
  </si>
  <si>
    <t>https://atendimento.teconline.com.br/hc/pt-br/articles/360039866151-Criar-Or%C3%A7amento-de-Importa%C3%A7%C3%A3o</t>
  </si>
  <si>
    <t>Criar Orçamento de Importação</t>
  </si>
  <si>
    <t>['BL', 'orçamento', 'como posso imprimir o boleto', 'numerário', 'criar boleto', 'valor do processo', 'como gerar orçamento', 'como fazer pagamento', 'cif', 'pix', 'pagamento com pix', 'pagamento via pix', 'como faço pagamento via pix']</t>
  </si>
  <si>
    <t>&lt;p&gt;&lt;span&gt;Segue descrito abaixo o procedimento para emissão do orçamento.&lt;/span&gt;&lt;/p&gt;
&lt;p&gt; &lt;/p&gt;
&lt;p&gt;&lt;span&gt;Link da opção: &lt;a href="http://www.teconline.com.br/consulta-orcamentos" target="_blank"&gt;Clique aqui.&lt;/a&gt;&lt;/span&gt;&lt;/p&gt;
&lt;p&gt;&lt;span&gt;&lt;img alt="or_amento1.PNG" src="https://atendimento.teconline.com.br/hc/article_attachments/360070171351"/&gt;&lt;/span&gt;&lt;/p&gt;
&lt;p&gt; &lt;/p&gt;
&lt;p&gt;&lt;span&gt;1. Selecione "Novo Orçamento"&lt;/span&gt;&lt;/p&gt;
&lt;p&gt;&lt;span&gt;&lt;img alt="or_amento2.PNG" src="https://atendimento.teconline.com.br/hc/article_attachments/360070177771"/&gt;&lt;/span&gt;&lt;/p&gt;
&lt;p&gt; &lt;/p&gt;
&lt;p&gt;&lt;span&gt;2. Selecione o Tipo de orçamento&lt;/span&gt;&lt;/p&gt;
&lt;p&gt;&lt;span&gt;&lt;img alt="or_amento3.PNG" src="https://atendimento.teconline.com.br/hc/article_attachments/360069958712"/&gt;&lt;/span&gt;&lt;/p&gt;
&lt;p&gt; &lt;/p&gt;
&lt;p&gt;&lt;span&gt;3. Selecione "Continuar"&lt;/span&gt;&lt;/p&gt;
&lt;p&gt;&lt;span&gt;&lt;img alt="or_amento4.PNG" src="https://atendimento.teconline.com.br/hc/article_attachments/360069958752"/&gt;&lt;/span&gt;&lt;/p&gt;
&lt;p&gt; &lt;/p&gt;
&lt;p&gt;&lt;span&gt;4. Visualizar informação&lt;/span&gt;&lt;/p&gt;
&lt;p&gt;&lt;span&gt;&lt;img alt="or_amento5.PNG" src="https://atendimento.teconline.com.br/hc/article_attachments/360070177891"/&gt;&lt;/span&gt;&lt;/p&gt;
&lt;p&gt; &lt;/p&gt;
&lt;p&gt;&lt;span&gt;5. Informar número do BL ou DI &lt;/span&gt;&lt;/p&gt;
&lt;p&gt;&lt;span&gt;&lt;img alt="or_amento6.PNG" src="https://atendimento.teconline.com.br/hc/article_attachments/360069958952"/&gt;&lt;/span&gt;&lt;/p&gt;
&lt;p&gt; &lt;/p&gt;
&lt;p&gt;6. Verificar valor CIF&lt;/p&gt;
&lt;p&gt;&lt;img alt="or_amento7.PNG" src="https://atendimento.teconline.com.br/hc/article_attachments/360069959032"/&gt;&lt;/p&gt;
&lt;p&gt; &lt;/p&gt;
&lt;p&gt;7. Selecionar "Data de Retirada"&lt;/p&gt;
&lt;p&gt;&lt;img alt="or_amento8.PNG" src="https://atendimento.teconline.com.br/hc/article_attachments/360070178251"/&gt;&lt;/p&gt;
&lt;p&gt; &lt;/p&gt;
&lt;p&gt;8. Serão apresentadas as opções :&lt;/p&gt;
&lt;p&gt;&lt;img alt="or_amento9.PNG" src="https://atendimento.teconline.com.br/hc/article_attachments/360069959092"/&gt;&lt;/p&gt;
&lt;p&gt;&lt;span&gt;&lt;u&gt;&lt;span&gt;Incluir data de retirada no cálculo do valor de armazenagem:&lt;/span&gt;&lt;/u&gt;&lt;/span&gt;&lt;span&gt; Utilizar quando a data de retirada for um dia após o free-time;&lt;/span&gt;&lt;/p&gt;
&lt;p&gt;&lt;strong&gt;Observação:&lt;/strong&gt;&lt;span&gt; Não utilizar na modalidade de pagamento PIX&lt;/span&gt;&lt;/p&gt;
&lt;p&gt;&lt;span&gt;&lt;u&gt;&lt;span&gt;Pagar dia de Porta:&lt;/span&gt;&lt;/u&gt;&lt;/span&gt;&lt;span&gt; Utilizar quando for necessário fazer um complemento de armazenagem (serve para pagamento de apenas 1 dia a mais do valor já pago);&lt;/span&gt;&lt;/p&gt;
&lt;p&gt;&lt;span&gt;&lt;span&gt;&lt;u&gt;Desova House (Direto para Caminhão):&lt;/u&gt;&lt;/span&gt; Utilizar para operação programada e autorizada antecipadamente pelo responsável do armazém de importação.&lt;/span&gt;&lt;/p&gt;
&lt;p&gt;&lt;span&gt;&lt;u&gt;&lt;span&gt;Retirada via barcaça:&lt;/span&gt;&lt;/u&gt;&lt;/span&gt;&lt;span&gt; Utilizar para operação programada junto a equipe Santa Clara.&lt;/span&gt;&lt;/p&gt;
&lt;p&gt; &lt;/p&gt;
&lt;p&gt;9. Selecionar "Processar"&lt;/p&gt;
&lt;p&gt;&lt;img alt="or_amento10.PNG" src="https://atendimento.teconline.com.br/hc/article_attachments/360069959132"/&gt;&lt;/p&gt;
&lt;p&gt; &lt;/p&gt;
&lt;p&gt;&lt;span&gt; &lt;/span&gt;&lt;span&gt;10. Em "Documentos", serão apresentadas as informações do processo&lt;/span&gt;&lt;/p&gt;
&lt;p&gt;&lt;span&gt;&lt;img alt="or_amento11.PNG" src="https://atendimento.teconline.com.br/hc/article_attachments/360070178311"/&gt;&lt;/span&gt;&lt;/p&gt;
&lt;p&gt; &lt;/p&gt;
&lt;p&gt;&lt;span&gt;11. Serão apresentadas as Despesas, Valores e Situação&lt;/span&gt;&lt;/p&gt;
&lt;p&gt;&lt;span&gt;&lt;img alt="or_amento12.PNG" src="https://atendimento.teconline.com.br/hc/article_attachments/360069959192"/&gt;&lt;/span&gt;&lt;/p&gt;
&lt;p&gt; &lt;/p&gt;
&lt;p&gt;&lt;span&gt;12. Selecionar as despesas disponíveis/desejadas &lt;/span&gt;&lt;/p&gt;
&lt;p&gt;&lt;span&gt;&lt;img alt="or_amento13.PNG" src="https://atendimento.teconline.com.br/hc/article_attachments/360069959292"/&gt;&lt;/span&gt;&lt;/p&gt;
&lt;p&gt; &lt;/p&gt;
&lt;p&gt;&lt;span&gt;13. Para Visualizar o detalhamento de Armazenagem, clique sobre "Armazenagem"&lt;/span&gt;&lt;/p&gt;
&lt;p&gt;&lt;span&gt;&lt;img alt="or_amento14.PNG" src="https://atendimento.teconline.com.br/hc/article_attachments/360070178591"/&gt;&lt;/span&gt;&lt;/p&gt;
&lt;p&gt; &lt;/p&gt;
&lt;p&gt;&lt;span&gt;14. Detalhamento de Armazenagem&lt;/span&gt;&lt;/p&gt;
&lt;p&gt;&lt;span&gt;&lt;img alt="or_amento15.PNG" src="https://atendimento.teconline.com.br/hc/article_attachments/360069959492"/&gt;&lt;/span&gt;&lt;/p&gt;
&lt;p&gt; &lt;/p&gt;
&lt;p&gt;&lt;span&gt;15. No final da página será disponibilizado o "Total"&lt;/span&gt;&lt;/p&gt;
&lt;p&gt;&lt;span&gt;&lt;img alt="or_amento16.PNG" src="https://atendimento.teconline.com.br/hc/article_attachments/360069959572"/&gt;&lt;/span&gt;&lt;/p&gt;
&lt;p&gt; &lt;/p&gt;
&lt;p&gt;&lt;strong&gt;Pagamento via boleto bancário&lt;/strong&gt;&lt;/p&gt;
&lt;p&gt; &lt;/p&gt;
&lt;p&gt;1. Selecionar "Gerar Boleto"&lt;/p&gt;
&lt;p&gt;&lt;img alt="or_amento17.PNG" src="https://atendimento.teconline.com.br/hc/article_attachments/360069959652"/&gt;&lt;/p&gt;
&lt;p&gt; &lt;/p&gt;
&lt;p&gt;2. Legendas em "Situação"&lt;/p&gt;
&lt;p&gt;A) Despesas programadas para faturamento após a retirada da carga&lt;/p&gt;
&lt;p&gt;&lt;img alt="mceclip11.png" src="https://atendimento.teconline.com.br/hc/article_attachments/360049787852"/&gt;&lt;/p&gt;
&lt;p&gt;B) Despesas com orçamento e boletos criados para pagamento na mesma data&lt;/p&gt;
&lt;p&gt;&lt;img alt="001.PNG" height="46" src="https://atendimento.teconline.com.br/hc/article_attachments/4423628512397" width="167"/&gt;&lt;/p&gt;
&lt;p&gt;C) Despesas isenta na data de consulta ou com Nota Fiscal emitida&lt;/p&gt;
&lt;p&gt;&lt;img alt="mceclip13.png" height="50" src="https://atendimento.teconline.com.br/hc/article_attachments/360049787872" width="159"/&gt;&lt;/p&gt;
&lt;p&gt;D) Despesas disponíveis para pagamento&lt;/p&gt;
&lt;p&gt;&lt;img alt="mceclip17.png" height="52" src="https://atendimento.teconline.com.br/hc/article_attachments/360049787932" width="162"/&gt;&lt;/p&gt;
&lt;p&gt; &lt;/p&gt;
&lt;p&gt;3. Conferir o cliente e o CNPJ vinculado ao processo&lt;/p&gt;
&lt;p&gt;&lt;img alt="or_amento18.PNG" src="https://atendimento.teconline.com.br/hc/article_attachments/360070178731"/&gt;&lt;/p&gt;
&lt;p&gt;&lt;strong&gt;Observação: &lt;/strong&gt;As NF serão emitidas para o cliente abaixo e não serão canceladas após a emissão.&lt;/p&gt;
&lt;p&gt; &lt;/p&gt;
&lt;p&gt;4. Opcionalmente, preencher a "Referência de cliente" &lt;/p&gt;
&lt;p&gt;&lt;img alt="or_amento19.PNG" src="https://atendimento.teconline.com.br/hc/article_attachments/360069959692"/&gt;&lt;/p&gt;
&lt;p&gt; &lt;/p&gt;
&lt;p&gt;5. Selecionar "Sim"&lt;/p&gt;
&lt;p&gt;&lt;img alt="or_amento20.PNG" src="https://atendimento.teconline.com.br/hc/article_attachments/360070178791"/&gt;&lt;/p&gt;
&lt;p&gt; &lt;/p&gt;
&lt;p&gt;&lt;strong&gt;Imagens operacionalizando&lt;/strong&gt;&lt;/p&gt;
&lt;p&gt;&lt;strong&gt;&lt;img alt="or_amento-imp.gif" src="https://atendimento.teconline.com.br/hc/article_attachments/360070179631"/&gt;&lt;/strong&gt;&lt;/p&gt;
&lt;p&gt; &lt;/p&gt;
&lt;p&gt;&lt;strong&gt;Pagamento via Pix&lt;/strong&gt;&lt;/p&gt;
&lt;p&gt; &lt;/p&gt;
&lt;p&gt;1. Selecionar "Pagamento com PIX"&lt;/p&gt;
&lt;p&gt;&lt;img alt="pix01.png" src="https://atendimento.teconline.com.br/hc/article_attachments/4423633499021"/&gt;&lt;/p&gt;
&lt;p&gt; &lt;/p&gt;
&lt;p&gt;&lt;span&gt;2. Conferir o cliente e o CNPJ vinculado ao processo&lt;/span&gt;&lt;/p&gt;
&lt;p&gt;&lt;span&gt;&lt;img alt="pix02.PNG" src="https://atendimento.teconline.com.br/hc/article_attachments/4423633503629"/&gt;&lt;/span&gt;&lt;/p&gt;
&lt;p&gt;&lt;strong&gt;Observação: &lt;/strong&gt;&lt;span&gt;As NF serão emitidas para o cliente abaixo e não serão canceladas após a emissão.&lt;/span&gt;&lt;/p&gt;
&lt;p&gt; &lt;/p&gt;
&lt;p&gt;&lt;span&gt;3. Opcionalmente, preencher a "Referência de cliente" &lt;/span&gt;&lt;/p&gt;
&lt;p&gt;&lt;span&gt;&lt;img alt="pix03.PNG" src="https://atendimento.teconline.com.br/hc/article_attachments/4423628566157"/&gt;&lt;/span&gt;&lt;/p&gt;
&lt;p&gt; &lt;/p&gt;
&lt;p&gt;&lt;span&gt;4. Selecionar "Sim"&lt;/span&gt;&lt;/p&gt;
&lt;p&gt;&lt;span&gt;&lt;img alt="pix04.PNG" src="https://atendimento.teconline.com.br/hc/article_attachments/4423628571277"/&gt;&lt;/span&gt;&lt;/p&gt;
&lt;p&gt; &lt;/p&gt;
&lt;p&gt;&lt;span&gt;5. &lt;/span&gt;Realize o pagamento&lt;/p&gt;
&lt;p&gt;&lt;img alt="pix05.PNG" src="https://atendimento.teconline.com.br/hc/article_attachments/4423633561613"/&gt;&lt;/p&gt;
&lt;p&gt;&lt;strong&gt;Observação: &lt;/strong&gt;&lt;span&gt;O QR Code disponibilizado é válido por apenas 4 horas. Após o término deste prazo, não ocorrendo o pagamento, será necessário realizar um novo orçamento.&lt;/span&gt;&lt;/p&gt;
&lt;p&gt; &lt;/p&gt;
&lt;p&gt;&lt;strong&gt;Imagens operacionalizando&lt;/strong&gt;&lt;/p&gt;
&lt;p&gt;&lt;strong&gt;&lt;img alt="PAGAMENTO-VIA-PIX.gif" src="https://atendimento.teconline.com.br/hc/article_attachments/4423633565709"/&gt;&lt;/strong&gt;&lt;/p&gt;
&lt;p&gt; &lt;/p&gt;
&lt;p&gt;&lt;strong&gt;Consideração:&lt;/strong&gt;&lt;/p&gt;
&lt;p&gt;Para processo com Quebra-de-lote é necessário realizar o orçamento utilizando o flag “Nº Documento” e digitar manualmente o CIF. Para essa operação, solicitamos contatar o setor de &lt;a href="https://atendimento.teconline.com.br/hc/pt-br/articles/360000323871-Canais-de-Atendimento-ao-Cliente" target="_blank"&gt;Atendimento Comercial - Import Desk&lt;/a&gt; pelo e-mail &lt;a href="mailto:importdesk.tcrg@wilsonsons.com.br"&gt;importdesk.tcrg@wilsonsons.com.br  &lt;/a&gt;ou telefone 53-32343134.&lt;/p&gt;</t>
  </si>
  <si>
    <t>https://wilsonsonstrg.zendesk.com/api/v2/help_center/pt-br/articles/360039125992.json</t>
  </si>
  <si>
    <t>https://atendimento.teconline.com.br/hc/pt-br/articles/360039125992-M%C3%B3dulo-Faturamento-Nota-Fiscal-Tecon</t>
  </si>
  <si>
    <t>Módulo Faturamento - Nota Fiscal Tecon</t>
  </si>
  <si>
    <t>['DUE', 'DI', 'faturamento', 'cobranças', 'boleto', 'relatório', 'nf', 'nota fiscal', 'dda', 'como consultar nota', 'consulta nota fiscal', 'atualizar boleto', 'boleto vencido', 'atualização boleto']</t>
  </si>
  <si>
    <t>&lt;p&gt;Neste artigo você aprenderá as seguintes funções:&lt;/p&gt;
&lt;ol&gt;
&lt;li&gt;&lt;span&gt;&lt;a href="https://atendimento.teconline.com.br/hc/pt-br/articles/19208038855565#:~:text=Fun%C3%A7%C3%B5es%20dos%20Bot%C3%B5es-,Solicita%C3%A7%C3%A3o%20de%20Desova,-Link%20da%20op%C3%A7%C3%A3o"&gt;Solicitação de Desova&lt;/a&gt;&lt;/span&gt;&lt;/li&gt;
&lt;li&gt;&lt;span&gt;&lt;a href="https://atendimento.teconline.com.br/hc/pt-br/articles/19208038855565#:~:text=Enviar%20para%20An%C3%A1lise-,Consulta%20da%20Solicita%C3%A7%C3%A3o%20de%20Desova,-1%20%2D%20Clique%20no"&gt;Consulta da Solicitação de Desova&lt;/a&gt;&lt;/span&gt;&lt;/li&gt;
&lt;li&gt;&lt;span&gt;&lt;a href="https://atendimento.teconline.com.br/hc/pt-br/articles/19208038855565#:~:text=detalhamento%20da%20solicita%C3%A7%C3%A3o-,Status%20da%20Solicita%C3%A7%C3%A3o,-Libera%C3%A7%C3%A3o%20Importa%C3%A7%C3%A3o%20Pendente"&gt;Status da Solicitação&lt;/a&gt;&lt;/span&gt;&lt;/li&gt;
&lt;li&gt;&lt;span&gt;&lt;a href="https://atendimento.teconline.com.br/hc/pt-br/articles/19208038855565#:~:text=poss%C3%ADvel%20criar%20outra.-,Detalhamento%20da%20Solicita%C3%A7%C3%A3o,-Fun%C3%A7%C3%B5es%20dos%20Bot%C3%B5es"&gt;Detalhamento da Solicitação&lt;/a&gt;&lt;/span&gt;&lt;/li&gt;
&lt;li&gt;&lt;span&gt;&lt;a href="https://atendimento.teconline.com.br/hc/pt-br/articles/19208038855565#:~:text=Detalhamento%20da%20Solicita%C3%A7%C3%A3o-,Fun%C3%A7%C3%B5es%20dos%20Bot%C3%B5es,-Solicitar%20Desova%20%2D%20Possibilita"&gt;Funções dos Botões&lt;/a&gt;&lt;/span&gt;&lt;/li&gt;
&lt;/ol&gt;
&lt;p&gt; &lt;/p&gt;
&lt;p&gt;Segue descrito abaixo o procedimento para consultar as Notas Fiscais de cobrança de importação e exportação.&lt;/p&gt;
&lt;p&gt;Link da opção: &lt;a href="http://www.teconline.com.br/faturamento-notafiscal" target="_blank"&gt;Clique aqui.&lt;/a&gt;&lt;/p&gt;
&lt;p&gt;&lt;img alt="NF_01.png" src="https://atendimento.teconline.com.br/hc/article_attachments/360066513072"/&gt;&lt;/p&gt;
&lt;p&gt; &lt;/p&gt;
&lt;p&gt;1. Selecione a opção "Mais Filtros"&lt;/p&gt;
&lt;p&gt;&lt;img alt="NF_02.png" src="https://atendimento.teconline.com.br/hc/article_attachments/360066688511"/&gt;&lt;/p&gt;
&lt;p&gt; &lt;/p&gt;
&lt;p&gt;2. Realizar a pesquisa por número da Nota Fiscal&lt;/p&gt;
&lt;p&gt;&lt;img src="https://atendimento.teconline.com.br/hc/article_attachments/19895737420429"/&gt;&lt;/p&gt;
&lt;p&gt; &lt;/p&gt;
&lt;p&gt;3. Selecione "Filtrar"&lt;/p&gt;
&lt;p&gt;&lt;img src="https://atendimento.teconline.com.br/hc/article_attachments/19895806029581"/&gt;&lt;/p&gt;
&lt;p&gt; &lt;/p&gt;
&lt;p&gt;4. Serão apresentadas as informações:&lt;/p&gt;
&lt;p&gt;- Nº da Nota Fiscal&lt;/p&gt;
&lt;p&gt;- Data de Emissão&lt;/p&gt;
&lt;p&gt;- Data de Vencimento&lt;/p&gt;
&lt;p&gt;- CNPJ&lt;/p&gt;
&lt;p&gt;- Cliente&lt;/p&gt;
&lt;p&gt;- Valor&lt;/p&gt;
&lt;p&gt;&lt;img alt="NF_05.png" src="https://atendimento.teconline.com.br/hc/article_attachments/360066688571"/&gt;&lt;/p&gt;
&lt;p&gt; &lt;/p&gt;
&lt;p&gt;5. Para maiores informações, selecione &lt;img alt="mceclip4.png" height="33" src="https://atendimento.teconline.com.br/hc/article_attachments/360048878752" width="37"/&gt; "Detalhes" &lt;/p&gt;
&lt;p&gt;&lt;img alt="NF_06.png" src="https://atendimento.teconline.com.br/hc/article_attachments/360066513132"/&gt;&lt;/p&gt;
&lt;p&gt; &lt;/p&gt;
&lt;p&gt;A) Em "Itens", serão disponibilizados os serviços e valores &lt;/p&gt;
&lt;p&gt;&lt;img alt="NF_07.png" src="https://atendimento.teconline.com.br/hc/article_attachments/360066688591"/&gt;&lt;/p&gt;
&lt;p&gt; &lt;/p&gt;
&lt;p&gt;B) Para Notas Fiscais a Prazo, serão disponibilizados documentos auxiliares e cópia da Nota Fiscal &lt;/p&gt;
&lt;p&gt;&lt;img alt="NF_08.png" src="https://atendimento.teconline.com.br/hc/article_attachments/360066513152"/&gt;&lt;/p&gt;
&lt;p&gt;&lt;strong&gt;Observação:&lt;/strong&gt; Para notas fiscais à vista, será disponibilizado somente a cópia da Nota Fiscal&lt;/p&gt;
&lt;p&gt; &lt;/p&gt;
&lt;p&gt;C) Para notas a prazo, será disponibilizado o procedimento de atualização para boletos vencidos&lt;/p&gt;
&lt;p&gt;&lt;img alt="artigoboleto.PNG" src="https://atendimento.teconline.com.br/hc/article_attachments/8454338736397"/&gt;&lt;/p&gt;
&lt;p&gt;Link para atualização do Boleto: &lt;a href="https://www.itau.com.br/servicos/boletos/atualizar?ef_id=CjwKCAjwlrqHBhByEiwAnLmYUMcrzYbl4OAI932vgP5Lyn--n8cby9tV8a0f3x2lupOLWo-lp7s19xoCjVMQAvD_BwE:G:s&amp;amp;s_kwcid=AL!905!3!!!!x!!&amp;amp;gclid=CjwKCAjwlrqHBhByEiwAnLmYUMcrzYbl4OAI932vgP5Lyn--n8cby9tV8a0f3x2lupOLWo-lp7s19xoCjVMQAvD_BwE" target="_blank"&gt;https://www.itau.com.br/servicos/boletos/atualizar;&lt;/a&gt;&lt;/p&gt;
&lt;p&gt; &lt;/p&gt;
&lt;p&gt;D) Em "Atualização de E-mail(s)" serão disponibilizados os e-mails cadastrados para recebimento das Notas Fiscais&lt;/p&gt;
&lt;p&gt;&lt;img alt="NF_10.png" src="https://atendimento.teconline.com.br/hc/article_attachments/360066688631"/&gt;&lt;/p&gt;
&lt;p&gt; &lt;/p&gt;
&lt;p&gt;6. Visualização de OS's não faturadas.&lt;/p&gt;
&lt;p&gt;&lt;img src="https://atendimento.teconline.com.br/hc/article_attachments/19896482730253"/&gt;&lt;/p&gt;
&lt;p&gt;&lt;strong&gt;Observações:&lt;/strong&gt;&lt;/p&gt;
&lt;p&gt;A - Disponibilizamos uma consulta para que você consiga visualizar todas os serviços que ainda não foram faturados.&lt;/p&gt;
&lt;p&gt;B- Para os serviços de Armazenagem, Fornecimento de Energia e Monitoramento de Energia é possível verificar o detalhamento através do ícone &lt;img src="https://atendimento.teconline.com.br/hc/article_attachments/19898230026381"/&gt;, conforme tela abaixo:&lt;/p&gt;
&lt;p&gt; &lt;/p&gt;
&lt;p&gt;&lt;img src="https://atendimento.teconline.com.br/hc/article_attachments/19897590622861"/&gt;&lt;/p&gt;
&lt;p&gt;7. Opcionalmente, podem ser realizadas pesquisas pelas opções &lt;/p&gt;
&lt;p&gt;A) DUE&lt;/p&gt;
&lt;p&gt;&lt;img alt="NF_11.png" src="https://atendimento.teconline.com.br/hc/article_attachments/360066688651"/&gt;&lt;/p&gt;
&lt;p&gt; &lt;/p&gt;
&lt;p&gt;B) DI&lt;/p&gt;
&lt;p&gt;&lt;img alt="NF_12.png" src="https://atendimento.teconline.com.br/hc/article_attachments/360066513172"/&gt;&lt;/p&gt;
&lt;p&gt; &lt;/p&gt;
&lt;p&gt;C) Período de datas&lt;/p&gt;
&lt;p&gt;&lt;img alt="NF_13.png" src="https://atendimento.teconline.com.br/hc/article_attachments/360066513192"/&gt;&lt;/p&gt;
&lt;p&gt; &lt;/p&gt;
&lt;p&gt;D) Operação de Navio&lt;/p&gt;
&lt;p&gt;&lt;img alt="NF_14.png" src="https://atendimento.teconline.com.br/hc/article_attachments/360066688691"/&gt;&lt;/p&gt;
&lt;p&gt; &lt;/p&gt;
&lt;p&gt;&lt;strong&gt;Observação:&lt;/strong&gt; Os campos Período, Navio e Cliente serão utilizados apenas para os CNPJ's vinculados ao login&lt;/p&gt;
&lt;p&gt; &lt;/p&gt;
&lt;p&gt;E) Categoria&lt;/p&gt;
&lt;p&gt;&lt;img src="https://atendimento.teconline.com.br/hc/article_attachments/19898289387789"/&gt;&lt;/p&gt;
&lt;p&gt; &lt;/p&gt;
&lt;p&gt; &lt;/p&gt;
&lt;p&gt;&lt;strong&gt;Imagens operacionalizando&lt;/strong&gt;&lt;/p&gt;
&lt;p&gt;&lt;strong&gt;&lt;img alt="MODULO-FATURAMENTO.gif" src="https://atendimento.teconline.com.br/hc/article_attachments/360066688731"/&gt;&lt;/strong&gt;&lt;/p&gt;
&lt;p&gt; &lt;/p&gt;
&lt;p&gt; &lt;/p&gt;
&lt;p&gt; &lt;/p&gt;
&lt;p&gt; &lt;/p&gt;
&lt;p&gt; &lt;/p&gt;
&lt;p&gt; &lt;/p&gt;
&lt;p&gt; &lt;/p&gt;
&lt;p&gt; &lt;/p&gt;</t>
  </si>
  <si>
    <t>https://wilsonsonstrg.zendesk.com/api/v2/help_center/pt-br/articles/360039250551.json</t>
  </si>
  <si>
    <t>https://atendimento.teconline.com.br/hc/pt-br/articles/360039250551-Solicita%C3%A7%C3%A3o-de-VGM</t>
  </si>
  <si>
    <t>Solicitação de VGM</t>
  </si>
  <si>
    <t>['vgm', 'solicitar vgm', 'como pedir vgm', 'consultar vgm']</t>
  </si>
  <si>
    <t>&lt;p&gt;Segue descrito abaixo o procedimento para recebimento do documento VGM.&lt;/p&gt;
&lt;p&gt;Link da opção: &lt;a href="http://www.teconline.com.br/vgm" target="_blank"&gt;Clique aqui.&lt;/a&gt;&lt;/p&gt;
&lt;p&gt;&lt;img alt="VGM1.PNG" src="https://atendimento.teconline.com.br/hc/article_attachments/360068089752/VGM1.PNG"/&gt;&lt;/p&gt;
&lt;p&gt; &lt;/p&gt;
&lt;p&gt;&lt;strong&gt;Para realizar solicitação&lt;/strong&gt;&lt;/p&gt;
&lt;p&gt; &lt;/p&gt;
&lt;p&gt;1. Selecionar "Nova Solicitação"&lt;/p&gt;
&lt;p&gt;&lt;img alt="VGM2.PNG" src="https://atendimento.teconline.com.br/hc/article_attachments/360068089932/VGM2.PNG"/&gt;&lt;/p&gt;
&lt;p&gt; &lt;/p&gt;
&lt;p&gt;2. Preencher os dados&lt;/p&gt;
&lt;p&gt;&lt;img alt="VGM03.PNG" src="https://atendimento.teconline.com.br/hc/article_attachments/360068283551/VGM03.PNG"/&gt;&lt;/p&gt;
&lt;p&gt; &lt;/p&gt;
&lt;p&gt;&lt;strong&gt;Imagens operacionalizando&lt;/strong&gt;&lt;/p&gt;
&lt;p&gt;&lt;strong&gt;&lt;img alt="VGM1VIDEO.gif" src="https://atendimento.teconline.com.br/hc/article_attachments/360068284991/VGM1VIDEO.gif"/&gt;&lt;/strong&gt;&lt;/p&gt;
&lt;p&gt; &lt;/p&gt;
&lt;p&gt;  &lt;/p&gt;
&lt;p&gt;&lt;strong&gt;Para realizar consulta&lt;/strong&gt;&lt;/p&gt;
&lt;p&gt; &lt;/p&gt;
&lt;p&gt;1. Informar o Container&lt;/p&gt;
&lt;p&gt;&lt;img alt="vgm04.PNG" src="https://atendimento.teconline.com.br/hc/article_attachments/360068092552/vgm04.PNG"/&gt;&lt;/p&gt;
&lt;p&gt; &lt;/p&gt;
&lt;p&gt;2. Selecionar a Data de Solicitação&lt;/p&gt;
&lt;p&gt;&lt;img alt="vgm05.PNG" src="https://atendimento.teconline.com.br/hc/article_attachments/360068286211/vgm05.PNG"/&gt;&lt;/p&gt;
&lt;p&gt; &lt;/p&gt;
&lt;p&gt;3. Selecionar Filtrar &lt;/p&gt;
&lt;p&gt;&lt;img alt="vgm06.PNG" src="https://atendimento.teconline.com.br/hc/article_attachments/360068094372/vgm06.PNG"/&gt;&lt;/p&gt;
&lt;p&gt; &lt;/p&gt;
&lt;p&gt;&lt;strong&gt;Imagens operacionalizando&lt;/strong&gt;&lt;/p&gt;
&lt;p&gt;&lt;strong&gt;&lt;img alt="vgm2video.gif" src="https://atendimento.teconline.com.br/hc/article_attachments/360068095412/vgm2video.gif"/&gt;&lt;/strong&gt;&lt;/p&gt;
&lt;p&gt; &lt;/p&gt;
&lt;p&gt; &lt;/p&gt;</t>
  </si>
  <si>
    <t>https://wilsonsonstrg.zendesk.com/api/v2/help_center/pt-br/articles/360038852332.json</t>
  </si>
  <si>
    <t>https://atendimento.teconline.com.br/hc/pt-br/articles/360038852332-OS-WEB-Solicita%C3%A7%C3%A3o-e-Consulta-de-Servi%C3%A7os</t>
  </si>
  <si>
    <t>OS WEB - Solicitação e Consulta de Serviços</t>
  </si>
  <si>
    <t>['movimentação', 'os', 'ordem de serviço', 'posicionamento', 'armazém', 'vistoria', 'como pedir um serviço', 'como crio os', 'mapa']</t>
  </si>
  <si>
    <t>&lt;p&gt;Segue descrito abaixo o procedimento para solicitar serviços.&lt;/p&gt;
&lt;p&gt;Link da opção: &lt;a href="https://teconline.com.br/os-web"&gt;Clique aqui&lt;/a&gt;&lt;/p&gt;
&lt;p&gt;&lt;img alt="OS01.PNG" src="https://atendimento.teconline.com.br/hc/article_attachments/360068096392"/&gt;&lt;/p&gt;
&lt;p&gt; &lt;/p&gt;
&lt;p&gt;1. Selecione "Novo Serviço"&lt;/p&gt;
&lt;p&gt;&lt;img alt="OS02.PNG" src="https://atendimento.teconline.com.br/hc/article_attachments/360068288791"/&gt;&lt;/p&gt;
&lt;p&gt; &lt;/p&gt;
&lt;p&gt;2. Preencher as informações &lt;/p&gt;
&lt;p&gt;&lt;img alt="OS03.PNG" src="https://atendimento.teconline.com.br/hc/article_attachments/360068096612"/&gt;&lt;/p&gt;
&lt;p&gt; &lt;/p&gt;
&lt;p&gt;A) Solicitante: Empresa vinculada ao login que está solicitando o serviço&lt;/p&gt;
&lt;p&gt;&lt;img alt="OS04.PNG" src="https://atendimento.teconline.com.br/hc/article_attachments/360068288911"/&gt;&lt;/p&gt;
&lt;p&gt; &lt;/p&gt;
&lt;p&gt;B) Tipo: Exportação CNTR, Importação CNTR e Importação Carga&lt;/p&gt;
&lt;p&gt;&lt;img alt="OS05.PNG" src="https://atendimento.teconline.com.br/hc/article_attachments/360068096872"/&gt;&lt;/p&gt;
&lt;p&gt; &lt;/p&gt;
&lt;p&gt;C) Selecionar Nº Documento (BL) ou por Container&lt;/p&gt;
&lt;p&gt;&lt;img alt="OS06.PNG" src="https://atendimento.teconline.com.br/hc/article_attachments/360068289291"/&gt;&lt;/p&gt;
&lt;p&gt; &lt;/p&gt;
&lt;p&gt;D) Selecionar o Serviço &lt;/p&gt;
&lt;p&gt;&lt;img alt="OS08.PNG" src="https://atendimento.teconline.com.br/hc/article_attachments/360068289551"/&gt;&lt;/p&gt;
&lt;p&gt; &lt;/p&gt;
&lt;p&gt;E) Selecionar o Motivo e Data &lt;/p&gt;
&lt;p&gt;&lt;img alt="OS09.PNG" src="https://atendimento.teconline.com.br/hc/article_attachments/360068097412"/&gt;&lt;/p&gt;
&lt;p&gt; &lt;/p&gt;
&lt;p&gt;F) Campo de observações operacionais e descrição de serviços. &lt;/p&gt;
&lt;p&gt;&lt;img alt="OS10.PNG" src="https://atendimento.teconline.com.br/hc/article_attachments/360068097512"/&gt;&lt;/p&gt;
&lt;ul&gt;
&lt;li&gt;Para registro fotográfico, deverão ser informados os endereços de e-mails&lt;/li&gt;
&lt;li&gt;Não utilizar o campo observações para dados de faturamento. Dúvidas, entrar em contato com o Atendimento Comercial - Atendimento ao Cliente.&lt;/li&gt;
&lt;/ul&gt;
&lt;p&gt; &lt;/p&gt;
&lt;p&gt;&lt;strong&gt;Imagens operacionalizando&lt;/strong&gt; &lt;/p&gt;
&lt;p&gt;&lt;img alt="OSWEB1.gif" src="https://atendimento.teconline.com.br/hc/article_attachments/360068100072"/&gt;&lt;/p&gt;
&lt;p&gt; &lt;/p&gt;
&lt;p&gt;&lt;span&gt;&lt;strong&gt;Consultar Serviços&lt;/strong&gt;&lt;/span&gt;&lt;/p&gt;
&lt;p&gt; &lt;/p&gt;
&lt;p&gt;1. Selecione "Mais Filtros"&lt;/p&gt;
&lt;p&gt;&lt;img alt="OS11.PNG" src="https://atendimento.teconline.com.br/hc/article_attachments/360068100152"/&gt;&lt;/p&gt;
&lt;p&gt; &lt;/p&gt;
&lt;p&gt; &lt;/p&gt;
&lt;p&gt;2. Selecionar o "Status"&lt;/p&gt;
&lt;p&gt;&lt;img alt="OS12.PNG" src="https://atendimento.teconline.com.br/hc/article_attachments/360068100232"/&gt;&lt;/p&gt;
&lt;p&gt; &lt;/p&gt;
&lt;p&gt;3. Preencher BL ou Container&lt;/p&gt;
&lt;p&gt;&lt;img alt="OS13.PNG" src="https://atendimento.teconline.com.br/hc/article_attachments/360068292671"/&gt;&lt;/p&gt;
&lt;p&gt; &lt;/p&gt;
&lt;p&gt;4. Serão apresentas as informações&lt;/p&gt;
&lt;p&gt;&lt;img alt="OS14.PNG" src="https://atendimento.teconline.com.br/hc/article_attachments/360068100772"/&gt;&lt;/p&gt;
&lt;p&gt; &lt;/p&gt;</t>
  </si>
  <si>
    <t>https://wilsonsonstrg.zendesk.com/api/v2/help_center/pt-br/articles/360039244611.json</t>
  </si>
  <si>
    <t>https://atendimento.teconline.com.br/hc/pt-br/articles/360039244611-Envio-de-Nota-Fiscal-via-EDI-Exporta%C3%A7%C3%A3o-Cabotagem</t>
  </si>
  <si>
    <t>Envio de Nota Fiscal via EDI - Exportação/Cabotagem</t>
  </si>
  <si>
    <t>['xml', 'nota fiscal', 'agendamento', 'nota fiscal ade', 'edi', 'xml do agendamento', 'agendamento de exportação', 'agendamento de container', 'agendamento de cheio']</t>
  </si>
  <si>
    <t>&lt;p&gt;Segue abaixo manual e descrição do procedimento para enviar nota fiscal de exportação/cabotagem via EDI.&lt;/p&gt;
&lt;ul&gt;
&lt;li&gt;&lt;a href="https://wilsonsons.zendesk.com/hc/article_attachments/4409403882765/Manual_-_Nota_Fiscal_EDI.pdf" target="_blank"&gt;Manual - Nota Fiscal EDI.pdf&lt;/a&gt;&lt;/li&gt;
&lt;/ul&gt;
&lt;p&gt;1. Enviar o documento da Nota Fiscal em anexo para o e-mail &lt;a href="mailto:ade02.tcrg@wilsonsons.com.br" target="_blank"&gt;ade02.tcrg@wilsonsons.com.br&lt;/a&gt;&lt;/p&gt;
&lt;p&gt;2. Enviar no formato txt ou xml.&lt;/p&gt;
&lt;p&gt; &lt;/p&gt;
&lt;p&gt; &lt;/p&gt;
&lt;p&gt;&lt;strong&gt;&lt;u&gt;Observação: &lt;/u&gt;&lt;/strong&gt;&lt;/p&gt;
&lt;ul&gt;
&lt;li&gt;O arquivo deve conter todos os dados mencionados no manual, caso identificado falta de informações o mesmo não será processado;&lt;/li&gt;
&lt;li&gt;Para consultar o processamento do envio, &lt;a href="http://www.teconline.com.br/consulta-edi-nf" target="_blank"&gt;Clique aqui.&lt;/a&gt;
&lt;/li&gt;
&lt;/ul&gt;
&lt;p&gt; &lt;/p&gt;
&lt;p&gt; &lt;/p&gt;</t>
  </si>
  <si>
    <t>https://wilsonsonstrg.zendesk.com/api/v2/help_center/pt-br/articles/360038845112.json</t>
  </si>
  <si>
    <t>https://atendimento.teconline.com.br/hc/pt-br/articles/360038845112-Consulta-de-Nota-Fiscal-EDI-Exporta%C3%A7%C3%A3o-Cabotagem</t>
  </si>
  <si>
    <t>Consulta de Nota Fiscal EDI - Exportação/Cabotagem</t>
  </si>
  <si>
    <t>['nf', 'ade', 'consultar nf', 'consulta nota fiscal', 'edi', 'consultar edi', 'como consulto', 'processado', 'erro']</t>
  </si>
  <si>
    <t>&lt;p&gt;Segue descrito abaixo o procedimento para consultar o status da nota fiscal de exportação/cabotagem enviada via EDI&lt;/p&gt;
&lt;p&gt; &lt;/p&gt;
&lt;p&gt;Link da opção: &lt;a href="http://www.teconline.com.br/consulta-edi-nf" target="_blank"&gt;Clique aqui&lt;/a&gt;&lt;/p&gt;
&lt;p&gt;&lt;img alt="01.PNG" src="https://atendimento.teconline.com.br/hc/article_attachments/360090276051/01.PNG"/&gt;&lt;/p&gt;
&lt;p&gt; &lt;/p&gt;
&lt;p&gt;1. Selecione "Consulta EDI NF"&lt;/p&gt;
&lt;p&gt;&lt;img alt="02.PNG" src="https://atendimento.teconline.com.br/hc/article_attachments/360090303892/02.PNG"/&gt;&lt;/p&gt;
&lt;p&gt; &lt;/p&gt;
&lt;p&gt;2. Informar o número da nota fiscal&lt;/p&gt;
&lt;p&gt;&lt;img alt="03.PNG" src="https://atendimento.teconline.com.br/hc/article_attachments/360090276451/03.PNG"/&gt;&lt;/p&gt;
&lt;p&gt; &lt;/p&gt;
&lt;p&gt;3. Selecionar "Data recebimento"&lt;/p&gt;
&lt;p&gt;&lt;img alt="04.PNG" src="https://atendimento.teconline.com.br/hc/article_attachments/360090276511/04.PNG"/&gt;&lt;/p&gt;
&lt;p&gt; &lt;/p&gt;
&lt;p&gt;4. Após pesquisa do item 3, serão apresentados os dados abaixo&lt;/p&gt;
&lt;p&gt;&lt;img alt="05.PNG" src="https://atendimento.teconline.com.br/hc/article_attachments/360090276891/05.PNG"/&gt;&lt;/p&gt;
&lt;p&gt;Para realizar o procedimento do envio, &lt;a href="https://atendimento.teconline.com.br/hc/pt-br/articles/360039244611" target="_self"&gt;Clique aqui.&lt;/a&gt;&lt;/p&gt;
&lt;p&gt; &lt;/p&gt;
&lt;p&gt; &lt;/p&gt;
&lt;p&gt;&lt;strong&gt;Imagens operacionalizando&lt;/strong&gt;&lt;/p&gt;
&lt;p&gt;&lt;strong&gt;&lt;img alt="CONSULTA-NF-EDI.gif" src="https://atendimento.teconline.com.br/hc/article_attachments/360090305112/CONSULTA-NF-EDI.gif"/&gt;&lt;/strong&gt;&lt;/p&gt;
&lt;p&gt; &lt;/p&gt;</t>
  </si>
  <si>
    <t>https://wilsonsonstrg.zendesk.com/api/v2/help_center/pt-br/articles/360039238731.json</t>
  </si>
  <si>
    <t>https://atendimento.teconline.com.br/hc/pt-br/articles/360039238731-Consulta-Movimenta%C3%A7%C3%A3o</t>
  </si>
  <si>
    <t>Consulta Movimentação</t>
  </si>
  <si>
    <t>['relatório', 'movimentação', 'patiamento', 'containers no pátio', 'embarcado', 'descarga', 'descarregados', 'yard', 'movimenta', 'movimentações']</t>
  </si>
  <si>
    <t>&lt;p&gt;Segue descrito abaixo o procedimento para consultar informações do container, onde serão disponibilizados os dados abaixo:&lt;/p&gt;
&lt;p&gt;- A Embarcar&lt;/p&gt;
&lt;p&gt;- Descarga&lt;/p&gt;
&lt;p&gt;- Carga&lt;/p&gt;
&lt;p&gt;- No Pátio&lt;/p&gt;
&lt;p&gt;&lt;img alt="movimentacao1.PNG" src="https://atendimento.teconline.com.br/hc/article_attachments/360070057571/movimentacao1.PNG"/&gt;&lt;/p&gt;
&lt;p&gt; &lt;/p&gt;
&lt;p&gt;1. Selecionar o período desejado para consulta&lt;/p&gt;
&lt;p&gt;&lt;img alt="movimentacao2.PNG" src="https://atendimento.teconline.com.br/hc/article_attachments/360069840932/movimentacao2.PNG"/&gt;&lt;/p&gt;
&lt;p&gt; &lt;/p&gt;
&lt;p&gt;2. Selecionar a operação do navio em "Operação"&lt;/p&gt;
&lt;p&gt;&lt;img alt="movimentacao3.PNG" src="https://atendimento.teconline.com.br/hc/article_attachments/360069840972/movimentacao3.PNG"/&gt;&lt;/p&gt;
&lt;p&gt; &lt;/p&gt;
&lt;p&gt;3. Selecionar o tipo de movimentação&lt;/p&gt;
&lt;p&gt;&lt;img alt="movimentacao4.PNG" src="https://atendimento.teconline.com.br/hc/article_attachments/360070057651/movimentacao4.PNG"/&gt;&lt;/p&gt;
&lt;p&gt; &lt;/p&gt;
&lt;p&gt;4. Selecionar o CNPJ vinculado ao login&lt;/p&gt;
&lt;p&gt;&lt;img alt="movimentacao5.PNG" src="https://atendimento.teconline.com.br/hc/article_attachments/360069841012/movimentacao5.PNG"/&gt;&lt;/p&gt;
&lt;p&gt; &lt;/p&gt;
&lt;p&gt;&lt;strong&gt;Observação:&lt;/strong&gt; &lt;/p&gt;
&lt;p&gt;Opcionalmente, selecionar filtros para personalizar a visualização das informações&lt;/p&gt;
&lt;p&gt;&lt;img alt="movimentacao6.PNG" src="https://atendimento.teconline.com.br/hc/article_attachments/360069841032/movimentacao6.PNG"/&gt;&lt;/p&gt;
&lt;p&gt;Itens disponíveis para utilização do filtro personalizado&lt;/p&gt;
&lt;p&gt;&lt;img alt="movimentacao7.png" src="https://atendimento.teconline.com.br/hc/article_attachments/360069841072/movimentacao7.png"/&gt;&lt;/p&gt;
&lt;p&gt; &lt;/p&gt;
&lt;p&gt;&lt;strong&gt; Imagens operacionalizando&lt;/strong&gt;&lt;/p&gt;
&lt;p&gt; &lt;img alt="Consulta-Movimenta__o.gif" src="https://atendimento.teconline.com.br/hc/article_attachments/360069841272/Consulta-Movimenta__o.gif"/&gt;&lt;/p&gt;
&lt;p&gt; &lt;/p&gt;
&lt;p&gt; &lt;/p&gt;
&lt;p&gt; &lt;/p&gt;</t>
  </si>
  <si>
    <t>https://wilsonsonstrg.zendesk.com/api/v2/help_center/pt-br/articles/360039119351.json</t>
  </si>
  <si>
    <t>https://atendimento.teconline.com.br/hc/pt-br/articles/360039119351-Consulta-Sailing-Breakdown</t>
  </si>
  <si>
    <t>['relatório', 'sailing', 'armador', 'movimentação', 'quantidade', 'discharge', 'operação', 'navio', 'vessel']</t>
  </si>
  <si>
    <t>&lt;p&gt;Segue descrito abaixo o procedimento para a consulta do Sailing Breakdown.&lt;/p&gt;
&lt;p&gt; &lt;/p&gt;
&lt;p&gt;Link da opção: &lt;a href="http://www.teconline.com.br/sailing-breakdown" target="_self"&gt;Clique aqui.&lt;/a&gt;&lt;/p&gt;
&lt;p&gt;&lt;img alt="SAILING01.PNG" src="https://atendimento.teconline.com.br/hc/article_attachments/360070059091/SAILING01.PNG"/&gt;&lt;/p&gt;
&lt;p&gt; &lt;/p&gt;
&lt;p&gt;1. Selecione o período&lt;/p&gt;
&lt;p&gt;&lt;img alt="SAILING02.PNG" src="https://atendimento.teconline.com.br/hc/article_attachments/360069842512/SAILING02.PNG"/&gt;&lt;/p&gt;
&lt;p&gt; &lt;/p&gt;
&lt;p&gt;2. Serão apresentadas informações das operações dos navios operados no período selecionado&lt;/p&gt;
&lt;p&gt;&lt;img alt="SAILING03.PNG" src="https://atendimento.teconline.com.br/hc/article_attachments/360070059151/SAILING03.PNG"/&gt;&lt;/p&gt;
&lt;p&gt; &lt;/p&gt;
&lt;p&gt;3. Selecione a opção "Detalhes" para obter o relatório&lt;/p&gt;
&lt;p&gt;&lt;img alt="SAILING04.PNG" src="https://atendimento.teconline.com.br/hc/article_attachments/360070059251/SAILING04.PNG"/&gt;&lt;/p&gt;
&lt;p&gt; &lt;/p&gt;
&lt;p&gt;4. Relatório&lt;/p&gt;
&lt;p&gt;&lt;img alt="SAILING05.PNG" src="https://atendimento.teconline.com.br/hc/article_attachments/360070059291/SAILING05.PNG"/&gt;&lt;/p&gt;
&lt;p&gt; &lt;/p&gt;
&lt;p&gt;&lt;strong&gt;Imagens operacionalizando&lt;/strong&gt;&lt;/p&gt;
&lt;p&gt;&lt;strong&gt;&lt;img alt="Sailing.gif" src="https://atendimento.teconline.com.br/hc/article_attachments/360070059631/Sailing.gif"/&gt;&lt;/strong&gt;&lt;/p&gt;</t>
  </si>
  <si>
    <t>https://wilsonsonstrg.zendesk.com/api/v2/help_center/pt-br/articles/360039074331.json</t>
  </si>
  <si>
    <t>https://atendimento.teconline.com.br/hc/pt-br/articles/360039074331-Bloqueio-de-BL-Desdobramento</t>
  </si>
  <si>
    <t>Bloqueio de BL - Desdobramento</t>
  </si>
  <si>
    <t>['desdobramento', 'bloqueio de bl', 'bloqueio de desdobramento', 'bloquear desdobramento antes do navio chegar', 'não criar hbl final', 'presença de carga no bl master']</t>
  </si>
  <si>
    <t>&lt;p&gt;Segue descrito abaixo o procedimento para bloqueio e consulta de BL (Bill of Loading)&lt;/p&gt;
&lt;p&gt; &lt;/p&gt;
&lt;p&gt;Link da opção: &lt;a href="http://www.teconline.com.br/bloqueio-bl" target="_blank"&gt;Clique aqui.&lt;/a&gt;&lt;/p&gt;
&lt;p&gt;&lt;img alt="01.PNG" src="https://atendimento.teconline.com.br/hc/article_attachments/360092991332/01.PNG"/&gt;&lt;/p&gt;
&lt;p&gt; &lt;/p&gt;
&lt;p&gt;&lt;strong&gt;Para realizar bloqueio:&lt;/strong&gt;&lt;strong&gt; &lt;/strong&gt;&lt;/p&gt;
&lt;p&gt;1. Selecionar a opção "Novo Bloqueio"      &lt;/p&gt;
&lt;p&gt;&lt;img alt="02.PNG" src="https://atendimento.teconline.com.br/hc/article_attachments/360092991672/02.PNG"/&gt; &lt;/p&gt;
&lt;p&gt;2. Realizar as operações abaixo:&lt;/p&gt;
&lt;p&gt;A) Preencher o campo "Número de BL" com a codificação igual registrado no Siscarga&lt;/p&gt;
&lt;p&gt;B) Selecionar em "Operação" o navio &lt;/p&gt;
&lt;p&gt; &lt;/p&gt;
&lt;p&gt;3. Selecionar a opção "Salvar"&lt;/p&gt;
&lt;p&gt;&lt;img alt="04.PNG" src="https://atendimento.teconline.com.br/hc/article_attachments/360092971651/04.PNG"/&gt; &lt;/p&gt;
&lt;p&gt;4. Será apresentada a informação "Bloqueio realizado com sucesso"  &lt;/p&gt;
&lt;p&gt;&lt;img alt="05.PNG" src="https://atendimento.teconline.com.br/hc/article_attachments/360092971871/05.PNG"/&gt;&lt;/p&gt;
&lt;p&gt; &lt;/p&gt;
&lt;p&gt;5. Será enviado uma notificação via email vinculado ao login do usuário confirmando o bloqueio do BL     &lt;/p&gt;
&lt;p&gt; &lt;img alt="mceclip6.png" height="285" src="https://atendimento.teconline.com.br/hc/article_attachments/360048048971/mceclip6.png" width="610"/&gt;&lt;/p&gt;
&lt;p&gt; &lt;/p&gt;
&lt;p&gt; &lt;/p&gt;
&lt;p&gt;&lt;strong&gt;Para realizar consulta:&lt;/strong&gt;&lt;strong&gt; &lt;/strong&gt; &lt;/p&gt;
&lt;p&gt;1. Informar o BL&lt;/p&gt;
&lt;p&gt;&lt;img alt="07.PNG" src="https://atendimento.teconline.com.br/hc/article_attachments/360092971911/07.PNG"/&gt;&lt;/p&gt;
&lt;p&gt; &lt;/p&gt;
&lt;p&gt;2. Selecionar "Filtrar"&lt;/p&gt;
&lt;p&gt;&lt;img alt="08.PNG" src="https://atendimento.teconline.com.br/hc/article_attachments/360092972091/08.PNG"/&gt;&lt;/p&gt;
&lt;p&gt;    &lt;/p&gt;
&lt;p&gt;3. Após pesquisa do item 2 serão apresentados os dados abaixo &lt;/p&gt;
&lt;p&gt;&lt;img alt="09.PNG" src="https://atendimento.teconline.com.br/hc/article_attachments/360092992852/09.PNG"/&gt;&lt;/p&gt;
&lt;p&gt;&lt;u&gt;BL:&lt;/u&gt; Informação do BL inserido no bloqueio&lt;/p&gt;
&lt;p&gt;&lt;u&gt;Opera&lt;/u&gt;&lt;u&gt;çã&lt;/u&gt;&lt;u&gt;o:&lt;/u&gt; Operação do navio&lt;/p&gt;
&lt;p&gt;&lt;u&gt;Inclus&lt;/u&gt;&lt;u&gt;ã&lt;/u&gt;&lt;u&gt;o:&lt;/u&gt; Data do registro de bloqueio &lt;/p&gt;
&lt;p&gt;&lt;u&gt;Criador:&lt;/u&gt; Login do usuário que efetuou o bloqueio&lt;/p&gt;
&lt;p&gt;       &lt;/p&gt;
&lt;p&gt;4. Para efetuar alteração ou cancelamento do bloqueio, deverá ser selecionada uma das opções abaixo &lt;/p&gt;
&lt;p&gt;&lt;strong&gt;Editar:&lt;/strong&gt; Para efetuar alterações&lt;/p&gt;
&lt;p&gt;&lt;strong&gt;Excluir:&lt;/strong&gt; Para efetuar o cancelamento&lt;/p&gt;
&lt;p&gt;&lt;img alt="10.PNG" src="https://atendimento.teconline.com.br/hc/article_attachments/360092972571/10.PNG"/&gt;&lt;/p&gt;
&lt;p&gt; &lt;/p&gt;
&lt;p&gt; &lt;/p&gt;
&lt;p&gt;&lt;strong&gt;Imagens operacionalizando&lt;/strong&gt;&lt;/p&gt;
&lt;p&gt;&lt;strong&gt;&lt;img alt="BLOQUEIO-DE-BL.gif" src="https://atendimento.teconline.com.br/hc/article_attachments/360092993532/BLOQUEIO-DE-BL.gif"/&gt;&lt;/strong&gt;&lt;/p&gt;
&lt;p&gt;&lt;strong&gt;Observa&lt;/strong&gt;&lt;strong&gt;çã&lt;/strong&gt;&lt;strong&gt;o: &lt;/strong&gt;O bloqueio deverá ser realizado antes da atracação da operação de navio&lt;/p&gt;
&lt;p&gt; &lt;/p&gt;
&lt;p&gt; &lt;/p&gt;
&lt;p&gt; &lt;/p&gt;</t>
  </si>
  <si>
    <t>https://wilsonsonstrg.zendesk.com/api/v2/help_center/pt-br/articles/360038794051.json</t>
  </si>
  <si>
    <t>https://atendimento.teconline.com.br/hc/pt-br/articles/360038794051-Acompanhamento-de-Processo-Importa%C3%A7%C3%A3o</t>
  </si>
  <si>
    <t>Acompanhamento de Processo - Importação</t>
  </si>
  <si>
    <t>['BL', 'BL MASTER', 'importação', 'container', 'carga avulsa', 'agendamento', 'dtc', 'dta', 'cntr', 'averbação', 'como realizar averbação', 'averbar', 'consultar bl', 'consulta di', 'consulta dta', 'desova', 'saida da carga', 'saida do container', 'data da desova', 'retirada da carga', 'levante de carga', 'carga pier', 'regime pier', 'regime house', 'presença de carga', 'liberação para agendamento', 'carga liberada', 'ce', 'di', 'acompanhamento de processo', 'acompanhar bl', 'informações de bl', 'bl e packing', 'identificar carga', 'despacho sobre água']</t>
  </si>
  <si>
    <t>&lt;p&gt;Segue descrito abaixo o procedimento para consultar as situações dos processos de importação.&lt;/p&gt;
&lt;p&gt; &lt;/p&gt;
&lt;p&gt;Link da opção: &lt;a href="http://www.teconline.com.br/acompanhamento-processo" target="_blank"&gt;Clique aqui.&lt;/a&gt; &lt;/p&gt;
&lt;p&gt;&lt;img alt="001.PNG" src="https://atendimento.teconline.com.br/hc/article_attachments/4407505721357/001.PNG"/&gt;&lt;/p&gt;
&lt;p&gt; &lt;/p&gt;
&lt;p&gt;1. Informar o BL, CE ou DI&lt;/p&gt;
&lt;p&gt;&lt;img alt="003.PNG" src="https://atendimento.teconline.com.br/hc/article_attachments/4407510950029/003.PNG"/&gt;&lt;/p&gt;
&lt;p&gt; &lt;/p&gt;
&lt;p&gt;2. Em Dados Gerais, serão apresentadas informações básicas do processo&lt;/p&gt;
&lt;p&gt;&lt;img alt="004.PNG" src="https://atendimento.teconline.com.br/hc/article_attachments/4407505878285/004.PNG"/&gt;&lt;/p&gt;
&lt;p&gt; &lt;/p&gt;
&lt;p&gt;3. Artigo para auxílio&lt;/p&gt;
&lt;p&gt;&lt;img alt="005_imp.PNG" src="https://atendimento.teconline.com.br/hc/article_attachments/4415951602701/005_imp.PNG"/&gt;&lt;/p&gt;
&lt;p&gt; &lt;/p&gt;
&lt;p&gt;4. Timeline do processo&lt;/p&gt;
&lt;p&gt;&lt;img alt="005.PNG" src="https://atendimento.teconline.com.br/hc/article_attachments/4407511169549/005.PNG"/&gt;&lt;/p&gt;
&lt;p&gt; &lt;/p&gt;
&lt;p&gt;A) Descarga do último container do processo&lt;/p&gt;
&lt;p&gt;&lt;img alt="006.PNG" src="https://atendimento.teconline.com.br/hc/article_attachments/4407505998349/006.PNG"/&gt;&lt;/p&gt;
&lt;p&gt; &lt;/p&gt;
&lt;p&gt;B) Envio da Presença de Carga&lt;/p&gt;
&lt;p&gt;&lt;img alt="007.PNG" src="https://atendimento.teconline.com.br/hc/article_attachments/4407506018829/007.PNG"/&gt;&lt;/p&gt;
&lt;p&gt; &lt;/p&gt;
&lt;p&gt;C) Clique sobre a opção Averbação para realizar o procedimento e/ou obter histórico&lt;/p&gt;
&lt;p&gt;&lt;img alt="008.PNG" src="https://atendimento.teconline.com.br/hc/article_attachments/4407511258509/008.PNG"/&gt;&lt;/p&gt;
&lt;p&gt; &lt;/p&gt;
&lt;p&gt;&lt;img alt="guideaverba__o.PNG" src="https://atendimento.teconline.com.br/hc/article_attachments/8453846809357/guideaverba__o.PNG"/&gt;&lt;/p&gt;
&lt;p&gt;&lt;strong&gt;Observação:&lt;/strong&gt;&lt;/p&gt;
&lt;p&gt;Para Transportadora, inserir o &lt;span&gt;CNPJ vinculado a empresa para retirada&lt;/span&gt;, para processos de Documento de Importação (DI)&lt;/p&gt;
&lt;p&gt; &lt;/p&gt;
&lt;p&gt;D) Horário da liberação documental&lt;/p&gt;
&lt;p&gt;&lt;img alt="010.PNG" src="https://atendimento.teconline.com.br/hc/article_attachments/4407511335949/010.PNG"/&gt;&lt;/p&gt;
&lt;p&gt; &lt;/p&gt;
&lt;p&gt; &lt;/p&gt;
&lt;p&gt;E) Orçamento e Agendamento. &lt;/p&gt;
&lt;p&gt;&lt;img alt="011.PNG" src="https://atendimento.teconline.com.br/hc/article_attachments/4407511375629/011.PNG"/&gt;&lt;/p&gt;
&lt;p&gt; Para maiores informações, clique nos links abaixo:&lt;/p&gt;
&lt;ul&gt;
&lt;li&gt;&lt;a href="https://atendimento.teconline.com.br/hc/pt-br/articles/360033779311" target="_self"&gt;Orçamento de Importação&lt;/a&gt;&lt;/li&gt;
&lt;li&gt;&lt;a href="https://atendimento.teconline.com.br/hc/pt-br/articles/360038414471" target="_self"&gt;Agendamento para Retirada de Importação&lt;/a&gt;&lt;/li&gt;
&lt;/ul&gt;
&lt;p&gt; &lt;/p&gt;
&lt;p&gt;F) Saída da carga&lt;/p&gt;
&lt;p&gt;&lt;img alt="012.PNG" src="https://atendimento.teconline.com.br/hc/article_attachments/4407506180877/012.PNG"/&gt;&lt;/p&gt;
&lt;p&gt; &lt;/p&gt;
&lt;p&gt;&lt;strong&gt;Observação:&lt;/strong&gt;&lt;/p&gt;
&lt;p&gt;Para carga avulsa, serão disponibilizadas informações de Desova e Levante&lt;/p&gt;
&lt;p&gt;&lt;img alt="013.PNG" src="https://atendimento.teconline.com.br/hc/article_attachments/4407506204557/013.PNG"/&gt;&lt;/p&gt;
&lt;p&gt; &lt;/p&gt;
&lt;p&gt; &lt;/p&gt;
&lt;p&gt;5. Em Consulta Situação de Processo, serão apresentadas informações de liberação&lt;/p&gt;
&lt;p&gt;&lt;img alt="014.PNG" src="https://atendimento.teconline.com.br/hc/article_attachments/4407506276621/014.PNG"/&gt;&lt;/p&gt;
&lt;p&gt; &lt;/p&gt;
&lt;p&gt;6. Em Detalhes do Processo, serão apresentadas informações adicionais dos containers&lt;/p&gt;
&lt;p&gt;&lt;img alt="015.PNG" src="https://atendimento.teconline.com.br/hc/article_attachments/4407506356493/015.PNG"/&gt;&lt;/p&gt;
&lt;p&gt; &lt;/p&gt;
&lt;p&gt;7. &lt;span&gt; Disponibilizar via upload de arquivos documentos (BL, packing e fatura de cada HBL) para identificação de carga avulsa/píer.&lt;/span&gt;&lt;/p&gt;
&lt;p&gt;&lt;span&gt;&lt;img alt="003.PNG" src="https://atendimento.teconline.com.br/hc/article_attachments/4415958424205/003.PNG"/&gt;&lt;/span&gt;&lt;/p&gt;
&lt;p&gt; &lt;/p&gt;
&lt;p&gt;&lt;strong&gt;Observação:&lt;/strong&gt;&lt;/p&gt;
&lt;p&gt;Para carga avulsa/píer, serão apresentadas informações do andamento da operação de desova, avarias e solicitações de documentos&lt;/p&gt;
&lt;p&gt;&lt;img alt="016.PNG" src="https://atendimento.teconline.com.br/hc/article_attachments/4407511614349/016.PNG"/&gt;&lt;/p&gt;
&lt;p&gt; &lt;/p&gt;
&lt;p&gt;8. Detalhes dos Containers&lt;/p&gt;
&lt;p&gt;&lt;img alt="017.PNG" src="https://atendimento.teconline.com.br/hc/article_attachments/4407511662093/017.PNG"/&gt;&lt;/p&gt;
&lt;p&gt; &lt;/p&gt;
&lt;p&gt;&lt;strong&gt;Imagens operacionalizando&lt;/strong&gt;&lt;/p&gt;
&lt;p&gt;&lt;img alt="B2B-ACOMPANHAMENTO-DE-PROCESSOS-IMP.gif" src="https://atendimento.teconline.com.br/hc/article_attachments/4407511965709/B2B-ACOMPANHAMENTO-DE-PROCESSOS-IMP.gif"/&gt;&lt;/p&gt;
&lt;p&gt; &lt;/p&gt;
&lt;p&gt; &lt;/p&gt;
&lt;p&gt; &lt;/p&gt;
&lt;p&gt; &lt;/p&gt;</t>
  </si>
  <si>
    <t>https://wilsonsonstrg.zendesk.com/api/v2/help_center/pt-br/articles/360038160532.json</t>
  </si>
  <si>
    <t>https://atendimento.teconline.com.br/hc/pt-br/articles/360038160532-Programa%C3%A7%C3%A3o-de-Navios</t>
  </si>
  <si>
    <t>Programação de Navios</t>
  </si>
  <si>
    <t>['navio', 'pesquisar navio', 'informação de navio', 'navio no tecon', 'fernao de magalhaes', 'cap san', 'monte', 'monte alegre', 'americo vespucio', 'ever leader', 'cape artemissio', 'maersk lota', 'san antonio express', 'maersk lamanai', 'FERNAO DE MAGALHAES', 'GUARITA', 'CMA CGM RIO GRANDE', 'GUAIBA', 'AGIOS DIMITRIOS', 'monte cervantes', 'msc alessia', 'seaspan falcon', 'msc athens', 'cais do tecon', 'cma cgm rhone', 'hella', 'constantia', 'cma cgm', 'msc', 'maersk', 'msc phoenix', 'cap san raphael', 'msc aquarius', 'monte sarmiento', 'maipo', 'MSC SILVIA', 'TEMPANOS', 'MERCOSUL GUARANI', 'MEHUIN', 'MONTE VERDE', 'AMERICO VESPUCIO', 'MSC MICHELA', 'ANTOFAGASTA EXPRESS', 'MONTE AZUL', 'MAERSK LEON', 'msc michela', 'programaçao de navios', 'berth situation']</t>
  </si>
  <si>
    <t>&lt;p&gt; &lt;/p&gt;
&lt;p&gt;&lt;span&gt;Neste artigo você aprenderá as seguintes funções:&lt;/span&gt;&lt;span&gt;&lt;/span&gt;&lt;/p&gt;
&lt;ol&gt;
&lt;li&gt;&lt;a href="https://atendimento.teconline.com.br/hc/pt-br/articles/360038160532-Programa%C3%A7%C3%A3o-de-Navios#:~:text=basta%20clicar%20aqui.-,Programa%C3%A7%C3%A3o%20de%20Navios,-1.%20Utilizar%20a"&gt;Consultar a Programação de Navios&lt;/a&gt;&lt;/li&gt;
&lt;li&gt;&lt;a href="https://atendimento.teconline.com.br/hc/pt-br/articles/360038160532-Programa%C3%A7%C3%A3o-de-Navios#:~:text=instru%C3%A7%C3%A3o%20para%20solicita%C3%A7%C3%A3o.-,Personaliza%C3%A7%C3%A3o,-1.%20Opcionalmente%2C%20voc%C3%AA"&gt;Personalizar suas consultas&lt;/a&gt;&lt;/li&gt;
&lt;/ol&gt;
&lt;p&gt;Através da funcionalidade "Programação Navios" você conseguirá consultar e monitorar todas as programações dos navios em tempo real.&lt;/p&gt;
&lt;p&gt; &lt;/p&gt;
&lt;p&gt;Para acessar esta funcionalidade, basta &lt;a href="http://www.teconline.com.br/programacao-navios" target="_blank"&gt;clicar aqui.&lt;/a&gt;&lt;/p&gt;
&lt;p&gt; &lt;/p&gt;
&lt;p&gt;&lt;span&gt;&lt;strong&gt;Programação de Navios&lt;/strong&gt;&lt;/span&gt;&lt;/p&gt;
&lt;p&gt;&lt;strong&gt; &lt;/strong&gt;&lt;/p&gt;
&lt;p&gt;1. Utilizar a opção “Programação de Navios”&lt;/p&gt;
&lt;p&gt;&lt;img src="https://atendimento.teconline.com.br/hc/article_attachments/28143569429901"/&gt;&lt;/p&gt;
&lt;p&gt; &lt;/p&gt;
&lt;p&gt;2. Selecionar o período desejado para consulta&lt;/p&gt;
&lt;p&gt;&lt;img src="https://atendimento.teconline.com.br/hc/article_attachments/28143631168781"/&gt;&lt;/p&gt;
&lt;p&gt; &lt;/p&gt;
&lt;p&gt;3. Na coluna Situação é possível obter o status da operação navio&lt;/p&gt;
&lt;p&gt;&lt;img src="https://atendimento.teconline.com.br/hc/article_attachments/28143569447949"/&gt;&lt;/p&gt;
&lt;p&gt; &lt;/p&gt;
&lt;p&gt; &lt;/p&gt;
&lt;p&gt;4. Na coluna Detalhes, clique no botão para obter maiores informações&lt;/p&gt;
&lt;p&gt;&lt;img src="https://atendimento.teconline.com.br/hc/article_attachments/28143631198605"/&gt;&lt;/p&gt;
&lt;p&gt; &lt;/p&gt;
&lt;p&gt;&lt;strong&gt;Observa&lt;/strong&gt;&lt;strong&gt;çõ&lt;/strong&gt;&lt;strong&gt;es:&lt;/strong&gt;&lt;/p&gt;
&lt;ol&gt;
&lt;li&gt;ETB: Previsão de atracação do navio&lt;/li&gt;
&lt;li&gt;ETA: Previsão de chegada do navio na Barra  &lt;/li&gt;
&lt;li&gt;ETS: Previsão de saída do navio&lt;/li&gt;
&lt;li&gt;As informações podem ser salvas em arquivos PDF ou XLS&lt;/li&gt;
&lt;/ol&gt;
&lt;p&gt;                                                              &lt;img src="https://atendimento.teconline.com.br/hc/article_attachments/28144017177101"/&gt;&lt;/p&gt;
&lt;p&gt; &lt;/p&gt;
&lt;p&gt;Você também poderá personalizar suas consultas, porém será necessário realizar login em nosso site. Caso você não tenha cadastro, &lt;a href="https://atendimento.teconline.com.br/hc/pt-br/articles/4410447945741-Solicita%C3%A7%C3%A3o-de-Login-e-Senha"&gt;aqui&lt;/a&gt; disponibilizamos um link com a instrução para solicitação.&lt;/p&gt;
&lt;p&gt; &lt;/p&gt;
&lt;p&gt;&lt;span&gt;&lt;strong&gt;Personalização&lt;/strong&gt;&lt;/span&gt;&lt;/p&gt;
&lt;p&gt; &lt;/p&gt;
&lt;p&gt;1. Opcionalmente, você pode selecionar "Customizar" para personalizar a visualização de informações&lt;/p&gt;
&lt;p&gt; &lt;/p&gt;
&lt;p&gt;&lt;img src="https://atendimento.teconline.com.br/hc/article_attachments/28143631170445"/&gt;&lt;/p&gt;
&lt;p&gt; &lt;/p&gt;
&lt;p&gt;&lt;strong&gt;Observação:&lt;/strong&gt; Podem ser selecionados até 10 itens para filtro personalizado&lt;/p&gt;
&lt;p&gt;&lt;img alt="NAVIO_04.PNG" src="https://atendimento.teconline.com.br/hc/article_attachments/360067519392"/&gt;&lt;/p&gt;
&lt;p&gt; &lt;/p&gt;
&lt;p&gt;Também disponibilizamos para você uma ferramenta para monitoramento de serviços. Ou seja, caso o navio de determinado serviço seja cancelado ou reativado, você receberá uma notificação por e-mail.&lt;/p&gt;
&lt;p&gt; &lt;/p&gt;
&lt;p&gt;Para ativar essa funcionalidade basta clicar no botão &lt;img src="https://atendimento.teconline.com.br/hc/article_attachments/28143569437453"/&gt; &lt;/p&gt;
&lt;p&gt;&lt;img src="https://atendimento.teconline.com.br/hc/article_attachments/28143631174029"/&gt;&lt;/p&gt;
&lt;p&gt; &lt;/p&gt;
&lt;p&gt;Assim que você clicar aparecerá a seguinte mensagem abaixo, indicando que a linha/serviço foi salva na sua lista de monitoramento:&lt;/p&gt;
&lt;p&gt;                                                       &lt;img height="86" src="https://atendimento.teconline.com.br/hc/article_attachments/28143631176077" width="230"/&gt;&lt;/p&gt;
&lt;p&gt; &lt;/p&gt;
&lt;p&gt;Você também conseguirá gerenciar a lista de serviços e para isso é muito simples, basta clicar no  botão  &lt;img height="30" src="https://atendimento.teconline.com.br/hc/article_attachments/28143569441293" width="33"/&gt;, conforme indicado no print abaixo:&lt;/p&gt;
&lt;p&gt; &lt;/p&gt;
&lt;p&gt;&lt;img src="https://atendimento.teconline.com.br/hc/article_attachments/28143631182605"/&gt;&lt;/p&gt;
&lt;p&gt; &lt;/p&gt;
&lt;p&gt;Ao clicar, será disponibilizado um pop-up com sua lista de monitoramento, bem como a possibilidade de incluir ou remover mais linhas/serviço.&lt;/p&gt;
&lt;p&gt; &lt;/p&gt;
&lt;p&gt;                                           &lt;img src="https://atendimento.teconline.com.br/hc/article_attachments/28143569445261"/&gt;&lt;/p&gt;
&lt;p&gt; &lt;/p&gt;
&lt;p&gt;Você também conseguirá personalizar os e-mails para os quais serão enviadas as notificações, através da funcionalidade "&lt;strong&gt;Meu Tecon&lt;/strong&gt;".&lt;/p&gt;
&lt;p&gt;                                                  &lt;img src="https://atendimento.teconline.com.br/hc/article_attachments/28143799592589"/&gt;&lt;/p&gt;
&lt;p&gt; &lt;/p&gt;
&lt;p&gt;Clicando em "&lt;strong&gt;Meu Tecon&lt;/strong&gt;" você será direcionado para a página abaixo:&lt;/p&gt;
&lt;p&gt; &lt;/p&gt;
&lt;p&gt;&lt;img src="https://atendimento.teconline.com.br/hc/article_attachments/28143799594125"/&gt;&lt;/p&gt;
&lt;p&gt;No "Meu Tecon" você conseguirá:&lt;/p&gt;
&lt;ol&gt;
&lt;li&gt;Ativar ou desativar notificações configuradas, utilizando o botão &lt;img height="21" src="https://atendimento.teconline.com.br/hc/article_attachments/28143799596301" width="44"/&gt;.&lt;/li&gt;
&lt;li&gt;Adicionar e-mails para envio das notificações.&lt;/li&gt;
&lt;li&gt;Incluir o e-mail do seu cadastro para receber as notificações.&lt;/li&gt;
&lt;/ol&gt;</t>
  </si>
  <si>
    <t>https://wilsonsonstrg.zendesk.com/api/v2/help_center/pt-br/articles/360038044552.json</t>
  </si>
  <si>
    <t>https://atendimento.teconline.com.br/hc/pt-br/articles/360038044552-Informa%C3%A7%C3%B5es-Gate</t>
  </si>
  <si>
    <t>Consultas</t>
  </si>
  <si>
    <t>Informações Gate</t>
  </si>
  <si>
    <t>&lt;p&gt;Segue descrito abaixo o procedimento para consulta de vagas disponíveis.&lt;/p&gt;
&lt;p&gt;&lt;img alt="INFOGATE01B.PNG" src="https://atendimento.teconline.com.br/hc/article_attachments/360069603091/INFOGATE01B.PNG"/&gt;&lt;/p&gt;
&lt;p&gt; &lt;/p&gt;
&lt;p&gt;1. Selecionar em “Tipo” a faina desejada&lt;/p&gt;
&lt;p&gt;&lt;img alt="INFOGATE02B.PNG" src="https://atendimento.teconline.com.br/hc/article_attachments/360069394572/INFOGATE02B.PNG"/&gt;&lt;/p&gt;
&lt;p&gt; &lt;/p&gt;
&lt;p&gt;2. Apresentadas as informações de capacidades e vagas disponíveis por hora&lt;/p&gt;
&lt;p&gt;&lt;img alt="INFOGATE03B.png" src="https://atendimento.teconline.com.br/hc/article_attachments/360069603111/INFOGATE03B.png"/&gt;&lt;/p&gt;
&lt;p&gt; &lt;/p&gt;
&lt;p&gt;3. Opcionalmente, clicar sobre a capacidade para iniciar o agendamento&lt;/p&gt;
&lt;p&gt;&lt;img alt="INFOGATE04B.PNG" src="https://atendimento.teconline.com.br/hc/article_attachments/360069603131/INFOGATE04B.PNG"/&gt;&lt;/p&gt;
&lt;p&gt; &lt;/p&gt;
&lt;p&gt;4. Selecionar a faina desejada&lt;/p&gt;
&lt;p&gt;&lt;img alt="INFOGATE05B.PNG" src="https://atendimento.teconline.com.br/hc/article_attachments/360069394612/INFOGATE05B.PNG"/&gt;&lt;/p&gt;
&lt;p&gt; &lt;/p&gt;
&lt;p&gt;&lt;strong&gt;Legendas de informações:&lt;/strong&gt;&lt;/p&gt;
&lt;p&gt;&lt;u&gt;Capacidade:&lt;/u&gt; Capacidade máxima de atendimento do Gate. &lt;/p&gt;
&lt;p&gt;&lt;u&gt;Atendidos:&lt;/u&gt; Total de veículos já atendidos pelo Gate. &lt;/p&gt;
&lt;p&gt;&lt;u&gt;Agendados:&lt;/u&gt; Total de veículos agendados por todas as Transportadoras.&lt;/p&gt;
&lt;p&gt; &lt;/p&gt;
&lt;p&gt;&lt;strong&gt;Imagens operacionalizando&lt;/strong&gt;&lt;/p&gt;
&lt;p&gt;&lt;strong&gt;&lt;img alt="infogate.gif" src="https://atendimento.teconline.com.br/hc/article_attachments/360069393732/infogate.gif"/&gt;&lt;/strong&gt;&lt;/p&gt;
&lt;p&gt; &lt;/p&gt;</t>
  </si>
  <si>
    <t>https://wilsonsonstrg.zendesk.com/api/v2/help_center/pt-br/articles/360038044472.json</t>
  </si>
  <si>
    <t>https://atendimento.teconline.com.br/hc/pt-br/articles/360038044472-Agendamento-Retirada-de-DTC</t>
  </si>
  <si>
    <t>Agendamento Retirada de DTC</t>
  </si>
  <si>
    <t>['agendamento', 'agendamento de importação', 'dtc', 'declaração de transito de container', 'retirada', 'agendamento de container', 'agendamento de cheio', 'retirada de container', 'retirar dtc']</t>
  </si>
  <si>
    <t>&lt;p&gt;Segue descrito abaixo procedimento: &lt;/p&gt;
&lt;p&gt;&lt;img alt="b01.PNG" src="https://atendimento.teconline.com.br/hc/article_attachments/4409404241805/b01.PNG"/&gt;&lt;/p&gt;
&lt;p&gt; &lt;/p&gt;
&lt;p&gt;1) Utilizar a opção “Novo Agendamento”&lt;/p&gt;
&lt;p&gt;&lt;img alt="b02.PNG" src="https://atendimento.teconline.com.br/hc/article_attachments/4409404276365/b02.PNG"/&gt;&lt;/p&gt;
&lt;p&gt; &lt;/p&gt;
&lt;p&gt;2) Selecionar em “Tipo” a faina desejada&lt;/p&gt;
&lt;p&gt;&lt;img alt="b03.PNG" src="https://atendimento.teconline.com.br/hc/article_attachments/4409413213325/b03.PNG"/&gt;&lt;/p&gt;
&lt;p&gt; &lt;/p&gt;
&lt;p&gt;3) Dados do motorista / veiculo&lt;/p&gt;
&lt;p&gt;&lt;img alt="mceclip3.png" src="https://atendimento.teconline.com.br/hc/article_attachments/360046463391/mceclip3.png"/&gt;&lt;/p&gt;
&lt;p&gt;&lt;u&gt;CNH&lt;/u&gt;: Número da CNH do motorista que irá realizar a entrega da unidade.&lt;/p&gt;
&lt;p&gt;&lt;u&gt;Transportadora&lt;/u&gt;: Empresa transportadora vinculada ao login e senha&lt;/p&gt;
&lt;p&gt;&lt;u&gt;Placa cavalo&lt;/u&gt;: Placa do veículo / “Caminhão” que irá realizar a entrega da unidade.&lt;/p&gt;
&lt;p&gt;&lt;u&gt;Placa Carreta 1&lt;/u&gt;: Placa da carreta em que será realizada a entrega da unidade.&lt;/p&gt;
&lt;p&gt;&lt;u&gt;Placa Carreta 2&lt;/u&gt;: Placa informada somente se o veículo for Rodotrem / Bitrem.&lt;/p&gt;
&lt;p&gt; &lt;/p&gt;
&lt;p&gt;4) Dados da retirada&lt;/p&gt;
&lt;p&gt;Click no campo DTC, posteriormente em CONTAINER.&lt;/p&gt;
&lt;p&gt;&lt;img alt="b04.PNG" src="https://atendimento.teconline.com.br/hc/article_attachments/4409404374925/b04.PNG"/&gt;&lt;/p&gt;
&lt;p&gt;&lt;u&gt;DTC:&lt;/u&gt;  Documento onde consta a transportadora autorizada a retirar a carga&lt;/p&gt;
&lt;p&gt;&lt;u&gt;Container:&lt;/u&gt; Container vinculado ao documento autorizado&lt;/p&gt;
&lt;p&gt;Para inserir mais de um container no mesmo agendamento, clique no botão “Novo Container”  &lt;/p&gt;
&lt;p&gt; &lt;/p&gt;
&lt;p&gt;5) Data e horário para entrega&lt;/p&gt;
&lt;p&gt;&lt;img alt="b05.PNG" src="https://atendimento.teconline.com.br/hc/article_attachments/4409413294733/b05.PNG"/&gt;&lt;/p&gt;
&lt;p&gt;&lt;u&gt;Data de Agendamento&lt;/u&gt;: Data para entrega da unidade&lt;/p&gt;
&lt;p&gt;&lt;u&gt;Hora Agendamento&lt;/u&gt;: Horário para entrega da unidade&lt;/p&gt;
&lt;p&gt;* Horários com Ícone Vermelho – Sem vagas disponíveis&lt;/p&gt;
&lt;p&gt;* Horários com Ícone Verde – Com vagas disponíveis&lt;/p&gt;
&lt;p&gt;* Se desejar informações para Saldo de Vagas, &lt;a href="https://atendimento.teconline.com.br/hc/pt-br/articles/360038044552" target="_self"&gt;Clique aqui.&lt;/a&gt;&lt;/p&gt;
&lt;p&gt; &lt;/p&gt;
&lt;p&gt;6) Finalizar agendamento &lt;/p&gt;
&lt;p&gt;Este é último passo do agendamento, ao confirmar você deve visualizar a mensagem "Agendamento realizado com sucesso" posteriormente receberá em seu email o Bat Eletrônico com os dados inseridos.&lt;/p&gt;
&lt;p&gt; &lt;/p&gt;
&lt;p&gt;&lt;strong&gt;Observa&lt;/strong&gt;&lt;strong&gt;çõ&lt;/strong&gt;&lt;strong&gt;es:&lt;/strong&gt; &lt;/p&gt;
&lt;p&gt;&lt;strong&gt;* &lt;/strong&gt;&lt;u&gt;Impossibilidade de agendamento por pendência FEPAM :&lt;/u&gt;&lt;span&gt; Contatar o setor Balcão de Importação para proceder com atualização, através do telefone (53) 3234-3000 Ramal 3024 ou por email &lt;/span&gt;&lt;a href="mailto:balcaoimportacao.tcrg@wilsonsons.com.br"&gt;balcaoimportacao.tcrg@wilsonsons.com.br&lt;/a&gt;&lt;span&gt; .&lt;/span&gt; Para maiores informações, &lt;a href="https://atendimento.teconline.com.br/hc/pt-br/articles/360033425552-Cadastro-de-CNH-e-FEPAM-para-agendamento-de-Container" target="_self"&gt;clique aqui.&lt;/a&gt;&lt;/p&gt;
&lt;p&gt;&lt;strong&gt;* &lt;/strong&gt;&lt;u&gt;Impossibilidade de agendamento por pendência financeira:&lt;/u&gt; Contatar empresa despachante ou cliente que realizou pagamento e liberação documental para maiores informações. &lt;/p&gt;
&lt;p&gt; &lt;/p&gt;
&lt;p&gt;&lt;strong&gt;Imagens operacionalizando&lt;/strong&gt;&lt;/p&gt;
&lt;p&gt;&lt;strong&gt;&lt;img alt="RETIRADA-DTC.gif" src="https://atendimento.teconline.com.br/hc/article_attachments/4409422393997/RETIRADA-DTC.gif"/&gt;&lt;/strong&gt;&lt;/p&gt;
&lt;p&gt; &lt;/p&gt;
&lt;p&gt; &lt;/p&gt;
&lt;p&gt; &lt;/p&gt;</t>
  </si>
  <si>
    <t>https://wilsonsonstrg.zendesk.com/api/v2/help_center/pt-br/articles/360038414491.json</t>
  </si>
  <si>
    <t>https://atendimento.teconline.com.br/hc/pt-br/articles/360038414491-Agendamento-Retirada-de-DTA</t>
  </si>
  <si>
    <t>Agendamento Retirada de DTA</t>
  </si>
  <si>
    <t>['agendamento', 'agendamento de importação', 'dta', 'retirada', 'agendamento de container', 'RETIRADA DE DTA', 'agendamento de dta', 'declaração de trânsito aduaneiro', 'fiscal', 'lacre de dta']</t>
  </si>
  <si>
    <t>&lt;p&gt;Segue descrito abaixo procedimento : &lt;/p&gt;
&lt;p&gt;&lt;img alt="01.PNG" src="https://atendimento.teconline.com.br/hc/article_attachments/4409425981965/01.PNG"/&gt;&lt;/p&gt;
&lt;p&gt; &lt;/p&gt;
&lt;p&gt;1) Utilizar a opção “Novo Agendamento”&lt;/p&gt;
&lt;p&gt;&lt;img alt="02.PNG" src="https://atendimento.teconline.com.br/hc/article_attachments/4409414998669/02.PNG"/&gt;&lt;/p&gt;
&lt;p&gt; &lt;/p&gt;
&lt;p&gt;2) Selecionar em “Tipo” a faina desejada&lt;/p&gt;
&lt;p&gt;&lt;img alt="03.PNG" src="https://atendimento.teconline.com.br/hc/article_attachments/4409426064013/03.PNG"/&gt;&lt;/p&gt;
&lt;p&gt; &lt;/p&gt;
&lt;p&gt;3) Dados do motorista / veiculo&lt;/p&gt;
&lt;p&gt;&lt;img alt="mceclip3.png" src="https://atendimento.teconline.com.br/hc/article_attachments/360046463111/mceclip3.png"/&gt;&lt;/p&gt;
&lt;p&gt;&lt;u&gt;CNH&lt;/u&gt;: Número da CNH do motorista que irá realizar a entrega da unidade.&lt;/p&gt;
&lt;p&gt;&lt;u&gt;Transportadora&lt;/u&gt;: Empresa transportadora vinculada ao login e senha&lt;/p&gt;
&lt;p&gt;&lt;u&gt;Placa cavalo&lt;/u&gt;: Placa do veículo / “Caminhão” que irá realizar a entrega da unidade.&lt;/p&gt;
&lt;p&gt;&lt;u&gt;Placa Carreta 1&lt;/u&gt;: Placa da carreta em que será realizada a entrega da unidade.&lt;/p&gt;
&lt;p&gt;&lt;u&gt;Placa Carreta 2&lt;/u&gt;: Placa informada somente se o veículo for Rodotrem / Bitrem.&lt;/p&gt;
&lt;p&gt; &lt;/p&gt;
&lt;p&gt;4) Dados da retirada&lt;/p&gt;
&lt;p&gt; Click no campo DTA, posteriormente em CONTAINER.&lt;/p&gt;
&lt;p&gt;&lt;img alt="04.PNG" src="https://atendimento.teconline.com.br/hc/article_attachments/4409426109069/04.PNG"/&gt;&lt;/p&gt;
&lt;p&gt;&lt;u&gt;DTA:&lt;/u&gt;  Documento onde consta a transportadora autorizada a retirar a carga&lt;/p&gt;
&lt;p&gt;&lt;u&gt;Container:&lt;/u&gt; Container vinculado ao documento autorizado&lt;/p&gt;
&lt;p&gt;Para inserir mais de um container no mesmo agendamento, clique no botão “Novo Container”  &lt;/p&gt;
&lt;p&gt; &lt;/p&gt;
&lt;p&gt;5) Data e horário para entrega&lt;/p&gt;
&lt;p&gt;&lt;img alt="05.PNG" src="https://atendimento.teconline.com.br/hc/article_attachments/4409426159373/05.PNG"/&gt;&lt;/p&gt;
&lt;p&gt;&lt;u&gt;Data de Agendamento&lt;/u&gt;: Data para entrega da unidade&lt;/p&gt;
&lt;p&gt;&lt;u&gt;Hora Agendamento&lt;/u&gt;: Horário para entrega da unidade&lt;/p&gt;
&lt;p&gt;* Horários com Ícone Vermelho – Sem vagas disponíveis&lt;/p&gt;
&lt;p&gt;* Horários com Ícone Verde – Com vagas disponíveis&lt;/p&gt;
&lt;p&gt;* Se desejar informações para Saldo de Vagas, &lt;a href="https://atendimento.teconline.com.br/hc/pt-br/articles/360038044552" target="_self"&gt;Clique aqui.&lt;/a&gt;&lt;/p&gt;
&lt;p&gt; &lt;/p&gt;
&lt;p&gt;6) Finalizar agendamento &lt;/p&gt;
&lt;p&gt;Este é último passo do agendamento, ao confirmar você deve visualizar a mensagem "Agendamento realizado com sucesso" posteriormente receberá em seu email o Bat Eletrônico com os dados inseridos.&lt;/p&gt;
&lt;p&gt; &lt;/p&gt;
&lt;p&gt;&lt;strong&gt;Observa&lt;/strong&gt;&lt;strong&gt;çõ&lt;/strong&gt;&lt;strong&gt;es:&lt;/strong&gt; &lt;/p&gt;
&lt;p&gt;&lt;strong&gt;* &lt;/strong&gt;&lt;u&gt;Impossibilidade de agendamento por pendência FEPAM :&lt;/u&gt;&lt;span&gt; Contatar o setor Balcão de Importação para proceder com atualização, através do telefone (53) 3234-3000 Ramal 3024 ou por email &lt;/span&gt;&lt;a href="mailto:balcaoimportacao.tcrg@wilsonsons.com.br"&gt;balcaoimportacao.tcrg@wilsonsons.com.br&lt;/a&gt;&lt;span&gt; .&lt;/span&gt; Para maiores informações, &lt;a href="https://atendimento.teconline.com.br/hc/pt-br/articles/360033425552-Cadastro-de-CNH-e-FEPAM-para-agendamento-de-Container" target="_self"&gt;clique aqui.&lt;/a&gt;&lt;/p&gt;
&lt;p&gt;&lt;strong&gt;* &lt;/strong&gt;&lt;u&gt;Impossibilidade de agendamento por pendência financeira:&lt;/u&gt; Contatar empresa despachante ou cliente que realizou pagamento e liberação documental para maiores informações.&lt;/p&gt;
&lt;p&gt; &lt;/p&gt;
&lt;p&gt; &lt;strong&gt;Imagens operacionalizando&lt;/strong&gt;&lt;/p&gt;
&lt;p&gt;&lt;strong&gt;&lt;img alt="RETIRADA-DTA.gif" src="https://atendimento.teconline.com.br/hc/article_attachments/4409426283021/RETIRADA-DTA.gif"/&gt;&lt;/strong&gt;&lt;/p&gt;
&lt;p&gt; &lt;/p&gt;</t>
  </si>
  <si>
    <t>https://wilsonsonstrg.zendesk.com/api/v2/help_center/pt-br/articles/360038414471.json</t>
  </si>
  <si>
    <t>https://atendimento.teconline.com.br/hc/pt-br/articles/360038414471-Agendamento-Retirada-de-DUIMP-DI-CTAC</t>
  </si>
  <si>
    <t>Agendamento Retirada de DUIMP/DI / CTAC</t>
  </si>
  <si>
    <t>['DI', 'agendamento', 'danfe', 'agendamento de importação', 'retirada', 'agendamento de di', 'agendamento de container', 'agendamento de cheio', 'di', 'retirada de container', 'declaração de importação', 'vagas para di', 'agendamento cabotagem descarga', 'agendamento importação']</t>
  </si>
  <si>
    <t>&lt;p&gt;O agendamento para retirada de DUIMP/DI/CTAC pode ser realizado por meio do nosso site, conforme o passo-a-passo abaixo, dividido em:&lt;/p&gt;
&lt;ul&gt;
&lt;li&gt;Agendamento de Retirada&lt;/li&gt;
&lt;li&gt;Importante notar:&lt;/li&gt;
&lt;/ul&gt;
&lt;p&gt;Você pode acessar esta opção clicando &lt;a href="https://teconline.com.br/agendamento-container"&gt;&lt;span&gt;aqui&lt;/span&gt;&lt;/a&gt;.&lt;/p&gt;
&lt;p&gt;&lt;img height="445" src="https://lh7-rt.googleusercontent.com/docsz/AD_4nXccaxcku_9HYT877t9cNoGXzM5gZVcsRMyxcnnM1XLvKXjSuZHr2HWnzWLhUrnOgiAZtECevJx4umWvRkMST_b_xpcZpVwef05Cok_aoeHXQ5DVclijwzaykMbF7vSXG7evORmCnFpyELBIxhOs1YP6hA?key=pdk6Y0mFq4KdcwJj9vRizA" width="175"/&gt;&lt;/p&gt;
&lt;p&gt;&lt;span&gt;Agendamento de Retirada&lt;/span&gt;&lt;/p&gt;
&lt;ol&gt;
&lt;li&gt;Para começar, selecione a opção “Novo agendamento”:&lt;/li&gt;
&lt;/ol&gt;
&lt;p&gt;&lt;img height="68" src="https://lh7-rt.googleusercontent.com/docsz/AD_4nXdoQswmzkBZHavR4vY0Xq6ROup77SindjgWhI6_wO_lGQmmblhi61XW0DBY6UdUyajHQVVM8eezGeKS1kGFnVXLGomINI3ZgjnffCoDEIytKkjUQDpDk_mMSLGU5Dg5H0-uGdG66r6hQrlcWC_kwHHPY1xm?key=pdk6Y0mFq4KdcwJj9vRizA" width="166"/&gt;&lt;/p&gt;
&lt;ol&gt;
&lt;li&gt;Na tela seguinte, você poderá escolher qual tipo de agendamento necessita realizar. Para este passo-a-passo, vamos escolher a opção “Retirada de Container DI/CTAC”.&lt;/li&gt;
&lt;/ol&gt;
&lt;p&gt;&lt;img src="https://atendimento.teconline.com.br/hc/article_attachments/38642175638797"/&gt;&lt;/p&gt;
&lt;ol&gt;
&lt;li&gt;Feito isso, você deverá preencher os campos com informações da transportadora conforme abaixo:&lt;br/&gt;&lt;br/&gt;&lt;img height="131" src="https://lh7-rt.googleusercontent.com/docsz/AD_4nXcmO3MSiqTjlbW8AOV81ZTqNaQ4Kwwte7GnQE-sf5dBZTOi7ob-Sqie8ajaReOlCOMr2i3mgno8gVSn4FujxMlX9c0Fk2BkPIQKxmE2flJHweVADEjemPb_dVeKe4Vly50IYurxKN5zANOh6jcqCh88MWRD?key=pdk6Y0mFq4KdcwJj9vRizA" width="602"/&gt;
&lt;/li&gt;
&lt;/ol&gt;
&lt;p&gt;Aba Motorista:&lt;/p&gt;
&lt;ul&gt;
&lt;li&gt;
&lt;strong&gt;CNH&lt;/strong&gt;: Número da CNH do motorista que irá realizar a entrega da unidade;&lt;/li&gt;
&lt;li&gt;Os demais campos serão preenchidos automaticamente. Caso seja o primeiro acesso do motorista ao terminal, será necessário preencher todos os campos.&lt;/li&gt;
&lt;/ul&gt;
&lt;p&gt;Aba Veículo:&lt;/p&gt;
&lt;ul&gt;
&lt;li&gt;
&lt;strong&gt;Transportadora&lt;/strong&gt;: Empresa transportadora vinculada ao login e senha;&lt;/li&gt;
&lt;li&gt;
&lt;strong&gt;Placa cavalo&lt;/strong&gt;: Placa do veículo / “Caminhão” que irá realizar a entrega da unidade;&lt;/li&gt;
&lt;li&gt;
&lt;strong&gt;Placa Carreta 1&lt;/strong&gt;: Placa da carreta em que será realizada a entrega da unidade;&lt;/li&gt;
&lt;li&gt;
&lt;strong&gt;Placa Carreta 2&lt;/strong&gt;: Placa informada somente se o veículo for Rodotrem / Bitrem.&lt;/li&gt;
&lt;/ul&gt;
&lt;p&gt; &lt;/p&gt;
&lt;ol&gt;
&lt;li&gt;Feito isso, preencha os campos “Retirada DI/CTAC” e “Data e Hora”;&lt;/li&gt;
&lt;/ol&gt;
&lt;p&gt;&lt;img src="https://atendimento.teconline.com.br/hc/article_attachments/38642159149581"/&gt;&lt;/p&gt;
&lt;p&gt;&lt;img height="39" src="https://lh7-rt.googleusercontent.com/docsz/AD_4nXchPbpjgwiD3QeKgB_Gnig2AgvehHSARHqNGVsEZp4t55k1woj_sucro8WwJBfeM0Q06lDwGNZwTgMnW2fSHmFqsX78mgqnTS7VvJtx60L3ecL_R-OznLKf-HHWBM0Hec5yI69HDEF7QbHLubnwq9yyHhM?key=pdk6Y0mFq4KdcwJj9vRizA" width="652"/&gt;&lt;/p&gt;
&lt;ul&gt;
&lt;li&gt;Horários com ícone &lt;span&gt;vermelho&lt;/span&gt;: Sem vagas disponíveis;&lt;/li&gt;
&lt;li&gt;Horários com ícone &lt;span&gt;verde&lt;/span&gt;: Com vagas disponíveis.&lt;/li&gt;
&lt;/ul&gt;
&lt;p&gt;Observações:&lt;/p&gt;
&lt;ul&gt;
&lt;li&gt;
&lt;strong&gt;Confirme os dados: &lt;/strong&gt;Revise todas as informações inseridas com atenção antes de clicar em "&lt;strong&gt;&lt;span&gt;FINALIZAR AGENDAMENTO"&lt;/span&gt;&lt;/strong&gt; no canto inferior direito da tela para concluir o processo.&lt;/li&gt;
&lt;li&gt;
&lt;strong&gt;Verifique seu email:&lt;/strong&gt;  Você receberá o Bat Eletrônico com os detalhes do agendamento após a finalização do processo.&lt;/li&gt;
&lt;/ul&gt;
&lt;p&gt;Seguidos todos estes passos, clique em “Finalizar agendamento” para assim concluir seu processo.&lt;/p&gt;
&lt;p&gt;&lt;span&gt;Importante notar:&lt;/span&gt;&lt;/p&gt;
&lt;ul&gt;
&lt;li&gt;Em caso de &lt;strong&gt;impossibilidade de agendamento por qualquer pendência FEPAM&lt;/strong&gt;, contatar o Balcão de Importação através dos seguintes meios:&lt;/li&gt;
&lt;/ul&gt;
&lt;p&gt;E-mail: &lt;span&gt;balcaoimportacao.tcrg@wilsonsons.com.br&lt;/span&gt;&lt;/p&gt;
&lt;p&gt;Telefone: &lt;span&gt;(53) 3234-3000&lt;/span&gt;&lt;/p&gt;
&lt;ul&gt;
&lt;li&gt;Em casos de &lt;strong&gt;impossibilidade no agendamento dado por pendência financeira&lt;/strong&gt;, entre em contato com a empresa despachante responsável ou com o cliente que efetuou o pagamento e liberação documental para alinhar e obter melhores informações.&lt;/li&gt;
&lt;/ul&gt;
&lt;p&gt;Caso ainda hajam dúvidas, entre em contato com o nosso atendimento ao cliente pelos meios abaixo:&lt;br/&gt;E-mail: &lt;span&gt;atendimento.tcrg@wilsonsons.com.br&lt;/span&gt;&lt;/p&gt;
&lt;p&gt;Telefone: (53) 32343030&lt;/p&gt;
&lt;p&gt;WhatsApp: (53) 32343030&lt;/p&gt;
&lt;p&gt;&lt;span&gt;Chat: &lt;/span&gt;&lt;a href="https://atendimento.teconline.com.br/"&gt;&lt;span&gt;https://atendimento.teconline.com.br&lt;/span&gt;&lt;/a&gt;&lt;span&gt; e &lt;/span&gt;&lt;a href="http://www.teconline.com.br/"&gt;&lt;span&gt;http://www.teconline.com.br&lt;/span&gt;&lt;/a&gt;&lt;/p&gt;</t>
  </si>
  <si>
    <t>https://wilsonsonstrg.zendesk.com/api/v2/help_center/pt-br/articles/360038375771.json</t>
  </si>
  <si>
    <t>https://atendimento.teconline.com.br/hc/pt-br/articles/360038375771-Agendamento-Retirada-de-Carga-P%C3%A1tio</t>
  </si>
  <si>
    <t>Agendamento Retirada de Carga Pátio</t>
  </si>
  <si>
    <t>['container', 'agendamento', 'agendamento de importação', 'carga pátio', 'transito', 'dta', 'dtá pátio', 'transito de container', 'Trânsito de container', 'agendamento de container', 'agendamento de cheio', 'retirar container', 'agendamento de dta', 'crp', 'retirar carga pátio', 'agendar carga pátio']</t>
  </si>
  <si>
    <t>&lt;p&gt;Segue descrito abaixo o procedimento. &lt;/p&gt;
&lt;p&gt;&lt;img alt="01.PNG" src="https://atendimento.teconline.com.br/hc/article_attachments/4410316105357/01.PNG"/&gt;&lt;/p&gt;
&lt;p&gt; &lt;/p&gt;
&lt;p&gt;1) Utilizar a opção “Novo Agendamento”&lt;/p&gt;
&lt;p&gt;&lt;img alt="02.PNG" src="https://atendimento.teconline.com.br/hc/article_attachments/4410316145037/02.PNG"/&gt;&lt;/p&gt;
&lt;p&gt; &lt;/p&gt;
&lt;p&gt;2) Selecionar em “Tipo” a faina desejada&lt;/p&gt;
&lt;p&gt;&lt;img alt="03.PNG" src="https://atendimento.teconline.com.br/hc/article_attachments/4410316192141/03.PNG"/&gt;&lt;/p&gt;
&lt;p&gt; &lt;/p&gt;
&lt;p&gt;3) Dados do motorista e do veículo&lt;/p&gt;
&lt;p&gt;&lt;img alt="mceclip3.png" src="https://atendimento.teconline.com.br/hc/article_attachments/360046346931/mceclip3.png"/&gt;&lt;/p&gt;
&lt;p&gt;&lt;u&gt;CNH&lt;/u&gt;: Número da CNH do motorista que irá realizar a entrega da unidade.&lt;/p&gt;
&lt;p&gt;&lt;u&gt;Transportadora&lt;/u&gt;: Empresa transportadora vinculada ao login e senha&lt;/p&gt;
&lt;p&gt;&lt;u&gt;Placa cavalo&lt;/u&gt;: Placa do veículo caminhão que irá realizar a entrega da unidade.&lt;/p&gt;
&lt;p&gt;&lt;u&gt;Placa Carreta 1&lt;/u&gt;: Placa da carreta em que será realizada a entrega da unidade.&lt;/p&gt;
&lt;p&gt;&lt;u&gt;Placa Carreta 2&lt;/u&gt;: Placa informada somente se o veículo for Rodotrem (Bitrem).&lt;/p&gt;
&lt;p&gt; &lt;/p&gt;
&lt;p&gt;4) Dados da retirada &lt;/p&gt;
&lt;p&gt;Click no campo CRP, posteriormente em CONTAINER&lt;/p&gt;
&lt;p&gt;&lt;img alt="04.PNG" src="https://atendimento.teconline.com.br/hc/article_attachments/4410316232333/04.PNG"/&gt;&lt;/p&gt;
&lt;p&gt;&lt;u&gt;CRP:&lt;/u&gt;  Documento onde consta a transportadora autorizada a retirar a carga&lt;/p&gt;
&lt;p&gt;&lt;u&gt;Container:&lt;/u&gt; Container vinculado ao documento autorizado&lt;/p&gt;
&lt;p&gt;Para inserir mais de um container no mesmo agendamento, clique no botão “Novo Container”  &lt;/p&gt;
&lt;p&gt; &lt;/p&gt;
&lt;p&gt;5) Data e horário para entrega&lt;/p&gt;
&lt;p&gt;&lt;img alt="05.PNG" src="https://atendimento.teconline.com.br/hc/article_attachments/4410304523533/05.PNG"/&gt;&lt;/p&gt;
&lt;p&gt; &lt;/p&gt;
&lt;p&gt;&lt;u&gt;Data de Agendamento&lt;/u&gt;: Data para entrega da unidade&lt;/p&gt;
&lt;p&gt;&lt;u&gt;Hora Agendamento&lt;/u&gt;: Horário para entrega da unidade&lt;/p&gt;
&lt;p&gt;* Horários com Ícone Vermelho – Sem vagas disponíveis&lt;/p&gt;
&lt;p&gt;* Horários com Ícone Verde – Com vagas disponíveis&lt;/p&gt;
&lt;p&gt;* Se desejar informações para Saldo de Vagas, &lt;a href="https://atendimento.teconline.com.br/hc/pt-br/articles/360038044552" target="_self"&gt;Clique aqui.&lt;/a&gt;&lt;/p&gt;
&lt;p&gt; &lt;/p&gt;
&lt;p&gt;6) Finalizar agendamento &lt;/p&gt;
&lt;p&gt;Este é último passo do agendamento. Ao confirmar você deve visualizar a mensagem "Agendamento realizado com sucesso" e, posteriormente, receberá em seu email o Bat Eletrônico com os dados inseridos.&lt;/p&gt;
&lt;p&gt; &lt;/p&gt;
&lt;p&gt;&lt;strong&gt;Observa&lt;/strong&gt;&lt;strong&gt;çõ&lt;/strong&gt;&lt;strong&gt;es:&lt;/strong&gt; &lt;/p&gt;
&lt;p&gt;&lt;strong&gt;* &lt;/strong&gt;&lt;u&gt;Impossibilidade de agendamento por pendência FEPAM :&lt;/u&gt;&lt;span&gt; Contatar o setor Balcão de Importação para proceder com atualização, através do telefone (53) 3234-3000 Ramal 3024 ou por email &lt;/span&gt;&lt;a href="mailto:balcaoimportacao.tcrg@wilsonsons.com.br"&gt;balcaoimportacao.tcrg@wilsonsons.com.br&lt;/a&gt;&lt;span&gt; .&lt;/span&gt; Para maiores informações, &lt;a href="https://atendimento.teconline.com.br/hc/pt-br/articles/360033425552-Cadastro-de-CNH-e-FEPAM-para-agendamento-de-Container" target="_self"&gt;clique aqui.&lt;/a&gt;&lt;/p&gt;
&lt;p&gt;&lt;strong&gt;* &lt;/strong&gt;&lt;u&gt;Impossibilidade de agendamento por pendência financeira:&lt;/u&gt; Contatar empresa despachante ou cliente que realizou pagamento e liberação documental para maiores informações. &lt;/p&gt;
&lt;p&gt; &lt;/p&gt;
&lt;p&gt;&lt;strong&gt;Imagens operacionalizando&lt;/strong&gt;&lt;/p&gt;
&lt;p&gt;&lt;strong&gt;&lt;img alt="RETIRADA-DE-CARGA-PATIO.gif" src="https://atendimento.teconline.com.br/hc/article_attachments/4410304623117/RETIRADA-DE-CARGA-PATIO.gif"/&gt;&lt;/strong&gt;&lt;/p&gt;</t>
  </si>
  <si>
    <t>https://wilsonsonstrg.zendesk.com/api/v2/help_center/pt-br/articles/360038008092.json</t>
  </si>
  <si>
    <t>https://atendimento.teconline.com.br/hc/pt-br/articles/360038008092-Agendamento-Entrada-de-Container-Vazio-Barca%C3%A7a</t>
  </si>
  <si>
    <t>Agendamento Entrada de Container Vazio Barcaça</t>
  </si>
  <si>
    <t>['agendamento', 'agendamento de container', 'container vazio', 'cntr', 'barcaça', 'santa clara', 'vz', 'entrada de container', 'entrada de container vazio barcaça', 'vazio para santa clara']</t>
  </si>
  <si>
    <t>&lt;p&gt;Segue descrito abaixo o procedimento.&lt;/p&gt;
&lt;p&gt;&lt;img alt="01.PNG" src="https://atendimento.teconline.com.br/hc/article_attachments/4410316796685/01.PNG"/&gt;&lt;/p&gt;
&lt;p&gt; &lt;/p&gt;
&lt;p&gt;1) Utilizar a opção “Novo Agendamento”&lt;/p&gt;
&lt;p&gt;&lt;img alt="02.PNG" src="https://atendimento.teconline.com.br/hc/article_attachments/4410316859149/02.PNG"/&gt;&lt;/p&gt;
&lt;p&gt; &lt;/p&gt;
&lt;p&gt;2) Selecionar em “Tipo” a faina desejada&lt;/p&gt;
&lt;p&gt;&lt;img alt="03.PNG" src="https://atendimento.teconline.com.br/hc/article_attachments/4410316926477/03.PNG"/&gt;&lt;/p&gt;
&lt;p&gt; &lt;/p&gt;
&lt;p&gt;3) Dados do motorista e do veículo&lt;/p&gt;
&lt;p&gt;&lt;img alt="mceclip3.png" src="https://atendimento.teconline.com.br/hc/article_attachments/360046250232/mceclip3.png"/&gt;&lt;/p&gt;
&lt;p&gt;&lt;u&gt;CNH&lt;/u&gt;: Número da CNH do motorista que irá realizar a entrega da unidade.&lt;/p&gt;
&lt;p&gt;&lt;u&gt;Transportadora&lt;/u&gt;: Empresa transportadora vinculada ao login e senha&lt;/p&gt;
&lt;p&gt;&lt;u&gt;Placa cavalo&lt;/u&gt;: Placa do veículo caminhão que irá realizar a entrega da unidade.&lt;/p&gt;
&lt;p&gt;&lt;u&gt;Placa Carreta 1&lt;/u&gt;: Placa da carreta em que será realizada a entrega da unidade.&lt;/p&gt;
&lt;p&gt;&lt;u&gt;Placa Carreta 2&lt;/u&gt;: Placa informada somente se o veículo for Rodotrem (Bitrem).&lt;/p&gt;
&lt;p&gt; &lt;/p&gt;
&lt;p&gt;4) Booking&lt;/p&gt;
&lt;p&gt;- Informação do Booking vinculado a unidade&lt;/p&gt;
&lt;p&gt;&lt;img alt="04.PNG" src="https://atendimento.teconline.com.br/hc/article_attachments/4410316975501/04.PNG"/&gt;&lt;/p&gt;
&lt;p&gt;&lt;strong&gt;Observações:&lt;/strong&gt;&lt;/p&gt;
&lt;ul&gt;
&lt;li&gt;Para os bookings que possuem validação, os campos de Operação Navio, Armador, Porto de Descarga e Destino Final serão preenchidos automaticamente;&lt;/li&gt;
&lt;li&gt;Para inserir mais de um Booking no mesmo agendamento, clique no botão “Novo Booking”;&lt;/li&gt;
&lt;/ul&gt;
&lt;p&gt; &lt;/p&gt;
&lt;p&gt;5) Dados do Container&lt;/p&gt;
&lt;p&gt;Click no campo NOVO CNTR, posteriormente em Nº CONTAINER.&lt;/p&gt;
&lt;p&gt;&lt;img alt="05.PNG" src="https://atendimento.teconline.com.br/hc/article_attachments/4410317046925/05.PNG"/&gt;&lt;/p&gt;
&lt;p&gt;&lt;u&gt;Container:&lt;/u&gt;  Informar a numeração do container (letras e números)&lt;/p&gt;
&lt;p&gt;&lt;u&gt;ISO:&lt;/u&gt; Código vinculado ao tipo do container&lt;/p&gt;
&lt;p&gt;&lt;u&gt;Capacidade Max:&lt;/u&gt; Capacidade máxima da unidade&lt;/p&gt;
&lt;p&gt;&lt;u&gt;Tara:&lt;/u&gt; Tara da unidade&lt;/p&gt;
&lt;p&gt;&lt;u&gt;Cliente / Cobrar de:&lt;/u&gt; CNPJ vinculado a empresa para emissões de cobranças&lt;/p&gt;
&lt;p&gt;&lt;u&gt;Categoria:&lt;/u&gt; Selecionar “Exportação” ou “Cabotagem”&lt;/p&gt;
&lt;p&gt; &lt;/p&gt;
&lt;p&gt;6) Data e horário para entrega&lt;/p&gt;
&lt;p&gt;&lt;img alt="06.PNG" src="https://atendimento.teconline.com.br/hc/article_attachments/4410317207565/06.PNG"/&gt;&lt;/p&gt;
&lt;p&gt;&lt;u&gt;Data de Agendamento&lt;/u&gt;: Data para entrega da unidade&lt;/p&gt;
&lt;p&gt;&lt;u&gt;Hora Agendamento&lt;/u&gt;: Horário para entrega da unidade&lt;/p&gt;
&lt;p&gt;* Horários com Ícone Vermelho – Sem vagas disponíveis&lt;/p&gt;
&lt;p&gt;* Horários com Ícone Verde – Com vagas disponíveis&lt;/p&gt;
&lt;p&gt;* Se desejar informações para Saldo de Vagas, &lt;a href="https://atendimento.teconline.com.br/hc/pt-br/articles/360038044552" target="_self"&gt;Clique aqui.&lt;/a&gt;&lt;/p&gt;
&lt;p&gt; &lt;/p&gt;
&lt;p&gt;7) Finalizar agendamento &lt;/p&gt;
&lt;p&gt;Este é último passo do agendamento. Ao confirmar você deve visualizar a mensagem "Agendamento realizado com sucesso" e, posteriormente, receberá em seu email o Bat Eletrônico com os dados inseridos.&lt;/p&gt;
&lt;p&gt; &lt;/p&gt;
&lt;p&gt;&lt;strong&gt;Imagens operacionalizando&lt;/strong&gt;&lt;/p&gt;
&lt;p&gt;&lt;strong&gt;&lt;img alt="ENTRADA-DE-CONTAINER-VAZIO-BARCA_A.gif" src="https://atendimento.teconline.com.br/hc/article_attachments/4410305031053/ENTRADA-DE-CONTAINER-VAZIO-BARCA_A.gif"/&gt;&lt;/strong&gt;&lt;/p&gt;
&lt;p&gt; &lt;/p&gt;</t>
  </si>
  <si>
    <t>https://wilsonsonstrg.zendesk.com/api/v2/help_center/pt-br/articles/360038007852.json</t>
  </si>
  <si>
    <t>https://atendimento.teconline.com.br/hc/pt-br/articles/360038007852-Agendamento-Entrada-de-Container-Vazio</t>
  </si>
  <si>
    <t>Agendamento Entrada de Container Vazio</t>
  </si>
  <si>
    <t>&lt;p&gt;&lt;span&gt;Com este guia passo a passo, você aprenderá a agendar suas entregas de containers vazios de forma rápida e fácil, simplificando ainda mais a sua logística. Ao final deste tutorial, você estará apto a realizar seus agendamentos.&lt;/span&gt;&lt;/p&gt;
&lt;p&gt;&lt;span&gt;Você pode acessar esta opção clicando &lt;/span&gt;&lt;a href="https://teconline.com.br/agendamento-container"&gt;&lt;span&gt;aqui&lt;/span&gt;&lt;/a&gt;&lt;span&gt;.&lt;/span&gt;&lt;/p&gt;
&lt;p&gt;&lt;img height="482" src="https://atendimento.teconline.com.br/hc/article_attachments/34518262760717" width="178"/&gt;&lt;/p&gt;
&lt;ol&gt;
&lt;li&gt;
&lt;strong&gt;Para começar, selecione a opção “Novo agendamento” no canto superior direito da tela:&lt;/strong&gt;&lt;br/&gt;&lt;strong&gt;&lt;img height="184" src="https://atendimento.teconline.com.br/hc/article_attachments/34518262763789" width="602"/&gt;&lt;/strong&gt;
&lt;/li&gt;
&lt;li&gt;&lt;strong&gt;Na tela seguinte, você poderá escolher qual tipo de agendamento necessita realizar. Para este passo-a-passo, vamos escolher a opção “Entrada de Container Vazio”:&lt;/strong&gt;&lt;/li&gt;
&lt;/ol&gt;
&lt;p&gt;&lt;img height="352" src="https://atendimento.teconline.com.br/hc/article_attachments/34518269147533" width="602"/&gt;&lt;/p&gt;
&lt;ol&gt;
&lt;li&gt;
&lt;strong&gt;Feito isso, você deverá preencher os campos com informações da transportadora conforme abaixo:&lt;/strong&gt;&lt;br/&gt;&lt;br/&gt;&lt;img height="131" src="https://atendimento.teconline.com.br/hc/article_attachments/34518269150477" width="602"/&gt;
&lt;/li&gt;
&lt;/ol&gt;
&lt;p&gt;&lt;strong&gt;Campos Motorista:&lt;/strong&gt;&lt;/p&gt;
&lt;ul&gt;
&lt;li&gt;
&lt;span&gt;CNH:&lt;/span&gt; Número da CNH do motorista que irá realizar a entrega da unidade;&lt;/li&gt;
&lt;/ul&gt;
&lt;p&gt;Os demais campos serão preenchidos automaticamente. Caso seja o primeiro acesso do motorista ao terminal, será necessário preencher todos os campos.&lt;/p&gt;
&lt;p&gt;&lt;strong&gt;Box Veículo:&lt;/strong&gt;&lt;/p&gt;
&lt;ul&gt;
&lt;li&gt;
&lt;span&gt;Transportadora:&lt;/span&gt; Empresa transportadora vinculada ao login e senha;&lt;/li&gt;
&lt;li&gt;
&lt;span&gt;Placa Cavalo:&lt;/span&gt; Placa do veículo / “Caminhão” que irá realizar a entrega da unidade;&lt;/li&gt;
&lt;li&gt;
&lt;span&gt;Placa Carreta 1:&lt;/span&gt; Placa da carreta em que será realizada a entrega da unidade;&lt;/li&gt;
&lt;li&gt;
&lt;span&gt;Placa Carreta 2:&lt;/span&gt; Placa informada somente se o veículo for Rodotrem / Bitrem.&lt;/li&gt;
&lt;/ul&gt;
&lt;ol&gt;
&lt;li&gt;&lt;strong&gt;Após isso, preencha os dados de booking conforme abaixo:&lt;/strong&gt;&lt;/li&gt;
&lt;/ol&gt;
&lt;p&gt;&lt;img height="151" src="https://atendimento.teconline.com.br/hc/article_attachments/34518262769421" width="602"/&gt;&lt;/p&gt;
&lt;p&gt;&lt;strong&gt;Observações:&lt;/strong&gt;&lt;/p&gt;
&lt;ul&gt;
&lt;li&gt;Para bookings com validação (cadastro em nosso sistema), basta inserir o número e os dados abaixo, com exceção dos containers, serão preenchidos automaticamente;&lt;/li&gt;
&lt;/ul&gt;
&lt;ul&gt;
&lt;li&gt;Caso o seu booking não possua validação, você pode fazer o preenchimento manualmente de cada campo, conforme descrito com mais detalhes abaixo:
&lt;ul&gt;
&lt;li&gt;
&lt;strong&gt;Operação:&lt;/strong&gt; Navio responsável pelo processo;&lt;/li&gt;
&lt;li&gt;
&lt;strong&gt;Armador:&lt;/strong&gt; Armador vinculado ao processo;&lt;/li&gt;
&lt;li&gt;
&lt;strong&gt;Porto:&lt;/strong&gt; Porto onde iniciará o processo;&lt;/li&gt;
&lt;li&gt;
&lt;strong&gt;Destino:&lt;/strong&gt; País para onde a carga será destinada. Caso tenha dúvida do preenchimento do código do país, você pode clicar em &lt;span&gt;[?]&lt;/span&gt; para obter melhores informações.&lt;/li&gt;
&lt;/ul&gt;
&lt;/li&gt;
&lt;/ul&gt;
&lt;ul&gt;
&lt;li&gt;Você pode vincular mais de um booking ao processo ao clicar na opção “Novo Booking”;&lt;/li&gt;
&lt;/ul&gt;
&lt;p&gt;&lt;img height="66" src="https://atendimento.teconline.com.br/hc/article_attachments/34518262770317" width="173"/&gt;&lt;/p&gt;
&lt;ul&gt;
&lt;li&gt;Ao clicar em “Novo Container”, você verá uma tela onde deve preencher os dados do container vinculado ao processo;&lt;/li&gt;
&lt;/ul&gt;
&lt;p&gt;&lt;img height="241" src="https://atendimento.teconline.com.br/hc/article_attachments/34518269154061" width="602"/&gt;&lt;/p&gt;
&lt;ul&gt;
&lt;li&gt;
&lt;strong&gt;ISO:&lt;/strong&gt; Código vinculado ao tipo do container;&lt;/li&gt;
&lt;li&gt;
&lt;strong&gt;Capacidade Máxima:&lt;/strong&gt; Capacidade máxima suportada pela unidade;&lt;/li&gt;
&lt;li&gt;
&lt;strong&gt;Tara:&lt;/strong&gt; Peso do container vazio;&lt;/li&gt;
&lt;li&gt;
&lt;strong&gt;Cliente / Cobrar de:&lt;/strong&gt; CNPJ da empresa para emissões de cobranças;&lt;/li&gt;
&lt;li&gt;
&lt;strong&gt;Categoria:&lt;/strong&gt; Campo onde você deverá escolher se o processo é uma “exportação” ou “cabotagem”.&lt;/li&gt;
&lt;li&gt;
&lt;strong&gt;Mercadoria:&lt;/strong&gt; Campo responsável pela descrição do conteúdo do container. Em caso de carga perigosa, deverá ser anexada a Ficha de Emergência. Para mais informações, acesse nosso artigo clicando &lt;a href="https://atendimento.teconline.com.br/hc/pt-br/articles/360033811191-Ficha-de-Emerg%C3%AAncia-Processo-de-Exporta%C3%A7%C3%A3o-Cabotagem-Embarque"&gt;&lt;span&gt;aqui&lt;/span&gt;&lt;/a&gt;.&lt;/li&gt;
&lt;/ul&gt;
&lt;ul&gt;
&lt;li&gt;Você pode adicionar mais de um container ao processo, selecionando a opção “Novo container” logo abaixo do container anterior:&lt;/li&gt;
&lt;/ul&gt;
&lt;p&gt;&lt;img height="105.9065759118165" src="https://atendimento.teconline.com.br/hc/article_attachments/34518269157517" width="429"/&gt;&lt;/p&gt;
&lt;ol&gt;
&lt;li&gt;&lt;strong&gt;Por último, selecione a data da retirada e clique em “Finalizar agendamento” para concluir assim o processo.&lt;/strong&gt;&lt;/li&gt;
&lt;/ol&gt;
&lt;p&gt;&lt;img height="131" src="https://atendimento.teconline.com.br/hc/article_attachments/34518262774797" width="602"/&gt;&lt;/p&gt;
&lt;ul&gt;
&lt;li&gt;
&lt;span&gt;Horários com ícone vermelho:&lt;/span&gt; Sem vagas disponíveis;&lt;/li&gt;
&lt;li&gt;
&lt;span&gt;Horários com ícone verde:&lt;/span&gt; Com vagas disponíveis.&lt;/li&gt;
&lt;/ul&gt;
&lt;p&gt;Observações:&lt;/p&gt;
&lt;ul&gt;
&lt;li&gt;
&lt;strong&gt;Confirme os dados: &lt;/strong&gt;Revise todas as informações inseridas com atenção antes de clicar em "&lt;strong&gt;&lt;span&gt;FINALIZAR AGENDAMENTO"&lt;/span&gt;&lt;/strong&gt; no canto inferior direito da tela para concluir o processo.&lt;/li&gt;
&lt;li&gt;
&lt;strong&gt;Verifique seu email:&lt;/strong&gt;  Você receberá uma notificação por e-mail, com os detalhes do agendamento após a finalização do processo.&lt;/li&gt;
&lt;/ul&gt;
&lt;p&gt;&lt;span&gt;&lt;strong&gt;Atenção!&lt;/strong&gt;&lt;/span&gt;&lt;/p&gt;
&lt;p&gt;Caso os horários estiverem esgotados, agora você pode &lt;strong&gt;acompanhar as vagas para agendamento &lt;/strong&gt;de um jeito muito mais fácil e rápido!&lt;/p&gt;
&lt;p&gt;Com o novo sistema de &lt;strong&gt;Monitoramento de Horários Esgotados&lt;/strong&gt;, você poderá reservar um horário por janela de agendamento e ser avisado por e-mail assim que o horário for liberado, seja por desistência ou qualquer outra alteração na programação.&lt;/p&gt;
&lt;p&gt;&lt;strong&gt;Como funciona?&lt;/strong&gt;&lt;/p&gt;
&lt;ol&gt;
&lt;li&gt;&lt;strong&gt; Clique no ícone  &lt;img src="https://atendimento.teconline.com.br/hc/article_attachments/34518269160077"/&gt; ao lado do horário esgotado desejado:                                                                     &lt;img src="https://atendimento.teconline.com.br/hc/article_attachments/34518269162637"/&gt;   &lt;/strong&gt;&lt;/li&gt;
&lt;li&gt;
&lt;strong&gt;Informe o número do Booking e Container: e clique em &lt;span&gt;Confirmar:&lt;/span&gt;                                                          &lt;/strong&gt;&lt;strong&gt;&lt;img src="data:image/png;base64,iVBORw0KGgoAAAANSUhEUgAAApAAAAF/CAYAAAD+T/maAAAAAXNSR0IArs4c6QAAAARnQU1BAACxjwv8YQUAAAAJcEhZcwAADsMAAA7DAcdvqGQAAGItSURBVHhe7d0HYOPk3cfxv7PHTTj2nseGso+9V0uBsqEUKLSU9i0UKBQopRQoFGihlBYotIWyN2XvPY69xx17z9u5JJflvPo+0uMoju1EucudE/8+d7ZkSZZlSdbz8/NITmrDbffsNJFCOnvuIoV3mqyxeSYuK0tFfV3m9s6YTs/tVxQRGXg9j64F9Jg4/7NzjkklejUZIhQgpbA+h8doaNbIQs/OFSDnNgVIESlN3Y+/PY7GmQE9j9M5j9wKkSVHAVLyywqPecNg906g55QZsVEKkHNAut3aOjqC1ZqysvIqqyiLhouIFFLw8BuOzEzSs8fpMQuFyJJSvvhyq54S9YuEeq11jB516/R8TtegrnHxqYrhWNOZ473OtiDUtbe1WQfBLlXe+/vs7LD29tZg+nZLp8qs77m6w1pmTLLJ02ZaU1vKquuqrXwOrtN0sEzt7cEyBasoVQRhX0TmnO6f6OhRzo95qmtwz548T8k5VIYYBUgpqGe8CoZEA8NObIpMb2e8NxKbLjJ0A2SLTZ80xaY3NVmrVVltVRAio1G5tDdPtUlTZlhjU5uV1dRZdR9rETvbmmz6jGZrt3IbNnKU1VfOyRUahNOGIJxOb7Sm9gqrrak0VW6KDEXRcaNbp/uwUHaQ7DYya9Lu42RoUoCULgWbrKNHQSfs63ocyg6NmUexvkDsNYZsgKQWMQiRza0dlu7otMqaGqvI9147W625ocFmtXcG4XGEjajra1Aj4E23ma1pq6gbZSPqK7MO57MrbR2zmqy5LW2p8hqrU4AUGVpiB+Dux47gUTQg7HR7EIiCZOyx19UXUZAc0hQgJafusSp4FA2IxcRoWDSk6y7qDfu7yzVs3hqQABkcRsvK0tba3GId6XbrrKi26src8Svd2mgzGoLprMLqRgy32rxJsztqH2c0NFl7eZ2NHDnM5mjlo5O29ihAWkWN1QcBUkWByODWPc/lOfYF03RNFj4IH3cbEfRGD1yna0RskuBBt0cyxChASigWpLofVoJH4f+wP9PpHhzDTjTeCfu757NuD9yBpvuQeWBAAiTHzSAwtjdbS3sQxNJlVl1dleP8xA6bNXO6NQXTWGW9jRxWbeXRGHRyLmU6Haynsu4H5UC6oz349FZaTX197tCZ7giey8U1Zf2sOQyWu6XJZvVSA9nJ67AsLKXKCpHi1cvnM2fWC4aFg8OeeH8oXhuZGRjrCyhEDlm6Clu6hajuO0PwKPwf9kcdFxfdw+zgGDz2veEY14mmCsV6uQq727h5oHMAr8LuaJlhU6Y2BTGx3GpHz28js05u7GxvsqlTZlhrOmU1I8fYyFrOley0tlmNNrNxprW0RRMG0a2qfrgNr6+1sCIz7S6emdoUhLvqkTb/qNpME3lHW7M1NjRYU2sQSiMV1cNs2PB6qylrsxlTpgSB1axqxBgbXVeROdBzHubk6S3WGYTF0fOPsuqy/K+BjrYmm9kw05pjr1NWVRu8znCry1PbKiLzUlaQiz10MTDzOOwJc180MHgQDY3+h92QQmSpUg1kqctbAxcMD/9n+rkLO9HQHsExehx03JR+dPgo5CYMbxxTMsPnkYFpwg6lgjeYDoJWa0faOjrLrbo6XouXttamBpvZEqS5ijobPozzJIPw2DjFpkxvsvaOcLnKy4N5pDuso3WWNRP8qqqsLBXWDrrm5fLqzAUuBFYCaUvwen4dc0u3t9isWe3BpBWWnhUsj3tardXEgl46CJ7Ns9qsM1VhNbU1Vp7nNdDR0hB7nWB0RVkQxNOW7mizlqYghFZWW9WcvBxcROaArmNCeAtlPqnRIPc49vGNZ79Mf9ANe31PzxAZ3scoRA45CpCS0XVICfrC/5l+7sJOrhAZ6w9HRkMCsYDWPVR2HU/C582bW9fyD8AteINlnW02q7XDOoOwVVZVHdUgBuM6Wq2xodHag97KuuFWXxWEsPZmayA8BlNwYcyoUSNteH291VeXB6Gtxdrb2ywdhLmaCgubl4MnpyqCcBcEQy7amTktCHW8dDDNsJEjbcSIEUEwrbfq8k7rSAXTVZm1Nc+ytmCa8ioCJBuAJwQhsy0IqC0dwTITIPk5oM6er8G06VZrmjHdZpEdK+pt1HxcwFNvdcHMO4N5tAVBsi2YTRVhOZhHZl3opptu8/CWC78e6wXTZB4E/dFTuofH6EHQdX2+y304wHf8XXQfic9MhgQ1YZcyF55C3XeC8ACSiYEErayuGxs+CLpBT/B/5MjhtuM2m9uG669tY5df1sbMP9rKyrpquUREpDilgy9/kyZPtYnvfWDPPPeS3fPgYzZ9eoNLgWF4DAKiy4BuQBgOY13XcePCPq+rLxBNJ0ODAmQpCxOg063P/Y+G+P6C4bHTfv6TH9nB+++hwCgiMgQQKC+7+ia78NIrXPArHCJ5zAM3RdQfDogGh8InyxChAFmqwgTodOsL/8f6ucsRHt2wTltmqSXstN8ebSuPXZ4pRERkCHl74nv2uz+eax9+/GkUDoN7HxBzhkg/LHMX3UcUIocMVReVOBcMe/BDg26m16XGrvAY3AiPF/7lNIVHEZEhiuM7x3mO977FyZUDrnxwPa43uot1u/QcIkOBAqREgo94+D+U6Q/DoutzHeodw3/UPC64wPxunIiIDE0c5zne+2N/WC6E48LyIRwa3kWd+AAZkhQgJUvwgfcffN/LI3+QCLrcfvGTA1TzKCJSIjjec9z3ZYAvD+Du/V3XAxniFCBLUfxD7/nPfSQzRXSgcI/oD24jRwy3g/ff0w0TEZHSwHGf4z/lgA+PrnyIygk/BK4/NiDTm3meDHYKkBLwH+hYN/wfPnI94SPud9p2C11tLSJSYjjuc/z3ZQMlgs+DXcWEH5vdlaFGKUCczEc86An76aEvvPnaR24brvcdN4WIiJQWd/yPygLflO1uUT/34V2mI0OUAmSpcR/yrA92gU95NLmbhl4OD2NXWC4cJiIiJYXjP+WAKxqi8iFTTuQSG5fpLfgEGSwUIEue/yDHuuH/Lu4BA8MR/IUZEREpPe74T5ngQmBYJniut+suR1eGEgVI6Sb8mAf3/uAQ3DLfNp1Onf8oIlKiwuN/pqSISofoFpUb3MvQpyQgXfJ96t0xITgouFs4SEREShPlQNd58dHAbCorhjwFSMn/+WdEj5E6KoiIlLasciB4mK9yQSXG0KUAWeqyP90cCKJedDVPIHtiEREpTV3lQrzR2vVlFxUqOoYkBUiJ4VPe85Puh+SukRQRkZISlAO+xjF3kaDCohQoQJaSfG0MOXU/APhvmPFvmiIiUnpylwf0JygfEpVHUowUIEua/wAH3fB/KNcHO8cgEREpYbnKhaj8cPddd7GuDBUKkCUo0ceYiTOBUgcAERFBVB5QPiQoGlSKDB0KkCIiIiKSiAKk5KTTU0REJAmVG6VFAVKS0RFCRKS0qRyQgAKk9MIfKHTAEBGROJUPpUwBssQV/NjrmCAiIn1RoLxQUTI0KUCKiIiISCIKkCIiIiKSiAKk9J3aIUREBCoPSp4CpCSiY4aISGlTOSBQgBQRERGRRBQgRURERCQRBUgRERERSUQBUkREREQSUYAUERERkUQUIEVEREQkEQVIEREREUlEAVJEREREElGAFBEREZFEFCBFREREJBEFSBERERFJRAFSRGSQmTlzpr399tv2xhtv2KRJk6KhIiJzjwKkFI10Om1ffPFFnwvFzs5O++abb9z0X331lXs8UDo6Ouyjjz6y119/3d5//31ra2uLxkix8iGLW2NjYzS0/9jmbHv2N/a7gdzfCmE5brrpJvv5z39uZ599tjU0NERj8ps+fbpbbgXOgcE6Zd3259jQ1NRkEyZMcMeWzz//3B0HRQYDBUgpGhx4b7zxRvu///s/++tf/2ozZsyIxuRGoXjOOee46W+//XZrb2+Pxsx5hJELLrjAfvnLX7rXnDp1ajRGitU777xjxx57rB1//PH23nvvRUP7j/3tvPPOc/vAgw8+OM8KekLGww8/bJWVlbb33nvbUkstFY3JjaD74osv2jHHHGNHHnmkPfHEEwopcxBfLh999FE74ogjXKBPemz47LPP7He/+53br2655ZYBPY6JzEkKkFKUXnjhBVfo5SvoGP7cc8/Za6+9Fg0ZeNk1TrNmzbKzzjrLtthiCzvjjDOsubk5GiNxWk9zDl+yCCuffvqpbbbZZu5WVqbDeCEcK2699Vbbeuut7Sc/+YlrrSgmfBHghurqakulUq5fpNjpyCNFidBxxx132LRp06Ih3dFkRK1jS0tLNGRgDRs2zNUwUAtJrdbo0aOjMSJzD7VVDz30kC2yyCK211572fDhw6Mx+RFI1llnHfvLX/5i559/vm266aYKnUWkoqLC3VBTU6NtI4OG9lQpWpxTNH78+B61kDQZPfXUU+68od7QDM65izQ/9nbOGuOZjtqd1tbWaGiovLzcll56aVt99dVtueWWy9QY9AVNUpzbSdNjX8+PYjm+/PLLbu+dUM2yTZ48udf34l+TwBF/TZ43ZcoUN471WIhfd72dSgBeg/fHvHtbtnx4r99++619/PHH/aql9Mvw9ddfZ96br83JVavj1ydfRrL3sb4otL9k4/3wvnh/fXkt5s15lqxPj+exrGPHjnU1aeyHvfHvsa6uzlZbbTV3GzNmTDS2S9Lly+b3N26FmmCZN++rt+lYnk8++cTt631ZniSf83x4HV6P9dXbF1O/vrKbq/PVHhZaPl8DSXCkBlJksEhtuO2e/fu0yeATHbi6NnhnNCi4c/+5Y1h4C/vT0eOgm+60dNB9bfz97tlzGgftiy++2DU3eSuvvLKdcsopttBCC0VDzBU+DOMcN2+//fazgw8+2B2IKQg4If2yyy6zV155JZrCbK211rKDDjrI1lhjDXewpjBmPm+++aZr3uIg//zzz7v3y3xocmWeiy66qFu2iy66yP73v/+5GhyGXX/99dGcu6NZ8Te/+Y0rIHkvN998c+ZCB2qMdt99d9ttt91s5MiRblnvueced87niBEjbNVVV7Vnn33Wvd6WW27paj0Jynfffbc988wzmTA4//zzuxqo73//+1ZbW+tqak899VR76aWXbIkllnDBw184wro77LDD3HP+85//2KuvvuqG19fX2x577OHmQz9YHl6PdcdpBKwLCsWNNtrIDjnkEFtmmWXcML/MCyywgG244Yb2yCOPZApT1g3reZNNNrFrrrnGrrrqKjc8m19PrGuef+WVV7rAC4ZttdVW9sMf/tC9n0K4CIHa6uuuuy6zDNTQEZY4349C+bTTTnPbHTRhXn311Xbfffdlgt8KK6xghx56qK277rruy0Iufn/hiw3LTojw6yh7f/EII7x/zln0227xxRd374v3V1VV1W3fIhSOGjXKbUf89Kc/te233959kbrrrrvsrbfecsPBtKxntg3LzDjOpeN8XbYJ+zXLzBefH//4x672kUD5+9//3tZff303j74sXyHsY7fddps7d9mve/Yznr/jjju6GjXw2eL98Xnw07G/f+9737Ndd93VFlxwQTeM5WXb8F79tllxxRXdfkfNK8v2xz/+0RZbbLFeP+d82WP7/+lPf3LvOxvnjp5++ulu3XFO67333uuOLWAY+wL7PPuGD4aEX5aP/d8vH59ZthlfaldaaSX3OeT99PU4RGg/+eST3fGM87l32WWXoq+FXGPcdlaWKrNUWSpYN0E3WD90g7uoP1hfdIN//OeOQdGD6D4QDpRBqnzx5VY9JeoXycElzLAbhczDDz0gGjZnUWtEgUyAoQCk1oSLHwgpHJg5qBLKKFw44BMuKVAIBBQW3/nOd9w0FLZ/+MMfXA0GTUMEKAoQCgcKFAojQgkBgPPJKBQ++OADV3vlcfBnGMvEAZ8Dol+2JZdc0hV+FNC5UDCtueaarrmbwpWChgKGwpSClMKEZVl77bVduOE9Eg4p+KnV4DV5H7w/lpHzBz/88EO3DLwXCnoCKUGG90FAIIQ89thjrtaS1/BhABTyjKOApHbOY5qJEye65WUe4D0SknjvoLaK5We5CDUUejTf+2WmRoWrnOMFNMvGMApW3me+81R53Q022MBdOPD3v//dzYt1NN9887l5cEXryy+/7NY/6y8X1s+ll17qwifL4J/P++Q9sL8wjDDEuiMwsW+wj7Ce2Y7sI+xDDCOYsFyuAMxCUPX7C+vDhw1k7y/Mkxonwpo/l5dQQdikluvpp59206yyyipumN+3CFdsQ7DcND2znv/1r3+5oMH+wnxYFr4k8Bz2NUIb4wnirDuWj2nAZ4TX4YsJ25ygy/vs6/LlC9Tsr3/729/shhtuyKx7TvXgPXB+MuuQEM82Yjq+SPnpeB88n4DFeD4LvB/CIeuY9cgXLI4BfC7ZF1hG9gO+7PFFrLfPOfs08yHY5artZF7rrbee+5wSCFlvLD/7BJ8ZXpdtQdjmSxr7FOfw8llivv4zzT7FDXxe+OLHcvf1OMTni8eEZ76Y8MUg1/5XTC7695VuGbNvwV33fqKieysMC7td94FwoAxSasKWokRhtvPOO7uaHQKjD3ccqAlCHLipfSMsxFETR0FF4UThxbf/a6+91i6//HIXfigYGO9rQTzmR20P46iZooaAgyBhj4I5jnD3ox/9yC0HtSzYbrvtXCFE4UcAo2Ck4KegpBaRGhpuXAXLMApzClkKxThqW7jKm3kdd9xxLkh/97vfdQUrw6hlo8DedtttXWHEa9CNo/DidajxoeD2NXgUYgcccIBbDmoiWR88lwBBIUaA4+dhWIcUrFdccYWbltekNpF1f+edd/Z4PdYzhfD999/v5kvAJoQQsA8++OC864maGsIY82Q9UBvFe+P1zj33XLcPEHKoffW1PXGEHdYzr4tcz48jPPHa1PQQqjgn0NcQsz0JMvTHm43z6W1/YXl5LZafL0BsU5aLWmv2W94v+7UP6nEEPAIj46kdJvxSK0XtPOuC/Zn9mn2FUEPIJtDEEfI5V5fzhAnnLEPc7CwfGM/++/jjj7va66OPPtrtb6wPatPYB1nWd9991y0j24nP8uGHH+6m44vVP/7xD9tpp51cQPO1gHzZ8J8Z9kX2v1//+tdufcf15XPOFxPCNcvB54HXoDaR98n+99///td9MWUZ9t9/fzecmmz2IWotCbAEdMIr65caUN5Hvs90XJLjEMtFTS/HFboufIkMAgqQUpQ4mFKwUJtDbQoHbw66DzzwgPtGT/OSr3H0CBQUWNSqUajRjEZQADUuPKaGgfHUoDG9RyD7wQ9+4GpyKAyoPaMQJFRxS4IgQu0DtYLjxo1z86bw5Eb/xhtv7MYxDdN6LJtvRvUFEoU7BRTP8c2J1L74miHCCoEu/l4IIAQ2akiWX375zLlyFFw0nzNPQiXvET7wsE5oBqWmhHPsCIIUZqwTwhnrlPHx9UFQ+dnPfuZqgFm+hRde2L0my0NwiNeEZqNQplaT16c2hp+kofaHbUrBTzM//ZxWQNDMRq0SgYP9otDzPV6H4M66PfDAA93+wzoknLBdeL/sa742qZDe9hdei+Xm9Wmi9fsq227PPfe0ZZdd1k3D+4+HP7YV+wDrkGUD2/qoo45yYccPIxwzLUGO9RyvYeN1WBc77LCDWx+59Hf5PPY5ainp8gWH12I9snx8bqk5JUQRwMC8GUcNHfsJX2ZYZ/y0EF9OqC0lfPN+aJLniwafF6ajxpEQ7c3O5zwby8W2ZH9n32V/Zxj7E4/5nFIz6FsOWL58n2kv6fLxeuxDvLb/3IsMBgqQUrSoASC4UDBTy0R4JEhy8KXQohvHgZumSA76FOwcrP23ebqcF0eNJeOZLl6wEJooDDz6KfAoPHM1fxVCYcj8QSHP8ns0hVE4g+Yx38wI3q8vxDwKLGpAqEnk/CjO9eScOM5nY9kIftnLRyFNwQvm5WtvfNiBL7TA8wl6LDOBgEBC7RpBlBtNcvyWIkGNZj66HoEj3rzM6/mgy7IVKrx5TZrzeI8UsPHaZF+Is+wEkewaY/D+/fBCz/eoWeTG9qdGl1Di3yM1s9TGscwEwELLjd72F5aLG6/PPuCDH1hOlpf3zfuPh2yCIftBHPMj7HG+HmGd81bZ/6lBBO8nvrysf74gsA7y6e/yeey3jAM1dgQ+vy75zFIzybpgfbPfUQvHvsW5qIynaZdmW9Y3y8k41jv7D7WEfE489lOG+WWcnc95LrwXasnZxznnkdpeAjgBj+cyH26ESBT6TCPp8jGM7cD7Y9v5aUWKnQKkFC0OpNQkUaNB2OKiDcINNQAUSLkKSAo7Cj4K9HgBDx5TGDE+Hm54nUKFbVLMn0KfecYDjMcwxrEMFLIeyxEvPJgPTW3+B4Y555FCm1qlQj8jlO+95Bvu1wMFWm+FLe+Lm5ersOttHh7T8Zrw68RjvhSmFKps01whhuf74YWe7zFtfNlzYZ69BV/mnW9dev61mC47FDDM7xcEp/hrMS4+b9YPzZ+czkATLzV6hDKCJrVb+fC+c20br7/L5/mg3BuWn7D1i1/8wp3OwJcNAhvnanLBD4GYWuRC6zsXlj/p5zwX1iWnUtBkzekgfFmjVYALoeLzZV685/i6icve/5IsH3jMlz62hchgUfgoKDKP+dpGarpA7QzNs/EagDjCFQdizj2itizO16AxnvkUKmD7ys8jHgQpBCjcKSCyf4YkPoxlpeDIh8L7ySefdAUugZlz2aiFpcaHmsh4gTUnULizbqi94vwwwmv2jXO+OPcuqVzryW8HsE58mASFPjWPFLDU8GTXNoOQ1Jfne8yD/YYbNZCEmOz3R003tWmzu255LZabIMFyxEMMy0RwAV8E4iE3G++LUx14PufqcbEQQZJQSVNvf83u8rHf+m1CMGSZstclN2rN+TywnThtgHMsOV923333dbW4nDLAe2I5mIbloPk3fmoH25XzVuP7Tn8/53zu4u+VwMh5jQRAfqmAL2qc08r5sZzS4PF++/KZ9pIsH11OWaDZ3+/PIoOBAqQUNQ7+nCvF1YngJ3S4OjlX+KPQpymJJlzOmSN8+QBBlyYzajAZz3SzGxJ4vg+y1JBSWICC1Z9fyHlinLPp0c8wcG6bL4RzocD0TdwsL4UMtRcUQBR68QJrdvFeaJqjUOeCpewrV1kWLrbh6up4AdwX+dYTBSfrgMKb5kJ+Xsi/J5ozCXiEB5qiWa5sPJ/fRKRwL/R8j3mwDlmnnArhlwO8J8IEYa0vNWu9oYaQ5eb1eS1CGlg+lpP1yPtmX86uoYojWDEP3ivT0hzK+mT/Jmj11+wuH/strQN8Dv3V/3GcN8hPA/kARcBkmdlWnC/LOYf8tBDhkm1FSOV8Z94bn1tCpb8KmotPmJfHNEk/54Q/XoNgTNgD25zp2bcJ0yyXPw2CXz2gednj/bKvgX0k+zPNMC/p8tE0znpnezA8HpRFipl+xkd64cNC0HX/587P+HDBAFcCU3BSgBHINt98c3eOlQ9dFPQcuLlS1P+MD9/gKXQ54Z2rUzl3jNoLfruNQoxChPObqL2h8KSWhIsF+PYfbxan8CCAgHMAufDELxs/88KJ/xSG/mIEDvxccEBzHE1hBF4KeM6ro4BmGSk4/M+xUHBwvhU1PJxIz3N4X9tss02mFoJl4XcRmSc1NRRGFOz8bh/LApaL5eN9cd4ZBS4FMRfM8HzWEReO8BqEJ67qZn1SeDJf1hPnXbJeCRUEAoIi74VAReHIsvFTORTkBA3WFReaMJyaYS5yoMYFvJ5vCvSvR0jItZ4I0lx8QKHONqKg5SIdlon1xFXcrBPOxyTcZn9p4DG1prw31nOu54MgxPmO1Kyyvll3TEdQYn2xn/DeLrnkEhdE+UmZXKcIEDz7ur+wj7DsrHvWBSGLUMIV57wW+x5fhrgQh33c71vUejHcN2XyHllXbAf2J4IZ03K1u//NTGqE+TkkzmlkGdj/2Z7+wg2wzIxj+zCO/a+vy8f6y8b7Zn9hPbJcbHP2T9Y586CWke3LdmMd//nPf3b7P8vPqRhMz9XYhEc+53y2WV72A07TYD7UBnKlMtvJhyq2N/sbTcx9/ZyzfqnRZHnY17h6nGmpbSaQ08+ysx+xfxJWCbB8UeN9sm4J0rw2nw3/14Din2meD0Ih25/PVF+Xj88S5zjzpY0vWuxbLHMx08/4CFQDKYMCB28O4r018RCOuKqUnyIBhTI/ZULwAsMZX6jWpzfu4BigcCEochUmKIgpWCigKAC4eppaLwoihlNwUCPDMMbFm8jg5+uxjFxwQAijOZufIyE8UmjnCjhx2fMqxE9LoUYzKT9pw3sjkPGzI/y8CSGBkBi/Qhw8N/u1sh8XWk+EMgIiodeHXX4+htBBcGEc58Dmez/UGNH0SCCKP58gwO8Axgti5sHrsO5Zf6xH1idhgQKe8RTe7Guzi3mx3Cwb74OAyXIRnFhOloP35oO3l/0+Gc9Vu+wrhC9OIbjhhhtcvz+tIwk///4uXxwhjp/v4QIXthfLxf7Cfs4+T8AmoBGmCIcEJX5YnuZ3mrJ5TcLvPvvs44ITgfSkk05yV8/7AA1q/th/2I/YR+km/ZwzD5rNmS/rjmVkXyFY8hM+rEsCHvsD6wHZwZkvRPwMEesk/pkmKGZ/lufGcUhkXtNfoiklUdNj1wbnL8yE3fA/dwwLb2H/3PtLNDTjUKhQS0AwoOChsMiH6WnmolaMmjiCmS8gKQSpxeBGP0GCWkxuPlRw4Kdmh0KEwot5+OdTQPhmKgoHmrhYNpq/CLEUiH7ZmA8FAzdqbrjyktobChoKK4KSbzZjHAU3NRUeNUe8Dwo3aq7iAQ2sf2qQqLmhS6FLwUytB8vF8rHcFNA+oPr3El9HBCPfBOrnSdCiJoraOb9eeA61UdScEPCYnrBADa8Prn6ZWVZe3y9zvtdDofXE61CzRk0ry0agIKwy70L7gMfyEAhYz6xbwgvbyf8kD/PxF53498524XngfRGaWF6/D2RLsr/412J9MJz3xntkerYx78036zON37dYF+xbBKU4auB4L+wDfJlgWxBw+Kyw7GwfhvNaTMv2jIc/XptxvBbjfPjsy/L1hiZqauZYPr/t+Jyxn/r3wWeQEMXnkW3PcJaDwB5fVzTxsi/xXthGjGP/9EGfZnN+/Nw3Nfflc+7598p+zTLz2aEGkG3OMvEliRpoXp/lYn2wrblqmn0VvD9qIFlfLCPbin2NeROi/efRB8O+LJ/fNuxfvC9ery/7/Lykv0QjUIAsJcHBz3XcPQiGYTf8z10YHrmF/XMvQIpI6eJLy5lnnukCLD9V5P+EIKGZq6T5YkKTOrWm2V+yZO4KA2TwBbWj3drSZVYVbI/KcgXIUlPcX3NERGTIowaPAEntHr80QEjkvFXOJ+RnrAiP1PoyTOGxeKTbW21Wa6u1U+EgJUcBUkRE5imabLm4h5+q4tzA+LnONAfzl26oneSqfREpDmrCLiXRt8SuDU7TdNgN/3MXNl+rCVtERHJZbcPtrKIsZe0tTdbYXmZ1w4ZZbUW5a5JOdXZYW2u7tXYEZUh5hVVXV1lVME5N2EOPaiBFRESkz5paO6hu6Kmj1RpnNtrMljbrDLJhun2WzWxoDKafc79ZK8VDAVJERET6LN3eYT0jYad1tLVaSzpllTVcPV9vI+prrSqVtlmzWqw9Z+KUwUwBUkRERPqM05165MHOIEB2BLEyVW5VlWWumTpVVmGV5UFfZ4fRoi1DiwKkiIiIJNbtDMbggfv5nqxw6fo5N9I9kqFEAVJEREQScz8k3tlp7R1caJmysooyK+vssJbWdksHyTHd3mItwbiysgqjIlKGFgVIERERSYjAWBkEw05ra55pUxtbzCqqrbYyZR0tTTZt+nSb1thqHakKq62pUoAcghQgRUREpM/qa4LgGHRT5VU2rL7W6mqqbVgwjJrG6vrhNmpYbfC42urrh9moEfVWXaH0OBQpQIqIiEifVZSHF8kgVV7p/jqQ+63HcIiVVVRZVU2NVVdWWJmy45ClACkiIiIiiShAioiIiEgiCpAiIiIikogCpIiIiIgkogApIiIiIokoQIqIiIhIIgqQIiIiIpKIAqSIiIiIJKIAKSIiIiKJKECKiIiISCIKkCIiIiKSiAKkiIiIiCSiACkiIiIiiShAioiIiEgiqXW32r0z6pehrjPc1H6Dp1JBHw9S/A/ueBBM0xndwv509DjopjstHXRfG3+/e76IiJSeVTfYJig/yqJbUHrQLaMUoTDhcXiLCpdoOM90d9F9wE0jg1Vqw2338HlChjpCIR13jyAQphmcdt3gGOCqpBUgRUQkn7U23j4KiQTHWIiMgqMLj3RjwZFB0YPoPhAOlEFKTdgljs9vWfDNsaI86AmCYkeQJIO4GI0VERER6UkBUjIIkmVBokyniZAKkSIiIpKbAqR042okoxApIiIikosCpPRAiOTMlDTnQYqIiIhkUYCUnGjOJkAqQoqIiEg2BUjJi53DXY0tIiIiEqOf8SklURjs2uD8PE/YDf9zx7Dolg6vyi5zF2jPnZ/xmTRpkj3++OPW0NBg/BREWVmZLbjggrbCCivYEkssYRUVFdGU/dPa2mpPPfWUdXR02CabbGI1NTXRGLOmpib32ozbfPPNbdiwYdEYERHx9DM+AtVASl7z4rP97bff2jXXXGO33367Pffcc/bYY4/Z2WefbQcffLD99a9/tcbGxmjK/iFAPvjgg3bXXXdZc3NzNDTEvG+77Ta7+eabbcaMGdFQERERyaYAOY+l+QXvIhZVWs5V1Drusccedv7559ull15q1157rW288cb2/PPP2xdffBFNNeeNGjXKfv3rX9sJJ5xgY8aMiYaKiIhItvLFl1vllKhf5gGail11f5Hi53xowqaB2zdzH37oAW7cQKAJ+5FHHrGVV17ZVl11VRcmq6qq7OOPP7YPP/zQttpqK5t//vlt1qxZ9swzz9hNN91kL774omvaJvSVl5e7+UydOtUeeughu+WWW+y9996z4cOHu4DY1tZmTz75pOvSTE2tIyH1nnvucfMdP368vfvuu7bSSiu52k/CK03b9957r5sf22uxxRZzy8U8XnnlFbvxxhtduP3666/t+uuvd7WcyyyzTFFvVxGR/rr4P1e541uhW3BHw3XUXs2wsNt1HwgHyiClGkgpOoQ0mq+vvPJK++9//2t///vfXdPymmuuaYsuuqgLfRdccIH9/ve/t6+++somTJhgxx57rF133XUu1FFL+dvf/tYuuugiFzQfeOAB+9WvfuXCYbzG95tvvrG//OUvLhgSJgl9H3zwgb3zzjvW3t5uX375pRt38cUX2/Tp091wmtNfeuklN98rrrjCjjvuOBc4aXq/8MIL7eGHH3bLxHsQEREZqhQgpegQvl5++WW7/PLL7bLLLnPhkcDmL6J5++233cUuNHOfdtppdsYZZ7gLYqglpKaSGsaPPvrIhcaTTz7Zjad28Y477rCZM2e61/jss8/sT3/6kwufhMAtttgiU3sZV11dbUcccYSdeOKJdswxx1hlZaVNnDjRhVTCIjWiZ511lp1yyiluPNOLiIgMdQqQUnQIcocddpir/Xv00UfdBTU77bSTa65+8803XQ0fqJGkeZurpddaay0XDmlGJhwSGGmG9ldx0yTOOJqjqYWkxpAaxv/7v/+zjTbayE2Xy8iRI23xxRd34+vq6qy2ttaFWS6yobvkkku6K7kZz3Q0lYuIiAx1CpBS9AhlG2ywgauZ5BxJX8vX0tLiugwnzBHiCHOEPJqgORcRBEamJWzGgyLP4ZxFzq3MJ3M+TwyvxzIQdKdMmeJei2E0c2df2S0iIjIUKUBK0SHw0UT8+uuv22uvvebOOeQ8RoLcQgstZEsttZSrDaR2ktBGjSRN2ozjAhd+M5KLaJ5++mkXEmlyfvXVV2355Ze3ESNGuBBJ7SVXXBMATz/9dHd+IyGwr6jVHDt2rLvg57777rNnn33WnYM5uz8zJCIiMhgoQErRIchxviLnMHL+IecWcgHMD3/4Q9cUzcUue+65p7sKe9ddd7X999/fNVvvvffeLtitv/767tzEf//737bDDjvY0Ucf7Woxd9lll8wPhxMix40b5y7Eoaby1FNPdedD9gVBliB64IEHujB77rnnup8coubTN2eLiIgMZfpLNPMYtW39CRyELJpOwYUl2c2sXrfpysvddF0bnL84E3bD/9xFf4WGEcGtrT1t5cHiza2/RMM5ip988kmm+Rk0FS+88MI233zzZd4ny8dV1JwTSdP0aqut5n6mx+OvyXBBDTWL/hxIAh7DCZusd39RDs3i1GLW19e7+fIanM9I7SQ1nEznz31k2QiPzJPnMZxwyvOoheSCmkMPPdR23HFHBUkRGZL0l2gECpDz2OwESH6yBnxYc4VIpvHn56EymqZrgxdfgBwsCJP/+Mc/3JXf1IgScgmsBEtqM7m4RkRkKFKAFKiKZJDiA+p/diY7KCJ7GNO6D7XMETRVU9P4y1/+0hZYYAFXC7rpppva8ccf72osRUREhjLVQM5j/a2B9GiS5QYCIjWRiIdHhrnXiB7HYmY0KLhz/7lTDaSIiOSnGkiBaiAHOWoWs2sic4ZHERERkTlEyWIIIED6msdM7WFA4VFEREQGgtLFEEFQ9CESCo8iIiIyUHQO5Dw2u+dAZvO1j+4clGzRuK4NXpznQPLSk6Y22ozGFmvvSEdDRUQkn4rgQD2ivtrGjK4f8FMLdQ6kQAFyHpvTAbIgkhkdd4/iC5C87CdfTrPamkobNbzGqirD8ztFRCS/1rYOm9Ywy5pntdmSi4wa0GymAClQG6cUFWoeCY8Lzlev8Cgi0kccLzlucvzkOCoy0BQgpajQbE3No4iIJMfxk+OoyEBTgJSiwjmPqnkUEekfjp86d1zmBgVIEREREUlEAVJEREREElGAnMeK/bcadZGciIiIZFOAlLz4SR0RERGRbAqQkhe/BTlYaiB32m2fqE9EREQGmgKk5MV1fO4HYUVERERiFCAlp3S608qC8Kj4KCIiItkUIKUH91cMgy4BUkRERCSbAqR0Q3hMB3dlZQqPIiIikpsCpGTQbO3DoxqvRUREJB8FyBLnahyD4NjeEfSkUlZeVqbwKCIiIgWl1t1qd053k1JAWqTj7smLQR8PgrwYhkYedwb/w1vYn44eB11XQ5m218bf754/ECZ+NMnGLj0metR3/IzP3bdeFz0SESld/T2O9tWqG2wTlB9l0S0oPej6liv3OLxFhUs0nGe6u+g+4KaRwSq14bZ7+jwhQx2hkI67B8Ew7Ib/uQvDowKkiMjgNNABco1x21mZD42xEEkgzIRHurHgyKDoQXQfCAfKIKUmbBERERFJRAFSRERERBJRgBQRERGRRBQgRURERCQRBUgRERERSUQBUkREREQSUYAUERERkUQUIEVEREQkEQVIEREREUlEAVJEREREElGAFBEREZFEFCBFREREJBEFSBERERFJRAFSRERERBJRgBQRERGRRBQgZUi4+9broj4REREZaAqQIiIiIpKIAqSIiIiIJKIAKSIiIiKJKECKiIiISCIKkFJUKsrLrLWtI3okIiJJcPzkOCoy0LSXSVEZUV9t0xpmRY9ERCQJjp8cRwejzo42a2lusoaGBpsxs9GaWtqtMxonxUcBUorKmNH11jyrzb6Z0qiaSBGRPuJ4yXGT4yfH0bku3WbNjTNtZnObpaNBfddp7c0zg/DbaDOD5W/vSFtbWzC/puBxS4dCZJFKbbjtnto2paIz3NRdG7wzGhTcuf/cMSy8hf3p6HHQTXdaOui+Nv5+9+yBwktPmtpoMxpb3IFEREQKo9mamkfCYyoVDRwga4zbzspSZZYqSwWvFXSDF0x1ttnMmS3WUVlrI+trrIxxwT/+cxcuU7hgmcXLLGindbQ0W3O6wmprqqw8FZQ1rc02o6nVOstrbcSw6mBYNKkUDQXIUkIyo+PuQTAMu+F/7sLwOC8DpIiIFK8V19rE0lYWhMRKq66ttkprs6ZZ7dYelBGdQaCsKC+3sopqG1ZTbm0trdbaHpQfZUxfYTXB9FVBuHQKJd10q81saLLWshobOaxGAbIIqQlbRERE+qwtTS1i2trbWqyxudU6XEVET9QqNra0WUcwNbWKHW2zrLGxJe/0cen2IJAG05WXV5jPm1JcFCBFRESkz+rr6oJbvdVXBxGio83aUlU2rK7KKoJx1DwOHzbMhgePK6vrbMSIETZqxDAbNqzO6irLLN1BTWU4n3w624OgSTBNVVptTXlXk7cUFQVIERER6TOukp42o8EaWqJTnPIEws50u7U1N9r0GdNtyrRg+lYmDKbndKk8CI8zG2dZa2eF1dXVdjV3S9FRgBQREZE+q6+tDW51NiwIePV1NVbtTlDMCnqdHdYya5Y1t3daeUVNMG2N1VYUDoOdHS3W6MJjudUNq7PaSkWUYqatIyIiIn2WLiuzyspySwUhsbU1+pmdFOc5BuM60tbR2WlpLqhxY8qsqrrKKss6rSMYlk9nutWaGputJZ2yyqoqK08z7zZrbWvv0zmTMvcpQIqIiEifNTc2hk3Yza3Wlg4Do6UqrKoqCJVBEGyYMcOmzWy1ssogCFq7zWyYblMaWsy1YOcUBM62VguyqOtva2m2huA1wluTtShBFiUFSBEREemzYbXVVlNVZbU1tTaivi7ThF1eUx88rrG6mmobHnSrq+ts5Ih6Gx48rqutcxfTDK/PdV5jKgibNcG4YNoeNz9/KTYKkCIiItJn5ZVVVlNTYzXVFdb9z24HIbIyCJfBuMqKaERZhVUGQbO2ptL9JE9lZe6f5UkF01VUVVpV9i2YXvmxOClAioiIiEgiCpAiIiIikogCpIiIiIgkogApIiIiIokoQIqIiIhIIgqQIiIiIpKIAqSIiIiIJKIAKSIiIiKJKECKiIiISCIKkCIiIiKSiAKkiIiIiCSiACkiIiIiiShAioiIiEgiCpAiIiIikkhq3a1274z6ZajrDDd11wYP+vif6rTgf7A3hN8oOoPpuDF9Z2c6ehx0052WDrqvjb/fPVtERErPqhtsY6lUWXRLhd2yoEsh4h6HN1eouP9hN7qL7gNuGhmsUhtss0dXnpChLUeAdEGRPhcSw1vmI+0eK0CKiEiXtTbePgqJBMdYiIyCowuPdClNXIHCsLDbdR8IB8ogpSbskuc/0OGHnluHC4r6XiEiIiK5KUBKN8TJsrKUq230tZMiIiIicQqQ0gMhkvNZVAspIiIiuShASk7+zBSFSBEREcmmACl5cX6z8qOIiIhkU4CUvLiwRvlRREREsilASgFBfFSCFBERkSwKkFKAPxNy7mtubrbHH3/czjnnHDvzzDPt3nvvtWnTpkVj555vvvnGbr75ZnvyySetra0tGioiIlLaFCCl6Hz66ad2/PHH28knn+xC5Ouvv25nnXWWHXroofbQQw9ZR0dHNGVys2bNsquuusouuOACmz59ejQ0v6+//tpN//DDD1t7e3s0VEREpLQpQEpRmTFjhv373/+29957z4XIW2+91a655hq77bbbbLfddrMRI0ZYWVn/d9t0Om0ffPCBvf3229ba2hoNzW/ZZZd1NaAHH3ywVVdXR0NFRERKm/6UYSmJLqnu2uD8WHjYDf9zF/6AuPsR8eDW3pG28iCvza0/ZUhtIzWP2223nf34xz/OGdpYts8++8zVTn788ce28sor2yabbGILLLCAa/omcDY0NNgKK6xgb7zxhlVVVdkOO+xgY8aMceH0iSeecOGRcDh27Fjbb7/97LXXXnPDef5SSy3lpl9++eVdE/Zll13mXoNhjz76qD333HO27rrrupDL6/DaG220kVVUVLja0YkTJ7p5ffHFF+41/Gs/+OCD9swzz9gaa6xhX331lVveXXbZxSorK6N3JiJS/PSnDAWqgZSiQe0ggZBwR/jLFawIjy+//LIdddRRdvvtt7tmZQLecccdZx999JELcAS7//3vf3bddde58f5cyi+//DKaS3cTJkxwTdoEvoUWWsgFRD89y0IIJbCyfAyjGf3iiy92TeDvvPOOnX322fbSSy+517rnnnvs2GOPdcvA9FdffbX985//dEGT5z7yyCN2/vnnuyBJbao70IqIiAwyCpBSVFpaWly3pqYmZ7iihpCQRm3fqaeeaieddJJr6v72229dsPMXuiy88MKuJvOEE06wgw46yI1vbGy0X/7yl7bBBhu4gHr66afb0UcfbRtuuKFddNFFdskll9gxxxyTmZ7QmAu1okcccYSdeOKJbnqCLrWO1CoSarfeems77bTT7JRTTrGf/exn9tZbb2XmxbRHHnmkqwmllpX3ISIiMtgoQEpRoVaOWsbJkye7brampiZXk0fz8mKLLebOh1xuueVc/+eff+5qARlGgKTZmBA6cuRI1/XhNBuhlKZpQuGuu+7qwh/DuOAm1zIwv8UXX9y9Tl1dndXW1rppWWZuhEiarQmSf/vb39x5nTNnznTPHTVqlK200koKjiIiMqgpQErRIJBx/uHw4cNdMzLNvh5BbtKkSS5Ack4jYdBfjU1opKmZmkFfaxmvvYyHQIbHL8JhHvfff79dccUVtuKKK7oazQMOOMDKy8ujKXpiHvH5g9dguQiGhMfzzjvPhUduNIdzrqWX/VwREZHBRgFSigoBcsstt7Tx48e7JmXOLeQCF34HkvMen332WVf7yFXUXHBDcGQYtZKENEJcIQTD+eabz9UUEkg5j5HaQ8LneuutZ0svvbQ7D7M/PxXERTE8n3MqaYKnppGaR35Dsj/zExERKVYKkFJUCHJcFb3HHnvYfffd585RpGmZ34EknI0bN8523nlnFzSpLeQ8Qmr51l9/fdtss8261S568Ro/zkFkHgTPww8/3A455BBbZJFF3I1zGvfaay93BXVSvAbN7yy7nzfLxjypTfVN2CIiIkOBfsanlERNuV0bvPh+xsfj9fkJHa6Apol6lVVWyZzzCJqwuQKai1M4B5IbtYvU9PkrppdYYgnXpEwtIzWUhETOX2TePGbeDOMnengNajq5eGbVVVd1tZKMI9B+8sknNmzYMHeFtq+1ZN7+3EfGEx4ZT5Dk/ElqSN9//313HuY666zjmuV5P/HniogMRvoZH4ECZCkhFNJx9yjeACkiIsVJAVKgJmwRERERSUQBUkREREQSUYAUERERkUQUIEVEREQkEQVIEREREUlEV2GXkvCSa661jhTnVdjp4HW//HqyTZ3eYG3t7dFQERHJp7KiwkaPHG6LLDS/lQ3w1c26ClugAFlKCIV03D2KL0ASHt/98FMbVldrY+YbZdVVldEYERHJp6W1zSZNmWYzm5pthWWWGNAQqQApUBO2FBVqHgmPiy28gMKjiEgfcbzkuMnxk+OoyEBTgJSiQrM1NY8iIpIcx0+OoyIDTQFSigrnPKrmUUSkfzh+6txxmRsUIEVEREQkEQVIEREREUlEAVIKcJdoi4iIiHSjACkFpGK/tyAiIiISUoCUvPhdSOVHERERyaYAKXnxW+L6nVcRERHJpgApOfmzHwf6T2KJiIjI4KMAKT0QHvmzhQqPIiIikosCpHRDeEwH4TFVFv09UxEREZEsCpAlL2ys5oKZzs7wVh6ER9U+ioiISD6pdbfa3Z/uJkMdV8XQcfcI+vif6rTgv/vJHr5R+CDJ9J2d6ehx0E13Wjrovjb+fvfsgfDym+/ad1ZdIXokIiJJDfRxdNUNtrFUqiy60VoVdGm1cj/9FrZehS1YPOZ/2I3uovuAKioGtdSG2+7ZlSdkaMsRIMNBhEX3KLgLw6MCpIjI4DTQx9E1xm1nZT40xkIkgTATHunGgiODogfRfSAcKIOUmrBFREREJBEFSBERERFJRAFSRERERBJRgBQRERGRRBQgRURERCQRBUgRERERSUQBUkREREQSUYAUERERkUQUIEVEREQkEQVIEREREUlEAVJEREREElGAFBEREZFEFCBFREREJBEFSBERERFJRAFSRERERBJRgBQRERGRRBQgRURERCQRBUgRERERSUQBUkREREQSUYAUERERkUQUIKWoVFZUWEtrW/RIRESS4PjJcVRkoClASlEZPXK4TZoyLXokIiJJcPzkOCoy0BQgpagsstD8NrOp2T7/6lvVRIqI9BHHS46bHD85jooMtNSG2+7ZGfXLUNcZbuquDd4ZDQru3H/uGBbewv509DjopjstHXRfG3+/e/ZASQev9+XXk23q9AZra2+PhoqISD40W1PzSHgsS6WioQNjjXHbBa9RZqmylKXoBq9HN7iL+oPXpxv84z93DIoeRPeBcKAMUgqQpYRQSMfdg2AYdsP/3IXhcV4GSBERKV4KkAI1YYuIiIhIIgqQIiIiIpKIAqSIiIiIJKIAKSIiIiKJKECKiIiISCIKkCIiIiKSiAKkiIiIiCSiACkiIiIiiShAioiIiEgiCpAiIiIikogCpIiIiIgkogApIiIiIokoQIqIiIhIIgqQIiIiIpKIAqSIiIiIJKIAKSIiIiKJKECKiIiISCIKkCIiIiKSiAKkiIiIiCSiACkiIiIiiShAioiIiEgiCpAiIiIikogCpIiIiIgkogApIiIiIokoQIqIiIhIIgqQIiIiIpKIAqSIiIiIJKIAKSIiIiKJKECKiIiISCIKkCIiIiKSSGqj7ffqjPplqOsMN3XXBu+MBgV37j93DIvf0mE3TTfsf+Wp+9yzRUSk9Ky18faWSqWCW5mlyoKb73fd8BbcGf/4zx2DogfRfSAcKIOUaiBFRHrBF6cvvp5kz7/6trvRz7C5bVZLq70+4QPXLSVt7e32wmvv2E13PW73P/6CTW9ojMbMPtblGxM/sk+/+Na+mTSt5NatSH8pQIqIFDBjZpPdePejdudDT9vHn39tn3zxjd3z6LN2zW0P2uRpM6Kp5o6GYFleffs91y0Vr7z5vq2y5SH2k+P+4sLjv6+7x5ZYf18744JrrL29I5qqf558/g1baYuD7YLLbnXbdr3v/dweePzFaKyIFKIm7FIS1Zh0bXCaqMNu+J8733Ttb2rCltJFQCE4poP9fqctN7Sa6io3vCP4PLz17ke2wtKLZ4bNDd9Onmb3Pf6cbb/Z+rbA/KOioUPXZ19+azsffJId/4t9ba/vbR42jQamTGuwie9/auPWWcU97g+27T6/ON1222ET23+3raOh0hdqwhaUL7H8qqdE/SI5RHEzKEB9/88OOcB1RYY6ahvfeu8j2/A7q3YLbGVBwbfQmNFWUVHuwuQnn39tz786wd758BMXKEcOr3fTffTZVzZ1eoOrMRz/8pv29aSpNnrEcKuuqnTjee6bEz+0F16b4MKhH8fwdz74xJ595W2bGoSl0aOGW1VlhTU1z7L3P/7cll9qMauvq3HzoIb09Ykf2AuvT7RpM2bamNEj3XLRFPv2ex9beVDAv/zmuzZpynRbZMH53XMGi2tve8Q1Lf/+qAOsMnj/Xm1NtS2x6AKuv6MjbY8/+5pdeu3d9uXXk23pJRbOrN9nX37bHbomvPeJXXrN3dbYNMs9r2Fms93x4Hi74c7HbPTIYTZ9RmPwheBje/ejz23BYDszf//cl994z+559HlbbqlFgmETrLa22q6//VF75OlXbJklFnFfqq+65UG77b6n3bznGzXCvTbN7jz3n1fdaS+98a6bdnh9rRuXPe/Vxi5tlRVd76/YXfyfqzJBMd8tuCM2RmmRYWG36z4QDpRBSk3YIiJ5TJo63RXsC84/OhrS04tBcBv/4hsu0NXV1tiDT7zgaifx7oef2qPPvBIEiHeCoDLcPvvqW7vnsWdd7RcB47b7n7Q3gvBH6CDwPTz+JWtpbXO1ngSascsu6R7f8eBTLihmI5je88gzLhwSaKmxY1rmzzhC5d2PjLeGxuZg2aqjZw0eT7/4pm22wRou0OXCOjz8xL/aORffYKuvtIy9+c5HtukPfmUff/a1G3/hFbfb3j8/zW5/YLytvMKSdsbfr7GzLrzejcvG+j/z79fah59+6R7z3D0O+4NddsO9tvjCY2x6Q5P96pQL7afHnef2Cdb5Dj883n505J9ciK2qqggenxA8/yv3/PMuvdk1jfO62Hbf4zLjsuctMhgpQIqIFBDWqEQPclh/zZVt3122sY3WWc0232AtWzQIBJ8HQdGrramy7249zjZYaxXbeN3VbdasVlcr+e6HnwXBrsm23XQ9G7f2qrb1xuvYLttuEoSfr1xN2TabrGvLL71YEKDWtBHD6m3iB59Ec+wyfFid7b3zVrbD5uu7+W+yXjD/IAgxf1A7ttaqK7jxKy23lBs22JSX5y+mXnj1HZv4/md2xV9/Y/t8f0s74zeH2A5brBcEs67TbDZdf3U7/diD3fizf/tTe+6VCa4293tbb2gLLzA6WGer2R7f3cx23X5j9zhui3Fr2uXnHmc7bzvO1Sy3BmH+2MP3sh/tsa0dd/jerqbzx/vsYD/d/7t25I9/4Gogqe0E4/97XrhcR/9kD1tzlWXtjQkfunGIzztfQBYpZgqQIiJ5VJaXWzrdae0d+S/WoKbv4adfspvvecwuu/Ee+/CTsAbLo+bRN09WV1ZaWVmYRptmtVhdTY3NPzps8vRmBKGSpuoHn3zBbrn3cXf7ZvJUmxaFwjgC4oT3P7bbHnjSrrvjoaD7lKux9Coryl3N5GDFqQC5al49agGXXmKhzDok7BMIfS0iNvjOym44CPOEx76KPxdVQWBkHmCbLrrQ/LZYrAaR7eEv7Pnymyl22vlX2YFHnWUrb/lju/HOx91wL3veIoONAqSISB6cM9iR7nDn4eVCYLj/ieetta3Nvr/txnbwnjvackstGo0Ncb5kLgxv72jvFvi8kcOH2W7bb2o/2GEzdztojx1dTWU2ajGfefktW3Pl5W2fnbe23bbbtNtFPQSUstTgPcxvs+na9tCTL9vkqfmvdqe21oc2ZAdOQnR/9fe5Mxub7cBfnWXLLLGw/efPx9qERy+zfXfdMhobmp3lEikGCpAiInksOGa0LbHIQvbsK2+5i1c8mqjveOhp++Lrya5Zs76u1tVIEV6++nZKNFVh1AzS3PzRZ2FtGRfOuAtdFpgvCEXNNvGDT91wcO4kPxlEcy7TUSOJ5lktLoj6i3ZYxlyBdLDaaqPv2IhhdXbEyX/PBEPON3zgiRfd+Yqrjl06eM9fuItUwO9DXn7jfbbjluu7x/MK25ULmqidZJtxMdWTz70RjRUZGhQgRUQK2DIIMSsvv5Q99NSLdvFVt7nbXQ+Pt5HD6m3hBeeztVdf0Sa897FdcfN9dtv9T3S7WriQxRZewNZZbaw9+fzrdsm1d9h/rr/Lnnv17SBYzmfrrDHWnn4xHH5pcHvk6ZdcWKQ5fLGFFrDHn3vNbrjrEXfFMedH3nT3o3bFLfe5oDmUaraG1dfaTZf83jVRz7farrbAmrtb9XI72G/P+o8713HZJRdx5z1yQcri6+1jy2/yI1t3jRVt9502jeYwb4yZb6T76SGWa4s9j7bDTzjfNXeLDCX6HchSwu9G0HH34Hcew274nzv/+4/+pt+BFPGoGQQ1jnF8LmhK5Urs/pzXRu0a59b5cyW9GQ2N7ry77N+apIYLfnj246GIdTx1+kwbPiys7Y0rNG5eoraU81m52Gko0e9AClQDKSLSRwTH7PAICkxqy1zB2Q800+YKPiOG1+cMhQyLD89+PBSxbucb1XVBUlyhcfMSzddDLTyKeAqQIiIiIpKIAqSIiIiIJKIAKSIiIiKJKECKiIiISCIKkCIiIiKSiAKkiIiIiCSiACkiIiIiiShAioiIiEgiCpAiIiIikogCpIiIiIgkogApIiIiIokoQIqIiIhIIgqQIiIiIpKIAqSIiIiIJKIAKSIiIiKJKECKiIiISCIKkCIiIiKSiAKkiIiIiCSiACkiQ0pnZ6dNmzbNWltb3WO6vl/mjqamJrv88svtk08+iYaIyFCjACkyj3V0dNhJJ51kZ599tgs/A+2UU06xK664Ino09DzwwAN28skn2xFHHGEvv/yyCzITJkyIxs4d7733nv30pz913VL05JNP2qeffmqLLrpoNKSnwbKOJk6c6JZzxx13tNtvv932339/e+6559y4Of1ZYl7MU2QwUIAUmcc++ugjF3BefPFF+/DDD6OhXYZa4Bvo91NeXm6nnXaa/eUvf3EBcoEFFrBVVlklGjt3LLjggnbggQe6biFvv/22HXDAATZp0qRoyOA3ffp0e/zxx+2QQw6xioqKaGhPfV1H89KUKVPsj3/8o+2xxx5299132xZbbOHC5NJLLx1NIVK6FCBF5iFqHG+++Wb7/ve/b1tvvbU9+OCD0RjpL9bjyJEjrb6+3n784x/bbrvtVjDIDIQRI0bYxhtv7LqlprKy0o477riCtY8YDOvo66+/tpqaGlt//fUtlUq5Zd18882LOvSKzC0KkCLz0Jdffuma8LbZZhsXfKiFpNYDdKntePjhh+2///2v7bLLLnbeeee54b/61a+6Nf3RpPbb3/7WmpubraWlxW644QYXnCj4dtppJ7v//vvzNo/zXJrP//GPf7gCnelpgnziiSdcP8POOOMMN18wn6efftr22msv22677eyHP/yhvfXWW26cXzZqaw4++GD3+nvvvbdrBsz3fvDFF1/YMccc49bDd7/7Xbf86XTajYsrNH/wHJqw99tvP9tggw1syy23tKuvvtra29vdeJaddUFg57lM99JLL7lxueRbLoIFTeSPPvpoNKW5dXD44Ye7GmW2DcvJ8uKZZ55x64vX5LWZz4033ujmzbQHHXSQaxqlv9D6ZfuyLe644w73vnmPNNeznJwGwWO2OzWvuWQvF/gC47fDzJkz7ayzzrLNNtvMbfejjjoqcx4j0zCt57eF3w8/+OADO/roo22HHXawbbfd1k488USbPHmyG+df96677nK1eSzzu+++221ZmJbn8Lq8/rnnnuvOpQTrhOZjv91YN+xHufZplpPTFs4880w3L/aBm266KTOtX05eg/UVX8445sP2Yd3/6Ec/cvsrN7+dcunrvMF+xH7ANmY5WSczZsyIxhb+nIkUAwVIkXmIoLb88svbIoss4prFqNkgbGC++eazSy65xLbaaivX1Hfbbbe5Ap2Ch0Kpra3NTYdZs2a5gtgXktSUUIgSDi+88EK76qqrXLDJhefeeeedNnbsWLc8FOp/+MMf3HLceuutbhyF/bPPPuumZ55XXnmlXXDBBS6MUfCdf/75LlSxbB9//LHdc889rgmZeVD4XXzxxTZs2LCc74flpll79913d+GPYPXCCy90C2deoflzoQy1RGVlZfbnP//ZLe8tt9zi5uNDIqGY5nOWnfHUlP3pT3/KBNC4Qsu10EIL2WGHHebW7Ztvvum+CBDs9txzT7cd2TZsI5b3m2++cdOxnlh31157rdvOP/jBD9x7YPuzrQi69Bdav2zfzz77zA2/9NJL7aGHHnLDCS0EDdYHta6M8+ErLr5cXmNjo2t2BuuLLwqEM/YFgq3HNEzrZe+HdPfdd1+3fsaPH2+LLbaYXXbZZZlxb7zxhj3//PNuHzj11FNdqPfLwrKyz/H+H3vsMbv33nvda/3tb39z5whzigfhle3M+mHd1NXVue2djeW8IQhmnLPIeyAIXn/99Zn9v9ByxrFvsn3GjRtn1113ndtf//3vf7v9y7/nbH2dN2ht4D2xrVhO9ge+GHmF9gORYqAAKTKPEFDuu+8+V2NDQci5exR6FFTUBPVXdXW1myfNuCCs0P/tt9+6x7msvvrqrhaE5Vh77bXdc6hxY16jR4+2pZZayhXAFOaESmqCCFFYYYUVbOGFF7b333/fPaa5mPP6CMAUthtttJE7xy9euxJHkGNaamx4fYIBy0/tSy6F5s/zqcn1zacsO4U4oYtlp4CmoOb9MO1aa63larQIYtl6W65VV13V1QISMqj9JchS25XNhw2a1H2Xc+nY3tn6sn5BSOFLAqGc7bbiiiu6bchyEsIaGhpyBsjesN+xr7Bemdeaa65pSy65ZDS2ML6ArLfeeu653Fiezz//PHMFPMvrt1u2d955xy0z24bty7qmxo1w/tVXX7lQy75IczJYNxtuuKHrz4UvKWxb3gPrZsyYMe6iHvS2nLOjr/PmMV+C2H/i+yLLjb7uByLzkgKkyDxCbRaFGgUFtVfcqHmhgHjttdeiqZKjZodaDWqkaM7cZ599XA0cNY35cKFJbW1t9Cg4MASFH4VaNgpyanio1fFNervuuqu98sormfMMKeSHDx/u+vuCYEsoIzz4eVLT4gNXtkLzp4aOpk4KZj8/atMIRn7ZCRNxhGVqCbP1ZbkI/CwPN5pmc60zwixh6Mgjj3SnBFDTRlNnLn1Zv7w+wTgu3/ZKivVGDRchnJpMXyPZF9RSc4oC64HlPv30090+508fYLn9l5pshH/WYVVVVTTEMtuYcauttpo795B9mX36r3/9a8GaOLZpPr0t5+zo67x5zPBc+yL6sh+IzGsKkCLzAAUEtWEUCptssomr5eJGIUlNFs3GSQq0+LQ0fT311FOuqZBwSvMbtWVzAoUXBf3xxx/vakrjN2ry+oNaNGrk/ve//3WbH02ISVGAX3PNNXbOOee48MM8mTf8ssebYUG4ZBmy9bZchFXOrSMIcIufZxdHsGObEmyZF7VSJ5xwQs7QOhDrtzfxfWf++ed3X2QI3QRdashp/s2FpmffFM65mYS6nXfe2a0Hlpf30Fe8Z5Yjviw+uDKO9cK5hzTl0qxLbSTLl7SWdXaXs5Ak8y60L2Je7AciSSlAiswDnHNHDQM1KtT2xG+cH0iTqz9hftlll3Xnj/nCleY9amf8T/5Q6MQvbshGM2D8HD+aJDmnLF5Y9xU1RFwgwev5JmlCE02QvvDrTfb7ocmPGrnXX3/dPQa1S6yD2cX5kv78R5adsE6I88vOBSKcF7npppu6x3G9LdcjjzzimiGpZeKnXgg3DMvGeuF1WE8sw7rrrusCEE3bBDbWgz8/b06s30J4PUKfb87l3E1qvT3eL6GM0Lv44ou7mj//umw3v9+wTDwvXy0g4Y/10Vc0u/Mczhtk3iwj86dGjhpcTlHwr0WwZ9swTX/24biky5mt0Gep0Lzz7Yv+VxgGej8QmRMUIEXmMs5v4iR/Ts7PdT4Y5zxRuFCAUmhw3t3UqVNt++23d81jnD9Fkyi1HTSJcl7ZcsstFz3bbJ111nGFPc1onENFbWZ8PM2uBBaeS4GdFLVpnH9G0y7zZ7m4CMTXGPUm+/0QhrkIhN9uZJm4cSFPrhq63vA+mS8hnGXjynLOgfNoClxjjTUyy87rc5FMrlqdJZZYIu9yEcD+85//2E9+8hMXcLgIilpFLvIgsMfxRYHaMp7P6/Oa1FLxPE4dYFmOPfZYN55AMbvrtxBej1pv3hfnuHIRka+dZr/kvE//uownPLMfge1Gsz7LwzjCp2+C5fSHQw891L3/733ve26f7Ou5k+BzwHmkvE/mzY2a9N/85jcubHMeIeuedcSycUEJV0Yn/Qmg2V3ObPHPEs3LSebNvkBAp8t74mIuWiG8gdwPROaE1Ebb75X7tz1k6AnCiOu4e3RGg4I79587hsVv6bAbfNv3/a88dZ97tsxd1Dz45jxQA8MwAliu898ImtSMUGOZje1IkxsFan/PnWMeXPjA/P0yJZH9fuCbJHMtcxK8b5qVczVNo7d1l21OLBfLxHxyvWau5Z3d9VtIb+uH1yW4UROWLdd28/wyM1/Oy+wP1hHzzvXa7NMEKNbh7JgTy+llf5aSzru3bTGQ+0F/rbXx9u69plJllorOv3X9rhvegjvjH/+5Y1D0ILoPhANlkFKALCXBgch13D0IiGE3/M+dD47+pgApIiJdFCAFasIWERERkUQUIEVEREQkEQVIEREREUlEAVJEREREElGAFBEREZFEFCBFRETmAP8br7Pzp0hFBgsFSBEZdPitwMMPP9z9VRdu/BA4P+bMj1Hn+zvTcxp/p5hbseOvmbBe+K3CUvf222+7H/jmL9sMBH5Enr+fzg/55zNlyhT3Y/L8UHoh/GTa888/b/vtt5/bv7kdccQRNnny5GgKkXlLAVJEBq1zzz3XXnjhBfcXVK666ioXJn/+85+7WiAK4IHEn5rjVuzWXntt99dM+GFuH7wff/zxaOzgUszLzw+C33HHHe6v0eT7UXDU19fbQQcdZEsvvXQ0JDf+6g/7MX+l6JlnnnF/cpM/RXnZZZdFU4jMWwqQIjLo8cPF/Dm83Xbbzc4880y77rrrMn8rfKDwZ+i4FbtlllnG/XnL8vLyaIgMBJqvf/GLX2T+NGQ+/IWfjTbayP2d70IYf84559h3vvMd9xdteB7bkr8EJFIMFCBFStAXX3xhxxxzjG2zzTbu7w5T08Gf9wN/6/nXv/61bbzxxrbZZpvZH//4R9dsRtMbf4/4wQcftEMOOcT9nV6a11566SX3PDCPW2+91f0tYP6WL7WBvBbee+899/y77rrL/X1l/p4xf8KN1yb4+Wbo+++/f7ZqD8eOHev+njh/mxjMi2bFvfbayy0Tf0f8rbfecuNA7Q7jeH3+5jDLQ20SCq0nmoZ9E/bXX3/t1tPWW2/t5sP6+eSTT9y4bKxHmpRvv/12935Zz/zNbqY/7LDD3Hrl7zzHn+/H8beSeQ9XX311ZhlZjrPPPtsuvfRS23LLLTPzi49nOVn/1I5xft7pp5/u/gYz45Bk/g8//HDB9+v3k7vvvtsOPvhg+9nPfuZqDuP6s00mTpyYd/kLbadceG32QebP+47/3fX+rgu2JdOzjIXWhf+73mwPMG9eg+fymry2f34cwZG/XU/4FCkGCpAiJYZC7ZRTTrHdd9/dHnjgAbvxxhtdM/Cjjz7qCvaLL77Y1aw9+eSTbthWW23lhlMgf/zxx3bLLbfYGWec4QozmuL+8Ic/ZM47JDwyr+uvv94FQQImtSgEiLa2NnvjjTfceV2XXHKJnXrqqa7mcMSIEXb55Ze7c8IuvPBC1xT90Ucfufn1B38zmADpl4n5XnnllXbBBRe4ZSK4nn/++a7gJzjwmgxjumuvvdbV/LBchdYTGhsbbfr06a6f97bpppvafffd55rTd911V/ca/O3mbKxHwhLny7G+mC9NsrzWSSed5MINQYJ1wnpnGRlOMzTrnNpVpmEdg+W48847bamllrKHHnrIvQfm54O9X87ll1/e/vWvf9kaa6zh5nfbbbe599bX+Y8ZM8a9P/aHQu/X7yc8h2180UUX9fgb4v3ZJvmWv7ftlO3LL790++EVV1zhmoUXXXRR14+5sS6oSeQLGc8D8+Y1eC1ek9dmGVgWj9rNv//977bEEku41xQpBgqQIiWGQo7mXkIKQYnCfYcddnCFGAUeYW/06NFuWprOxo0b5wpMb5999nEBjedSA7Xyyiu72r4ZM2a4AnzPPfd053mB8+9oOv3ss8/cY8IiFzHw+qAw5bVHjhzpHhMU6Of8rzmBgpeQRi0Wy4wVVljBFl54YXv//fczhbhfXrpbbLGFW+ZC6ynb4osv7mprKyoq3LSEnYaGhh41b97w4cNd4OH9E2BYh5tssokLCKzz1Vdf3QUdLnx58cUX3blv1HgxjmU68MADXUBinYMmapab8UsuuaSb34QJE9y43vRl/muttZarYeM8SvT2fhlOrSLvh/Fxs7NNckmyncC+ve+++7rpWP+8b16XZZ/b64J5Mm9eg9fiNXltloFl8QjEhGsuomF+IsVAAVKkxBDOKFyp6aAZkBs1JhTUFNI0O9PkRk0H53TRTEewBBcHLLDAAq4fTF9TU+Oa16hxoZA78cQTM/OloCYIUTCC1/BhETTf0RxIcyXN2IRTas5o2u4vloMaN4JZS0uL66cJ1y8TNUQEXgpipqFwP/LII10oiNemFlpP2agtOu6441yzKNPRnMrzfdNnNuZBYIjLFwyYD+vMBxYQQFlHvoYze3wSfZk/y0rY8np7v+wT/ktIttnZJrkk2U5g2Xh/ucztdcE8mXd8eXhtloF5eK+++qr7Ylbo4hyRuU0BUqTEUAhRo/O///3PNQP621FHHeXGU4P1z3/+0zWHEiBpTqQ5GxR21K54vmmbgp8bheuf//znbvPl/C5qZXKhifKpp55yTdrUStGM19tFCL155513XLMhNVIsEwX48ccf322ZuHH+GzVCnHvG+YisD2r+TjjhBBcKeltPcSw/NUw0nzIN6yC72ba/WA7WOzV3HiHMr/PZ1Z/5z877nZ1tkkuS7dSbebEuuPEaHq/NMrAsHjWcg+GCLSktCpAiJWa99dZzNTqvv/56NCS8CIRmZgIhAYzaE2oNV1xxRfebdpz7BYZTUPrmOc7l43wyrhSl1oSf0eEcSV8gEi6ZJl5AFsJ5gVwsAQpSmvGYf19Qm0Nt6e9+9ztXo8VyU5vDT+1w8YNvgvTvkVpTblywwDCmZfmpXaIZtdB6KoT3/Mgjj2TW2eyiyTS+HKxLggrBinWeRG1trS2yyCKuRov3jNmdf9L3OzvbJNfy93c75TK31wXzZN68hv+M8NosA8sChnOep37/UYqNAqRIiaG25Oijj7bTTjvNNRFy46pQangIYZzwzzlkNMftvPPOVllZ6S4SALUinK9GEyNXWtPMyFWnK620kqs54lwuapf886lJuvfee7vV6MRx7h5Bj+Y/zonjtZdbbjk3joKTiyZuuukm9zgX3gcBgxvnjlGDSYDkPEt/vhnLwJXNNHHyGttvv727QIX505RKEynrgOXlB555zzSjFlpP2bhqmppUrgDmdXi/+ZpJk2L98LpcWME6Z/mYP8uafU5db5h+7733tscee8ytB0434By+pPOf3ffb322Sa/k5j7Kv26k3/VnXs7MumCfz5jm8Fq/Ja7MMLAuo8efKby74ESkmqY2232tgf21Xikf0jb1rg3dGg4I79587hsVv6bAbfLP2/a88dZ97tgx+viYxu8mN7UzBxXDfdMdf76BZkEKbwMh4AqU/vzGOmhhql7hoJtf4bARXajfnVLNvLrnek8drsy4o+HMFhVzriaZ93j8BwqP2jACdr7lzds2p+ft1kb39ks5/dpenv9sk3/Ln25/7Y26vC95vdtN1sVpr4+3dNkmlyiwVrP9Mv+uGt+DO+Md/7hgUPYjuA+FAGaRUAylSwihocxW2FACEv3yFoR+fLxwyfNSoUX0Kj6Cpck4U+oUUek8MY5wr+HKIrydCCk3r/FQOvzkZR+Hf3wDRF3Nq/vm2X9L5z+7y9Heb5Fv+fPtzf8ztdcFzmYfIYKEAKSJ9wnlonMyf9Ly7oYZz9fjNP35ShYs+RERKkZqwS0lnuKm7NjhN1GE3/M+db7r2NzVhi4hIFzVhC1QDKSIiIiKJKECKiIiISCIKkJKAmhtERAQqD0qdAqSIiIiIJKIAKSIiIiKJKECWuEKNEGqgEBGRvlBZUnoUIKUg9zMMdPVzCyIiEuPLBV9OSGlRgJRexQ8NOkyIiJQ2lQkCBUjpM1VCiogIVB6IAqQkpKOGiEhpUzkgCpAlqc8f/cyEvkcHDRERQVa50MfiQaXI0KEAWdKyDgBeobYJffpFREpboXKgR/nhH6vwGGoUIEtJgpNWwqvrglvU0QkvIiLSDeWCLyOCu0S/1qEyZdBTgJSM8KcYevtQp6wjnY76RUSklITH/97LCf20z9CnAFnq/Gc81u3+sQ8PBAzj2yVfGidPnhKOEhGRksLx31U8Uh4Ej/295/r8w+yuDCkKkFLws91zXMomvvtB1C8iIqUkPP53LxmSlSEyVChASmF8+t0tuOMWeOb5l1xXRERKS+b478sEVz6Eg6S0KEBKDuGBIXMhTezowLC7739E50GKiJQYjvsc/7tfLBOWEW5YpsyQUqAAWfL8hz3suvNZwv8Z9DPcjQtMn9Fgl191g+sXEZHSwHGf4z98mZBdVnDXNTS7K0OJAmSpib45dvs49/YZZ3jmFhwagts/Lr3C3p74LmNFRGSI43jPcT9T0xgvF3Lxw2PjM71ROSSDmwKkOD0/zsGQKCzSH//nP/y/O/3P9s23k1y/iIgMTRznOd47lAuxf658oEyIyoq47o9kqFGAlID/mHMQ4L/vxrgDBN2oEzz+4KNP7fCjf6uaSBGRIYrjO8d5jvcc9125EJUFYWgM+eG+/IjuYl0ZahQgS1H0oe/2sQ4e9PyYMzD6dukeRf3Rjf4Pg4PKfoccYf++4jpdWCMiMkRwPOe4zvGd43z2sZ9/yAyPHnvuUWxQptdNK0NBaqPt9+qM+qWUdIabvWvjB33h/9g4BgT3/jHd6LH7F3vM1COGD7edttvSxq2/jo1dYVmbf/75rLxM31FERIodgZEfCed3Hsc/96K72npGAxfMdFUc+OAYf4zMYx8TXT/dzJ0f48bJ0KAAWapc6CP2xREI+d+96/oyQTF4RJfH0XDXHx/nnsdYNyDsumGuJ+h09YuIyFwU5LeuoBfehZ2urhsWBb14WHRTRP1+XNjPcP5370Z3TqYveq4MfgqQpSoKfOjWF/6P9XMXC4PR8+IhMu94N849Cjvw4909uvpERGSghMEtO8hl7l1P93DINOFgutHjguPdA9/xd9F9JHq+DH4KkKUsCnPo1uf+h91wCP09Q6LvD8d3TReOiqZhqOuNHvvBUU/moYiIDJiu2Bb1ZQYQCsOuu/cBLxYKXR/Do3E5w6Pr57+7Cx9k7iPR82VoUIAsZZmQlx3kgkfuf6zrBkd9dP1z3bDYdOEEUcfdd02b4Ye7Th4FR4qISE75Q1pXfus+TffQ6Hqi//FucGMMXT+dHxZOlOlGd05XXyCaXoYGBchSF0tx3frC/7H+8FEYGMNu2KHrJgin8V03MryLHgW9mb5uegZMERGZUzIBMVsmAEb30WS5AmGPkJl5bmyasOPvovtIvmWQQUsBstRlhbeuR0Ff+D/WHz7qHh67utFE0VSZnqCT6fF3Gd0fiYjIQOgZ34Ih0cAo+kWPcwRBHxZjIdJ1GO96ewmPUIAcchQgJUhxXbtAj3gX/s/0h32+P4qGPYIkwmmiMe7ed+Ji9ZMiIjJAMiExLjOoZwBEj1pH7t1/Pzy8izr+zunqCyg8DkkKkBLqT4gMe9xd2ImGBXI3SwfDsgbnmkpEROasHhEuK/B53Zq7s4Jj2JfpcXdRx985XX0BhcchSwFSuvQSIsO+TE/UiT8O+8PeaHiMznUUESke3cKilwmNCPqiB92DY/bjqD/Q1RdQeBzSFCClS1bAy/ko6IR9mR6nW1O06+16HBsTPOj2SERE5oVYuOse84JHsQHxOBn2xmsd0TU+NmVIAXJIU4CUnvLWRCIYEg0MO90eOD3DJGLDRESkSEQhL5b1eoZGxIa6ntg0gW6PFBxLggKk9JSr+TnqhqJH3Trdh8V1C5QiIlJUugVGLzMoOziia/oczwwG5hwqQ4wCpORXsEkb0ZDunUDWlD2fKCIixaJH3gsHZAb37HF6Pq3HEBnCFCClsF5rI71oaNbIvj5bRETmpt7CYNTtOSbHkIDCY4kx+3+m63e7XZDPNgAAAABJRU5ErkJggg=="/&gt;                                                                           &lt;/strong&gt;
&lt;/li&gt;
&lt;li&gt;&lt;strong&gt;Após a confirmação aparecerá a seguinte mensagem abaixo:                                                                    &lt;img src="https://atendimento.teconline.com.br/hc/article_attachments/34518269165453"/&gt;&lt;/strong&gt;&lt;/li&gt;
&lt;/ol&gt;
&lt;p&gt;&lt;strong&gt;Vantagens:&lt;/strong&gt;&lt;/p&gt;
&lt;ul&gt;
&lt;li&gt;
&lt;strong&gt;Agilidade:&lt;/strong&gt; Seja notificado sobre novas vagas e agende seu serviço rapidamente.&lt;/li&gt;
&lt;li&gt;
&lt;strong&gt;Eficiência:&lt;/strong&gt; Evite consultas constantes no Teconline e otimize seu tempo.&lt;/li&gt;
&lt;/ul&gt;
&lt;p&gt;&lt;strong&gt;Regras:&lt;/strong&gt;&lt;/p&gt;
&lt;ul&gt;
&lt;li&gt;Você pode reservar apenas uma vaga por hora.&lt;/li&gt;
&lt;li&gt;Ao tentar realizar uma reserva o sistema apresentará a mensagem abaixo, orientando sobre o monitoramento ativo e com a opção para cancelar a reserva atual e entre na fila novamente.&lt;/li&gt;
&lt;/ul&gt;
&lt;p&gt;&lt;img src="https://atendimento.teconline.com.br/hc/article_attachments/34518269169421"/&gt;&lt;/p&gt;
&lt;p&gt; &lt;/p&gt;
&lt;p&gt;Caso ainda hajam dúvidas, entre em contato com o nosso atendimento ao cliente pelos meios abaixo:&lt;br/&gt;E-mail: &lt;span&gt;atendimento.tcrg@wilsonsons.com.br&lt;/span&gt;&lt;/p&gt;
&lt;p&gt;Telefone: (53) 32343030&lt;/p&gt;
&lt;p&gt;WhatsApp: (53) 32343030&lt;/p&gt;
&lt;p&gt;&lt;span&gt;&lt;span&gt;Chat: &lt;/span&gt;&lt;a href="https://atendimento.teconline.com.br/"&gt;&lt;span&gt;https://atendimento.teconline.com.br&lt;/span&gt;&lt;/a&gt;&lt;span&gt; e &lt;/span&gt;&lt;a href="http://www.teconline.com.br/"&gt;&lt;span&gt;http://www.teconline.com.br&lt;/span&gt;&lt;/a&gt;&lt;/span&gt;&lt;/p&gt;</t>
  </si>
  <si>
    <t>https://wilsonsonstrg.zendesk.com/api/v2/help_center/pt-br/articles/360038007532.json</t>
  </si>
  <si>
    <t>https://atendimento.teconline.com.br/hc/pt-br/articles/360038007532-Lan%C3%A7amento-de-nota-fiscal-bagagem-Exporta%C3%A7%C3%A3o</t>
  </si>
  <si>
    <t>Lançamento de nota fiscal bagagem - Exportação</t>
  </si>
  <si>
    <t>['ade', 'nota fiscal', 'nota fiscal ade', 'nota no nome do cliente', 'bagagem', 'nota em nome do cliente', 'pessoa física', 'cadastro de nota', 'lançamento de nota fiscal', 'lançar bagagem', 'cadastro nf']</t>
  </si>
  <si>
    <t>&lt;p&gt;O processo de bagagem não possui nota fiscal, porém é indispensável o lançamento dos dados referentes a carga. Para tal, favor seguir o procedimento listado abaixo:&lt;/p&gt;
&lt;p&gt; &lt;/p&gt;
&lt;p&gt;Link da opção: &lt;a href="http://www.teconline.com.br/agendamento-nota-fiscal/cadastro" target="_blank"&gt;Clique aqui.&lt;/a&gt;&lt;/p&gt;
&lt;p&gt;&lt;img alt="01.PNG" src="https://atendimento.teconline.com.br/hc/article_attachments/360090262751/01.PNG"/&gt;&lt;/p&gt;
&lt;p&gt; &lt;/p&gt;
&lt;p&gt;&lt;strong&gt;&lt;u&gt;Lançamento manual&lt;/u&gt;&lt;/strong&gt;&lt;/p&gt;
&lt;p&gt;1. Selecionar a opção "Nova Nota Fiscal"   &lt;/p&gt;
&lt;p&gt;&lt;img alt="02.PNG" src="https://atendimento.teconline.com.br/hc/article_attachments/360090262871/02.PNG"/&gt;&lt;/p&gt;
&lt;p&gt; &lt;/p&gt;
&lt;p&gt;2. Selecionar a opção "Bagagem"   &lt;/p&gt;
&lt;p&gt;&lt;img alt="03.PNG" src="https://atendimento.teconline.com.br/hc/article_attachments/360090263051/03.PNG"/&gt;&lt;/p&gt;
&lt;p&gt; &lt;/p&gt;
&lt;p&gt;3. Preencher os campos abaixo:&lt;/p&gt;
&lt;p&gt;      - Nro. DUE&lt;/p&gt;
&lt;p&gt;      - Quantidade total&lt;/p&gt;
&lt;p&gt;      - Peso total (bruto)&lt;/p&gt;
&lt;p&gt;      - Transportadora&lt;/p&gt;
&lt;p&gt;      - Emissão e Saída&lt;/p&gt;
&lt;p&gt;      - Valor total         &lt;/p&gt;
&lt;p&gt;      - Dados do Exportador      &lt;/p&gt;
&lt;p&gt;     &lt;img alt="mceclip3.png" height="65" src="https://atendimento.teconline.com.br/hc/article_attachments/360046248592/mceclip3.png" width="606"/&gt;&lt;/p&gt;
&lt;p&gt;&lt;strong&gt;      Observação:&lt;/strong&gt;  Caso  você visualize  a  mensagem  "CNPJ não cadastrado",  favor entrar em contato                com Atendimento Comercial. Para maiores informações, &lt;a href="https://atendimento.teconline.com.br/hc/pt-br/articles/360000323871-Canais-de-Atendimento-ao-Cliente" target="_self"&gt;clique aqui.&lt;/a&gt;&lt;/p&gt;
&lt;p&gt;      - CNPJ/CPF do Destinatário &lt;/p&gt;
&lt;p&gt;      - Razão Social do Destinatário &lt;/p&gt;
&lt;p&gt;      - Inscrição&lt;/p&gt;
&lt;p&gt;      - País (nome de consulta em inglês)&lt;/p&gt;
&lt;p&gt;      - UF&lt;/p&gt;
&lt;p&gt;      - Cliente Estrangeiro&lt;/p&gt;
&lt;p&gt;      - Container e Booking         &lt;/p&gt;
&lt;p&gt;&lt;img alt="05.PNG" height="144" src="https://atendimento.teconline.com.br/hc/article_attachments/360090291232/05.PNG" width="631"/&gt;     &lt;/p&gt;
&lt;p&gt;      Para realizar o lançamento de mais containers, favor selecionar "Adicionar"     &lt;/p&gt;
&lt;p&gt;     - NCM&lt;/p&gt;
&lt;p&gt;     &lt;img alt="mceclip5.png" height="105" src="https://atendimento.teconline.com.br/hc/article_attachments/360046344991/mceclip5.png" width="662"/&gt;&lt;/p&gt;
&lt;p&gt;     - Selecionar a opção "Salvar" no canto inferior direito da Página&lt;/p&gt;
&lt;p&gt;     &lt;img alt="mceclip6.png" height="74" src="https://atendimento.teconline.com.br/hc/article_attachments/360046345031/mceclip6.png" width="104"/&gt;&lt;/p&gt;
&lt;p&gt;&lt;strong&gt;     Observação&lt;/strong&gt;: Após realizar o procedimento acima mencionado, você irá visualizar a mensagem "Nota       Fiscal Salva Com Sucesso" confirmando o lançamento dos dados.&lt;/p&gt;
&lt;p&gt; &lt;/p&gt;
&lt;p&gt;&lt;strong&gt;Alerta: &lt;/strong&gt;Após o ingresso da unidade no terminal, não será possível alterar as informações lançadas.&lt;/p&gt;
&lt;p&gt; &lt;/p&gt;
&lt;p&gt;&lt;strong&gt; Imagens operacionalizando&lt;/strong&gt;&lt;/p&gt;
&lt;p&gt;&lt;img alt="B2B-BAGAGEM.gif" src="https://atendimento.teconline.com.br/hc/article_attachments/360090266511/B2B-BAGAGEM.gif"/&gt;&lt;/p&gt;</t>
  </si>
  <si>
    <t>https://wilsonsonstrg.zendesk.com/api/v2/help_center/pt-br/articles/360038007032.json</t>
  </si>
  <si>
    <t>https://atendimento.teconline.com.br/hc/pt-br/articles/360038007032-Lan%C3%A7amento-de-Nota-Fiscal-Exporta%C3%A7%C3%A3o</t>
  </si>
  <si>
    <t>Lançamento de Nota Fiscal - Exportação</t>
  </si>
  <si>
    <t>['NOTA fiscal', 'ade', 'nota fiscal ade', 'lançar nota fiscal', 'lançar nf', 'nota do agendamento', 'xml do agendamento', 'como lançar nota', 'carregar nota', 'importar o xml', 'cadastro nf']</t>
  </si>
  <si>
    <t>&lt;p&gt;Segue abaixo o procedimento para cadastro da nota fiscal de exportação. Lembrando que o seu lançamento é obrigatório para a entrega do container.&lt;/p&gt;
&lt;p&gt;Link da opção: &lt;a href="http://www.teconline.com.br/agendamento-nota-fiscal" target="_blank"&gt;Clique aqui&lt;/a&gt;&lt;/p&gt;
&lt;p&gt;&lt;img alt="01A.PNG" src="https://atendimento.teconline.com.br/hc/article_attachments/360090801792/01A.PNG"/&gt;&lt;/p&gt;
&lt;p&gt;&lt;strong&gt;Alerta:&lt;/strong&gt; O lançamento pode ser realizado de forma manual ou através da importação do arquivo da Nota Fiscal (xml)&lt;/p&gt;
&lt;p&gt; &lt;/p&gt;
&lt;p&gt;&lt;strong&gt;&lt;u&gt;Lançamento por importação do arquivo xml&lt;/u&gt;&lt;/strong&gt;&lt;/p&gt;
&lt;p&gt;1. Selecionar a opção "Inserir XML"         &lt;/p&gt;
&lt;p&gt;&lt;img alt="02.PNG" src="https://atendimento.teconline.com.br/hc/article_attachments/360090768731/02.PNG"/&gt;&lt;/p&gt;
&lt;p&gt; &lt;/p&gt;
&lt;p&gt;2. Selecionar a opção "Escolher Arquivo" e localizar o arquivo XML                   &lt;/p&gt;
&lt;p&gt;&lt;img alt="03.PNG" src="https://atendimento.teconline.com.br/hc/article_attachments/360090801912/03.PNG"/&gt;&lt;/p&gt;
&lt;p&gt; &lt;/p&gt;
&lt;p&gt;3. Selecionar a opção "Carregar"          &lt;/p&gt;
&lt;p&gt;&lt;img alt="04.PNG" src="https://atendimento.teconline.com.br/hc/article_attachments/360090769451/04.PNG"/&gt;&lt;/p&gt;
&lt;p&gt; &lt;/p&gt;
&lt;p&gt;4. Os campos serão preenchidos automaticamente, restando apenas os itens abaixo para         preenchimento manual:&lt;/p&gt;
&lt;p&gt;      A ) Transportadora&lt;/p&gt;
&lt;p&gt;     &lt;img alt="mceclip4.png" src="https://atendimento.teconline.com.br/hc/article_attachments/360046247372/mceclip4.png"/&gt; &lt;/p&gt;
&lt;p&gt;     B )  Container e Booking&lt;/p&gt;
&lt;p&gt;     &lt;img alt="mceclip5.png" height="112" src="https://atendimento.teconline.com.br/hc/article_attachments/360046247432/mceclip5.png" width="637"/&gt;&lt;/p&gt;
&lt;p&gt;     C ) Emissão e Saída&lt;/p&gt;
&lt;p&gt;    &lt;img alt="mceclip6.png" height="60" src="https://atendimento.teconline.com.br/hc/article_attachments/360046247452/mceclip6.png" width="646"/&gt;&lt;/p&gt;
&lt;p&gt;     D ) CNPJ do Emissor&lt;/p&gt;
&lt;p&gt;    &lt;img alt="mceclip7.png" height="56" src="https://atendimento.teconline.com.br/hc/article_attachments/360046247492/mceclip7.png" width="643"/&gt;&lt;/p&gt;
&lt;p&gt;&lt;strong&gt;    Observação:&lt;/strong&gt;  Caso você visualize a mensagem "CNPJ não cadastrado", favor entrar em contato com          o Atendimento Comercial. Para maiores informações, &lt;a href="https://atendimento.teconline.com.br/hc/pt-br/articles/360000323871-Canais-de-Atendimento-ao-Cliente" target="_self"&gt;clique aqui.&lt;/a&gt;&lt;/p&gt;
&lt;p&gt;     E ) UF&lt;/p&gt;
&lt;p&gt; &lt;/p&gt;
&lt;p&gt;     5. Selecionar a opção "Salvar" no canto direito inferior da Página. &lt;/p&gt;
&lt;p&gt;&lt;img alt="05.PNG" height="87" src="https://atendimento.teconline.com.br/hc/article_attachments/360090769651/05.PNG" width="157"/&gt;&lt;/p&gt;
&lt;p&gt;    &lt;/p&gt;
&lt;p&gt; &lt;/p&gt;
&lt;p&gt;&lt;strong&gt;&lt;u&gt;Lançamento manual&lt;/u&gt;&lt;/strong&gt;&lt;/p&gt;
&lt;p&gt;1. Selecionar a opção "Nova Nota Fiscal"   &lt;/p&gt;
&lt;p&gt;&lt;img alt="07.PNG" src="https://atendimento.teconline.com.br/hc/article_attachments/360090769771/07.PNG"/&gt;&lt;/p&gt;
&lt;p&gt;2. Preencher os campos abaixo:&lt;/p&gt;
&lt;p&gt;      - Chave NFe&lt;/p&gt;
&lt;p&gt;      - Nota&lt;/p&gt;
&lt;p&gt;      - Série&lt;/p&gt;
&lt;p&gt;      - Quantidade total&lt;/p&gt;
&lt;p&gt;      - Peso total (bruto)&lt;/p&gt;
&lt;p&gt;      - Transportadora&lt;/p&gt;
&lt;p&gt;      - Emissão e Saída&lt;/p&gt;
&lt;p&gt;      - Valor total         &lt;/p&gt;
&lt;p&gt;      - Dados do Exportador&lt;/p&gt;
&lt;p&gt;      &lt;img alt="mceclip10.png" height="50" src="https://atendimento.teconline.com.br/hc/article_attachments/360046343971/mceclip10.png" width="593"/&gt;&lt;/p&gt;
&lt;p&gt;&lt;strong&gt;      Observação:&lt;/strong&gt; Caso você visualize a mensagem "CNPJ não cadastrado", favor entrar em contato com Atendimento Comercial. Para maiores informações, &lt;a href="https://atendimento.teconline.com.br/hc/pt-br/articles/360000323871-Canais-de-Atendimento-ao-Cliente" target="_self"&gt;clique aqui.&lt;/a&gt; &lt;/p&gt;
&lt;p&gt;      - CNPJ do Destinatário&lt;/p&gt;
&lt;p&gt;       - Razão Social do Destinatário&lt;/p&gt;
&lt;p&gt;       - Inscrição&lt;/p&gt;
&lt;p&gt;       - País (nome de consulta em inglês)&lt;/p&gt;
&lt;p&gt;       - UF&lt;/p&gt;
&lt;p&gt;       - Cliente Estrangeiro&lt;/p&gt;
&lt;p&gt;       - Container e Booking         &lt;/p&gt;
&lt;p&gt;       &lt;img alt="mceclip11.png" height="98" src="https://atendimento.teconline.com.br/hc/article_attachments/360046344151/mceclip11.png" width="567"/&gt;&lt;/p&gt;
&lt;p&gt;       Para realizar o lançamento de mais containers, favor selecionar "Adicionar"     &lt;/p&gt;
&lt;p&gt;      - NCM&lt;/p&gt;
&lt;p&gt;      &lt;img alt="mceclip12.png" height="96" src="https://atendimento.teconline.com.br/hc/article_attachments/360046344331/mceclip12.png" width="640"/&gt;&lt;/p&gt;
&lt;p&gt;      - Selecionar a opção "Salvar" no canto inferior direito da Página&lt;/p&gt;
&lt;p&gt;&lt;img alt="05.PNG" height="104" src="https://atendimento.teconline.com.br/hc/article_attachments/360090769891/05.PNG" width="186"/&gt;&lt;/p&gt;
&lt;p&gt;     &lt;/p&gt;
&lt;p&gt;&lt;strong&gt;     Observação&lt;/strong&gt;: Após realizar o procedimento acima mencionado, você irá visualizar a mensagem "Nota       Fiscal Salva Com Sucesso" confirmando o lançamento dos dados.&lt;/p&gt;
&lt;p&gt; &lt;/p&gt;
&lt;p&gt;&lt;strong&gt;Alerta: &lt;/strong&gt;Após o ingresso da unidade no terminal, não será possível alterar as informações lançadas.&lt;/p&gt;
&lt;p&gt; &lt;/p&gt;
&lt;p&gt;&lt;strong&gt; Imagens operacionalizando&lt;/strong&gt;&lt;/p&gt;
&lt;p&gt;&lt;strong&gt;&lt;img alt="LAN_AR-NFE-ADE.gif" src="https://atendimento.teconline.com.br/hc/article_attachments/360090803092/LAN_AR-NFE-ADE.gif"/&gt;&lt;/strong&gt;&lt;/p&gt;
&lt;p&gt; &lt;/p&gt;
&lt;p&gt; &lt;/p&gt;
&lt;p&gt;   &lt;/p&gt;
&lt;p&gt;     &lt;/p&gt;</t>
  </si>
  <si>
    <t>https://wilsonsonstrg.zendesk.com/api/v2/help_center/pt-br/articles/360038374511.json</t>
  </si>
  <si>
    <t>https://atendimento.teconline.com.br/hc/pt-br/articles/360038374511-Agendamento-de-Retirada-de-Vazios-de-Importa%C3%A7%C3%A3o</t>
  </si>
  <si>
    <t>Agendamento de Retirada de Vazios de Importação</t>
  </si>
  <si>
    <t>['container', 'agendamento', 'vazio', 'container vazio', 'cntr', 'vz', 'retirada de vazio', 'puxe', 'puche', 'depot', 'vazio para o depot', 'agendamento de vazio']</t>
  </si>
  <si>
    <t>&lt;p&gt;Segue descrito abaixo o procedimento. &lt;/p&gt;
&lt;p&gt;&lt;img alt="01.PNG" src="https://atendimento.teconline.com.br/hc/article_attachments/4410849234957/01.PNG"/&gt;&lt;/p&gt;
&lt;p&gt; &lt;/p&gt;
&lt;p&gt;1) Utilizar a opção “Novo Agendamento”&lt;/p&gt;
&lt;p&gt;&lt;img alt="02.PNG" src="https://atendimento.teconline.com.br/hc/article_attachments/4410859480205/02.PNG"/&gt;&lt;/p&gt;
&lt;p&gt; &lt;/p&gt;
&lt;p&gt;2) Selecionar em “Tipo” a faina desejada&lt;/p&gt;
&lt;p&gt;&lt;img alt="03.PNG" src="https://atendimento.teconline.com.br/hc/article_attachments/4410859551245/03.PNG"/&gt;&lt;/p&gt;
&lt;p&gt; &lt;/p&gt;
&lt;p&gt;3) Dados do motorista e do veículo&lt;/p&gt;
&lt;p&gt;&lt;img alt="mceclip3.png" src="https://atendimento.teconline.com.br/hc/article_attachments/360046246672/mceclip3.png"/&gt;&lt;/p&gt;
&lt;p&gt;&lt;u&gt;CNH&lt;/u&gt;: Número da CNH do motorista que irá realizar a entrega da unidade.&lt;/p&gt;
&lt;p&gt;&lt;u&gt;Transportadora&lt;/u&gt;: Empresa transportadora vinculada ao login e senha.&lt;/p&gt;
&lt;p&gt;&lt;u&gt;Placa cavalo&lt;/u&gt;: Placa do veículo caminhão que irá realizar a entrega da unidade.&lt;/p&gt;
&lt;p&gt;&lt;u&gt;Placa Carreta 1&lt;/u&gt;: Placa da carreta em que será realizada a entrega da unidade.&lt;/p&gt;
&lt;p&gt;&lt;u&gt;Placa Carreta 2&lt;/u&gt;: Placa informada somente se o veículo for Rodotrem (Bitrem).&lt;/p&gt;
&lt;p&gt; &lt;/p&gt;
&lt;p&gt;4) Dados da Retirada&lt;/p&gt;
&lt;p&gt;&lt;img alt="04.PNG" src="https://atendimento.teconline.com.br/hc/article_attachments/4410849280269/04.PNG"/&gt;&lt;/p&gt;
&lt;p&gt;&lt;u&gt;Armador&lt;/u&gt;: Selecionar o armador&lt;/p&gt;
&lt;p&gt;&lt;u&gt;Operação:&lt;/u&gt; Selecionar a operação do navio&lt;/p&gt;
&lt;p&gt;&lt;u&gt;Tipo&lt;/u&gt;: Selecionar o tipo de container cadastrado para o armador&lt;/p&gt;
&lt;p&gt;&lt;u&gt;Quantidade Disponível&lt;/u&gt;: Quantidade de containers liberados para o armador e tipo.&lt;/p&gt;
&lt;p&gt;&lt;u&gt;Quantidade&lt;/u&gt;: Digitar a quantidade de unidades para retirada.&lt;/p&gt;
&lt;p&gt; &lt;/p&gt;
&lt;p&gt;5) Data e horário para entrega&lt;/p&gt;
&lt;p&gt;&lt;img alt="05.PNG" src="https://atendimento.teconline.com.br/hc/article_attachments/4410849296013/05.PNG"/&gt;&lt;/p&gt;
&lt;p&gt;&lt;u&gt;Data de Agendamento&lt;/u&gt;: Data para entrega da unidade&lt;/p&gt;
&lt;p&gt;&lt;u&gt;Hora Agendamento&lt;/u&gt;: Horário para entrega da unidade&lt;/p&gt;
&lt;p&gt;* Horários com Ícone Vermelho – Sem vagas disponíveis&lt;/p&gt;
&lt;p&gt;* Horários com Ícone Verde – Com vagas disponíveis&lt;/p&gt;
&lt;p&gt;* Se desejar informações para Saldo de Vagas, &lt;a href="https://atendimento.teconline.com.br/hc/pt-br/articles/360038044552" target="_self"&gt;Clique aqui.&lt;/a&gt;&lt;/p&gt;
&lt;p&gt; &lt;/p&gt;
&lt;p&gt;6) Finalizar agendamento &lt;/p&gt;
&lt;p&gt;Este é último passo do agendamento. Ao confirmar você deve visualizar a mensagem "Agendamento realizado com sucesso" e, posteriormente, receberá em seu email o Bat Eletrônico com os dados inseridos.&lt;/p&gt;
&lt;p&gt; &lt;/p&gt;
&lt;p&gt;&lt;strong&gt; Imagens operacionalizando&lt;/strong&gt;&lt;/p&gt;
&lt;p&gt;&lt;strong&gt;&lt;img alt="VAZIO_IMPORTA__O.gif" src="https://atendimento.teconline.com.br/hc/article_attachments/4410860476813/VAZIO_IMPORTA__O.gif"/&gt;&lt;/strong&gt;         &lt;/p&gt;
&lt;p&gt; &lt;/p&gt;</t>
  </si>
  <si>
    <t>https://wilsonsonstrg.zendesk.com/api/v2/help_center/pt-br/articles/360038006272.json</t>
  </si>
  <si>
    <t>https://atendimento.teconline.com.br/hc/pt-br/articles/360038006272-Agendamento-de-Retirada-de-Vazio-Barca%C3%A7a</t>
  </si>
  <si>
    <t>Agendamento de Retirada de Vazio Barcaça</t>
  </si>
  <si>
    <t>&lt;p&gt;Segue descrito abaixo o procedimento. &lt;/p&gt;
&lt;p&gt;&lt;img alt="001.png" src="https://atendimento.teconline.com.br/hc/article_attachments/360052089411/001.png"/&gt;&lt;/p&gt;
&lt;p&gt; &lt;/p&gt;
&lt;p&gt;1) Utilizar a opção “Novo Agendamento”&lt;/p&gt;
&lt;p&gt;&lt;img alt="002.png" src="https://atendimento.teconline.com.br/hc/article_attachments/360052089451/002.png"/&gt;&lt;/p&gt;
&lt;p&gt; &lt;/p&gt;
&lt;p&gt;2) Selecionar em “Tipo” a faina desejada&lt;/p&gt;
&lt;p&gt;&lt;img alt="003.PNG" src="https://atendimento.teconline.com.br/hc/article_attachments/360052089611/003.PNG"/&gt;&lt;/p&gt;
&lt;p&gt; &lt;/p&gt;
&lt;p&gt;3) Dados do motorista e do veículo&lt;/p&gt;
&lt;p&gt;&lt;img alt="mceclip3.png" src="https://atendimento.teconline.com.br/hc/article_attachments/360046342771/mceclip3.png"/&gt;&lt;/p&gt;
&lt;p&gt;&lt;u&gt;CNH&lt;/u&gt;: Número da CNH do motorista que irá realizar a entrega da unidade.&lt;/p&gt;
&lt;p&gt;&lt;u&gt;Transportadora&lt;/u&gt;: Empresa transportadora vinculada ao login e senha.&lt;/p&gt;
&lt;p&gt;&lt;u&gt;Placa cavalo&lt;/u&gt;: Placa do veículo caminhão que irá realizar a entrega da unidade.&lt;/p&gt;
&lt;p&gt;&lt;u&gt;Placa Carreta 1&lt;/u&gt;: Placa da carreta em que será realizada a entrega da unidade.&lt;/p&gt;
&lt;p&gt;&lt;u&gt;Placa Carreta 2&lt;/u&gt;: Placa informada somente se o veículo for Rodotrem (Bitrem).&lt;/p&gt;
&lt;p&gt; &lt;/p&gt;
&lt;p&gt;4) Dados da Retirada&lt;/p&gt;
&lt;p&gt;&lt;img alt="mceclip0.png" src="https://atendimento.teconline.com.br/hc/article_attachments/360051966312/mceclip0.png"/&gt;&lt;/p&gt;
&lt;p&gt;&lt;u&gt;Armador&lt;/u&gt;: Selecionar o armador&lt;/p&gt;
&lt;p&gt;&lt;u&gt;Operação:&lt;/u&gt; Selecionar a operação de barcaça&lt;/p&gt;
&lt;p&gt;&lt;u&gt;Tipo&lt;/u&gt;: Tipo de container cadastrado para o armador&lt;/p&gt;
&lt;p&gt;&lt;u&gt;Quantidade Disponível&lt;/u&gt;: Quantidade de containers liberados para o armador e tipo.&lt;/p&gt;
&lt;p&gt;&lt;u&gt;Quantidade&lt;/u&gt;: Digitar a quantidade de unidades para retirada.&lt;/p&gt;
&lt;p&gt; &lt;/p&gt;
&lt;p&gt;5) Data e horário para entrega&lt;/p&gt;
&lt;p&gt;&lt;img alt="004.PNG" src="https://atendimento.teconline.com.br/hc/article_attachments/360051966592/004.PNG"/&gt;&lt;/p&gt;
&lt;p&gt;&lt;u&gt;Data de Agendamento&lt;/u&gt;: Data para entrega da unidade&lt;/p&gt;
&lt;p&gt;&lt;u&gt;Hora Agendamento&lt;/u&gt;: Horário para entrega da unidade&lt;/p&gt;
&lt;p&gt;* Horários com Ícone Vermelho – Sem vagas disponíveis&lt;/p&gt;
&lt;p&gt;* Horários com Ícone Verde – Com vagas disponíveis&lt;/p&gt;
&lt;p&gt;* Se desejar informações para Saldo de Vagas, &lt;a href="https://atendimento.teconline.com.br/hc/pt-br/articles/360038044552" target="_self"&gt;Clique aqui.&lt;/a&gt;&lt;/p&gt;
&lt;p&gt; &lt;/p&gt;
&lt;p&gt;6) Finalizar agendamento &lt;/p&gt;
&lt;p&gt;Este é último passo do agendamento. Ao confirmar você deve visualizar a mensagem "Agendamento realizado com sucesso" e, posteriormente, receberá em seu email o Bat Eletrônico com os dados inseridos.&lt;/p&gt;
&lt;p&gt; &lt;/p&gt;
&lt;p&gt;&lt;strong&gt; Imagens operacionalizando&lt;/strong&gt;&lt;/p&gt;
&lt;p&gt;&lt;strong&gt;&lt;img alt="AGENDAMENTO-RETIRADA-BARCA_A.gif" src="https://atendimento.teconline.com.br/hc/article_attachments/360051967272/AGENDAMENTO-RETIRADA-BARCA_A.gif"/&gt;&lt;/strong&gt;&lt;/p&gt;
&lt;p&gt; &lt;/p&gt;
&lt;p&gt; &lt;/p&gt;
&lt;p&gt; &lt;/p&gt;</t>
  </si>
  <si>
    <t>https://wilsonsonstrg.zendesk.com/api/v2/help_center/pt-br/articles/360038373511.json</t>
  </si>
  <si>
    <t>https://atendimento.teconline.com.br/hc/pt-br/articles/360038373511-Consulta-Nota-Fiscal-Exporta%C3%A7%C3%A3o</t>
  </si>
  <si>
    <t>Consulta Nota Fiscal - Exportação</t>
  </si>
  <si>
    <t>['nota fiscal de retorno', 'nf', 'ade', 'xml', 'agendamento', 'como consultar nota', 'nota fiscal ade', 'consulta nota fiscal', 'nota do agendamento', 'xml do agendamento', 'como consultar', 'consultar', 'associada', 'embarcada', 'pendente', 'saída gate', 'chave da nota', 'notas fiscais', 'consultar nota no site', 'status', 'cadastro nf']</t>
  </si>
  <si>
    <t>&lt;p&gt;Segue descrito abaixo o procedimento para consultar notas fiscais &lt;/p&gt;
&lt;p&gt; &lt;/p&gt;
&lt;p&gt;Link da opção: &lt;a href="http://www.teconline.com.br/agendamento-nota-fiscal" target="_blank"&gt;Clique aqui.&lt;/a&gt;&lt;/p&gt;
&lt;p&gt;&lt;img alt="01.PNG" src="https://atendimento.teconline.com.br/hc/article_attachments/360090803532/01.PNG"/&gt;&lt;/p&gt;
&lt;p&gt; &lt;/p&gt;
&lt;p&gt;1. Informar a numeração da DUE ou Nota Fiscal&lt;/p&gt;
&lt;p&gt;&lt;img alt="02.PNG" src="https://atendimento.teconline.com.br/hc/article_attachments/360090771631/02.PNG"/&gt;&lt;/p&gt;
&lt;p&gt; &lt;/p&gt;
&lt;p&gt;2. Selecionar o período de emissão&lt;/p&gt;
&lt;p&gt;&lt;img alt="03.PNG" src="https://atendimento.teconline.com.br/hc/article_attachments/360090771711/03.PNG"/&gt;&lt;/p&gt;
&lt;p&gt; &lt;/p&gt;
&lt;p&gt;3. Opcionalmente, selecionar “Mais Filtros” para disponibilizar mais opções&lt;/p&gt;
&lt;p&gt;&lt;img alt="04.PNG" src="https://atendimento.teconline.com.br/hc/article_attachments/360090771851/04.PNG"/&gt;&lt;/p&gt;
&lt;p&gt; &lt;/p&gt;
&lt;p&gt;4. No campo mais filtros existem outras opções de consultas&lt;/p&gt;
&lt;p&gt;&lt;img alt="05.PNG" src="https://atendimento.teconline.com.br/hc/article_attachments/360090803812/05.PNG"/&gt;&lt;/p&gt;
&lt;p&gt; &lt;/p&gt;
&lt;p&gt;5. Na coluna “Situação” será apresentado o status da nota fiscal&lt;/p&gt;
&lt;p&gt;&lt;img alt="07.PNG" src="https://atendimento.teconline.com.br/hc/article_attachments/360090774171/07.PNG"/&gt;&lt;/p&gt;
&lt;p&gt; &lt;/p&gt;
&lt;p&gt; &lt;/p&gt;
&lt;p&gt;Legenda de ícones&lt;/p&gt;
&lt;ul&gt;
&lt;li&gt;
&lt;img alt="b.PNG" src="https://atendimento.teconline.com.br/hc/article_attachments/360090774251/b.PNG"/&gt;Alteração de informações &lt;/li&gt;
&lt;li&gt;
&lt;img alt="e.PNG" src="https://atendimento.teconline.com.br/hc/article_attachments/360090774471/e.PNG"/&gt; Consulta de informações &lt;/li&gt;
&lt;li&gt;
&lt;img alt="d.PNG" src="https://atendimento.teconline.com.br/hc/article_attachments/360090774411/d.PNG"/&gt; Cancelamento &lt;/li&gt;
&lt;li&gt;
&lt;img alt="c.PNG" src="https://atendimento.teconline.com.br/hc/article_attachments/360090805932/c.PNG"/&gt; Criar uma cópia de Nota Fiscal ou DUE de Bagagem cadastrada, para aproveitamento parcial de informações&lt;/li&gt;
&lt;/ul&gt;
&lt;p&gt; &lt;/p&gt;
&lt;p&gt;&lt;strong&gt;Imagens operacionalizando&lt;/strong&gt;&lt;/p&gt;
&lt;p&gt;&lt;strong&gt;&lt;img alt="CONSULTA-NF-ADE.gif" src="https://atendimento.teconline.com.br/hc/article_attachments/360090774951/CONSULTA-NF-ADE.gif"/&gt;&lt;/strong&gt;&lt;/p&gt;
&lt;p&gt; &lt;/p&gt;
&lt;p&gt; &lt;/p&gt;</t>
  </si>
  <si>
    <t>https://wilsonsonstrg.zendesk.com/api/v2/help_center/pt-br/articles/360038372991.json</t>
  </si>
  <si>
    <t>https://atendimento.teconline.com.br/hc/pt-br/articles/360038372991-Consulta-Booking</t>
  </si>
  <si>
    <t>Consulta Booking</t>
  </si>
  <si>
    <t>['armador', 'quantidade', 'bkg', 'booking', 'consultar booking', 'deadline', 'dead line', 'extensão', 'extenção', 'como vejo um booking', 'iso', 'incio de recebimento', 'abertura de gate', 'situação navio', 'capacidade', 'saldo do booking', '2SSZ', '241ISZ', 'SAOC', '2AIBAK', '2ITJ', 'consulta booking', 'BUA0', 'CUR0', 'LA02', 'LM02', 'P401', 'SAOB', 'BRJ0', 'EBKG0', 'P103', 'RIV0', '83024', '4APOAK', '5APOAK', 'BRSSZ', '91454', '913', '797']</t>
  </si>
  <si>
    <t>&lt;p&gt;Segue descrito abaixo o procedimento para consultar a situação de Booking.&lt;/p&gt;
&lt;p&gt;Link da opção: &lt;a href="http://www.teconline.com.br/booking" target="_blank"&gt;clique aqui.&lt;/a&gt; &lt;/p&gt;
&lt;p&gt;&lt;img alt="01.PNG" src="https://atendimento.teconline.com.br/hc/article_attachments/360090807092/01.PNG"/&gt;&lt;/p&gt;
&lt;p&gt; &lt;/p&gt;
&lt;p&gt;1. Informar o código do booking&lt;/p&gt;
&lt;p&gt;&lt;img alt="02.PNG" src="https://atendimento.teconline.com.br/hc/article_attachments/360090776111/02.PNG"/&gt;&lt;/p&gt;
&lt;p&gt; &lt;/p&gt;
&lt;p&gt;2. Clicar na viagem para obter informações sobre a operação do navio e data de abertura do gate para agendamento.&lt;/p&gt;
&lt;p&gt;&lt;img alt="03.PNG" src="https://atendimento.teconline.com.br/hc/article_attachments/360090776611/03.PNG"/&gt;&lt;/p&gt;
&lt;p&gt; &lt;/p&gt;
&lt;p&gt;3. Na coluna Situação é possível obter o status da operação navio&lt;/p&gt;
&lt;p&gt;&lt;img alt="04.PNG" src="https://atendimento.teconline.com.br/hc/article_attachments/360090776711/04.PNG"/&gt;&lt;/p&gt;
&lt;p&gt; &lt;/p&gt;
&lt;p&gt;4. Na coluna Detalhes, clique no botão &lt;img alt="mceclip4.png" src="https://atendimento.teconline.com.br/hc/article_attachments/360046338831/mceclip4.png"/&gt; para obter maiores informações&lt;/p&gt;
&lt;p&gt;&lt;img alt="05.PNG" src="https://atendimento.teconline.com.br/hc/article_attachments/360090776911/05.PNG"/&gt;&lt;/p&gt;
&lt;p&gt; &lt;/p&gt;
&lt;p&gt;5. Na coluna Containers, clique no número da unidade para a "Consulta Container" da mesma&lt;/p&gt;
&lt;p&gt;&lt;img alt="06.PNG" src="https://atendimento.teconline.com.br/hc/article_attachments/360090807812/06.PNG"/&gt;&lt;/p&gt;
&lt;p&gt; &lt;/p&gt;
&lt;p&gt;&lt;strong&gt;Imagens operacionalizando&lt;/strong&gt;&lt;/p&gt;
&lt;p&gt;&lt;strong&gt;&lt;img alt="CONSULTA-BOOKING.gif" src="https://atendimento.teconline.com.br/hc/article_attachments/360090808112/CONSULTA-BOOKING.gif"/&gt;&lt;/strong&gt;&lt;/p&gt;
&lt;p&gt; &lt;/p&gt;</t>
  </si>
  <si>
    <t>https://wilsonsonstrg.zendesk.com/api/v2/help_center/pt-br/articles/360033823631.json</t>
  </si>
  <si>
    <t>https://atendimento.teconline.com.br/hc/pt-br/articles/360033823631-Solicitar-Despachos-sobre-%C3%81guas-DSA</t>
  </si>
  <si>
    <t>Solicitar Despachos sobre Águas - DSA</t>
  </si>
  <si>
    <t>&lt;p&gt;Para realizar a solicitação de processo de Despacho Sobre Águas, deverá ser utilizado em nosso site o campo "Despachos sobre Águas", antes do navio iniciar a operação em nosso terminal e informar a numeração do CE e Operação de Navio.&lt;/p&gt;
&lt;p&gt; &lt;/p&gt;
&lt;p&gt;Link da opção: &lt;a href="http://www.teconline.com.br/Terminais/Forms/CadastroBloqueioManifesto.aspx" target="_blank"&gt;Clique aqui&lt;/a&gt;&lt;/p&gt;
&lt;p&gt;&lt;span&gt;&lt;strong&gt;&lt;u&gt;&lt;img alt="mceclip0.png" src="https://atendimento.teconline.com.br/hc/article_attachments/360038717951/mceclip0.png"/&gt;Observação:&lt;/u&gt; &lt;/strong&gt;para utilizar esta opção, haverá necessidade de utilizar login e senha&lt;/span&gt;&lt;/p&gt;
&lt;p&gt; &lt;/p&gt;
&lt;p&gt;&lt;span&gt;- Selecionar em "Operação" o navio programado para recebimento da carga e no campo "CE Mercante" digitar o CE vinculado, igual ao declarado no Siscarga.&lt;/span&gt;&lt;/p&gt;
&lt;p&gt;&lt;span&gt;&lt;img alt="mceclip1.png" src="https://atendimento.teconline.com.br/hc/article_attachments/360038739472/mceclip1.png"/&gt;&lt;/span&gt;&lt;/p&gt;
&lt;p&gt; &lt;/p&gt;
&lt;p&gt;&lt;span&gt;- Serviços e Valores: Vide Estrutura de Serviços e Preços&lt;br/&gt;Link: &lt;a href="https://www.wilsonsons.com.br/pt/teconriogrande/servicos/tabela-de-preco-trg" target="_blank"&gt;Clique aqui&lt;/a&gt;&lt;/span&gt;&lt;/p&gt;</t>
  </si>
  <si>
    <t>https://wilsonsonstrg.zendesk.com/api/v2/help_center/pt-br/articles/360033453872.json</t>
  </si>
  <si>
    <t>https://atendimento.teconline.com.br/hc/pt-br/articles/360033453872-Solicita%C3%A7%C3%A3o-de-Carga-P%C3%A1tio</t>
  </si>
  <si>
    <t>Solicitação de Carga Pátio</t>
  </si>
  <si>
    <t>&lt;p&gt;* Para solicitar o benefício de carga pátio, deverão ser apresentados os itens abaixo no balcão de atendimento de importação:&lt;/p&gt;
&lt;p&gt;&lt;br/&gt; &lt;strong&gt;Documentos:&lt;/strong&gt;&lt;/p&gt;
&lt;p&gt;- Correspondência em duas vias com solicitação do beneficio de carga pátio com informações referente ao cliente, número do (s) container,&lt;/p&gt;
&lt;p&gt;- Cópia dos BL’s Master e House&lt;/p&gt;
&lt;p&gt;- Cópia do Siscarga dos CE’s Master e House&lt;/p&gt;
&lt;p&gt;- Cópia da escala do navio impressa do Siscarga&lt;/p&gt;
&lt;p&gt;&lt;br/&gt; &lt;br/&gt; &lt;strong&gt;Prazo:&lt;/strong&gt; 02 dias úteis antes da previsão de atracação do navio no Siscarga (não contando a data da entrega da documentação no balcão).&lt;/p&gt;
&lt;p&gt;&lt;br/&gt; * Para utilização do benefício, registro e liberação, orientamos que seja verificada a Portaria Nº 67 de 30 de Novembro de 2010&lt;/p&gt;
&lt;p&gt; &lt;/p&gt;
&lt;p&gt;- Serviços e Valores: Vide Estrutura de Serviços e Preços&lt;/p&gt;
&lt;p&gt;Link: &lt;a href="https://www.wilsonsons.com.br/pt/teconriogrande/servicos/tabela-de-preco-trg" target="_blank"&gt;Clique aqui&lt;/a&gt;&lt;/p&gt;
&lt;p&gt; &lt;/p&gt;</t>
  </si>
  <si>
    <t>https://wilsonsonstrg.zendesk.com/api/v2/help_center/pt-br/articles/360033812011.json</t>
  </si>
  <si>
    <t>https://atendimento.teconline.com.br/hc/pt-br/articles/360033812011-Retirada-de-container-Desist%C3%AAncia-de-Embarque-de-Exporta%C3%A7%C3%A3o</t>
  </si>
  <si>
    <t>Retirada de container - Desistência de Embarque de Exportação</t>
  </si>
  <si>
    <t>['CCT', 'EXPORTAÇÃO', 'DESISTÊNCIA', 'EMBARQUE', 'NOTA fiscal', 'nota fiscal de retorno', 'receita federal']</t>
  </si>
  <si>
    <t>&lt;p&gt;Para realizar a remoção de unidade de exportação entregue em nosso terminal por desistência de embarque, devem ser adotados os procedimentos abaixo:&lt;/p&gt;
&lt;p&gt; &lt;/p&gt;
&lt;p&gt;- Liberação da SAVIG (TECON solicita à SAVIG);&lt;/p&gt;
&lt;p&gt; &lt;/p&gt;
&lt;p&gt;- Emissão de nota fiscal de entrada *referenciando* as notas fiscais que entraram no Tecon Rio Grande.&lt;/p&gt;
&lt;p&gt; &lt;/p&gt;
&lt;p&gt;- Sem vínculo DUE desembaraçada ou registrada,&lt;/p&gt;
&lt;p&gt; &lt;/p&gt;
&lt;p&gt;- Preencher a OS em anexo (há dados na OS que são obrigatórias : CNPJ da transportadora , CPF do condutor e placas).&lt;/p&gt;
&lt;p&gt; &lt;/p&gt;
&lt;p&gt;Abaixo, disponibilizamos o link do  procedimento detalhado no MANUAL DE EXPORTAÇÃO, para maiores informações:&lt;/p&gt;
&lt;p&gt; &lt;/p&gt;
&lt;p&gt;&lt;a href="https://receita.economia.gov.br/orientacao/aduaneira/manuais/exportacao-portal-unico/entrega-da-carga-por-due/entrega-de-carga-para-" target="_blank"&gt;https://receita.economia.gov.br/orientacao/aduaneira/manuais/exportacao-portal-unico/entrega-da-carga-por-due/entrega-de-carga-para-retorno-ao-mercado-interno&lt;/a&gt;&lt;/p&gt;
&lt;p&gt; &lt;/p&gt;
&lt;p&gt;Após procedimento descrito acima, para realização de agendamento para retirada da unidade, disponibilizamos link abaixo, onde consta artigo de nosso portal com tal procedimento.&lt;/p&gt;
&lt;p&gt; &lt;/p&gt;
&lt;p&gt;&lt;a href="https://atendimento.teconline.com.br/hc/pt-br/articles/360040428672-Agendamento-de-Retirada-de-Devolu%C3%A7%C3%A3o-Exporta%C3%A7%C3%A3o-Cabotagem" target="_blank"&gt;https://atendimento.teconline.com.br/hc/pt-br/articles/360040428672-Agendamento-de-Retirada-de-Devolu%C3%A7%C3%A3o-Exporta%C3%A7%C3%A3o-Cabotagem&lt;/a&gt;&lt;/p&gt;
&lt;p&gt; &lt;/p&gt;
&lt;p&gt;- Serviços e Valores: Vide Estrutura de Serviços e Preços&lt;/p&gt;
&lt;p&gt;Link: &lt;a href="https://www.wilsonsons.com.br/wp-content/uploads/2022/12/ESTRUTURA-DE-SERVICOS-E-PRECOS-TECON-RIO-GRANDE-2023.pdf" target="_self"&gt;Clique aqui&lt;/a&gt;&lt;/p&gt;</t>
  </si>
  <si>
    <t>https://wilsonsonstrg.zendesk.com/api/v2/help_center/pt-br/articles/360033811191.json</t>
  </si>
  <si>
    <t>https://atendimento.teconline.com.br/hc/pt-br/articles/360033811191-Ficha-de-Emerg%C3%AAncia-Processo-de-Exporta%C3%A7%C3%A3o-Cabotagem-Embarque</t>
  </si>
  <si>
    <t>Ficha de Emergência - Processo de Exportação / Cabotagem Embarque</t>
  </si>
  <si>
    <t>['ficha de emergência', 'entrega de cheio', 'carga perigosa', 'carga imo', 'agendamento de exportação', 'agendamento de container', 'agendamento de cheio', 'como faço para enviar a ficha de emergência', 'upload da ficha', 'ficha no teconline', 'ficha de emergência pelo site', 'ficha de emergência no agendamento']</t>
  </si>
  <si>
    <t>&lt;p&gt;&lt;span&gt;Segue descrito abaixo o procedimento.&lt;/span&gt;&lt;/p&gt;
&lt;p&gt; &lt;/p&gt;
&lt;p&gt;&lt;span&gt;1) Anexar a&lt;/span&gt;&lt;span&gt;&lt;span&gt; ficha de emergência durante a criação do agendamento na opção “Adicionar Ficha de Emergência”, após realizar o preenchimento da informação de "Mercadoria" e "UN". &lt;/span&gt;&lt;/span&gt;&lt;/p&gt;
&lt;p&gt;&lt;img alt="0001.png" src="https://atendimento.teconline.com.br/hc/article_attachments/12088666701453"/&gt;&lt;/p&gt;
&lt;p&gt;Para realizar o agendamento, selecione o nosso artigo: &lt;a href="https://atendimento.teconline.com.br/hc/pt-br/articles/360040840231" target="_blank"&gt;Agendamento de Exportação Cheio&lt;/a&gt;&lt;/p&gt;
&lt;p&gt; &lt;/p&gt;
&lt;p&gt;2) Inserir "Novo"&lt;/p&gt;
&lt;p&gt;&lt;img alt="002.png" src="https://atendimento.teconline.com.br/hc/article_attachments/12088868006541"/&gt;&lt;/p&gt;
&lt;p&gt; &lt;/p&gt;
&lt;p&gt;3) Selecionar o arquivo da Ficha de Emergência e "Salvar"&lt;/p&gt;
&lt;p&gt;&lt;img alt="00.png" src="https://atendimento.teconline.com.br/hc/article_attachments/12089157625741"/&gt;&lt;/p&gt;
&lt;p&gt; &lt;/p&gt;
&lt;p&gt;&lt;strong&gt;Observações:&lt;/strong&gt;&lt;/p&gt;
&lt;ul&gt;
&lt;li&gt;Documentos deverão ser disponibilizados em português com 12 horas de antecedência da entrega do container&lt;/li&gt;
&lt;li&gt;&lt;span&gt;Existem dois campos Ficha de Emergência que são exclusivos para Ficha de Emergência e "Outros" para inserir a "Declaração de Carga Perigosa" ou outro documento solicitado solicitado &lt;/span&gt;&lt;/li&gt;
&lt;/ul&gt;
&lt;p&gt;&lt;img alt="005.png" src="https://atendimento.teconline.com.br/hc/article_attachments/12089670688141"/&gt;&lt;/p&gt;
&lt;p&gt; &lt;/p&gt;
&lt;p&gt; &lt;/p&gt;
&lt;p&gt; &lt;/p&gt;</t>
  </si>
  <si>
    <t>https://wilsonsonstrg.zendesk.com/api/v2/help_center/pt-br/articles/360033810571.json</t>
  </si>
  <si>
    <t>https://atendimento.teconline.com.br/hc/pt-br/articles/360033810571-Libera%C3%A7%C3%A3o-DI-e-DTA</t>
  </si>
  <si>
    <t>Liberação DI e DTA</t>
  </si>
  <si>
    <t>['BL', 'DI', 'BL MASTER', 'bl original', 'liberar carga no porto', 'orçamento', 'liberação de importação', 'orçamento web', 'dta', 'bloqueio de bl', 'bloqueio de desdobramento', 'averbação', 'averbar', 'liberação para agendamento', 'BL master', 'liberação de di', 'termo de desistência', 'termo de avaria', 'termo de desistencia', 'dsi', 'quebra de lote', 'balcão de importação', 'averbação web', 'procedimento para averbar', 'procedimento para averbação', 'procedimento para liberar di', 'escritório de importação']</t>
  </si>
  <si>
    <t>&lt;p&gt;A liberação de DI e DTA deve ser realizada no balcão de atendimento de importação após procedimento listado abaixo:&lt;/p&gt;
&lt;p&gt; &lt;/p&gt;
&lt;p&gt;&lt;strong&gt;&lt;u&gt;&lt;span&gt;*&lt;/span&gt; Liberação de DI&lt;/u&gt;&lt;/strong&gt; &lt;/p&gt;
&lt;p&gt;- Efetuar a averbação no site, campo “Averbação Web”&lt;/p&gt;
&lt;p&gt;- Após a averbação aguardar em torno de 15 minutos para prosseguir com orçamento e quitação das despesas.&lt;/p&gt;
&lt;p&gt;- Para maiores informações sobre orçamento, &lt;a href="https://atendimento.teconline.com.br/hc/pt-br/articles/360039866151" target="_blank"&gt;Clique aqui&lt;/a&gt;&lt;/p&gt;
&lt;p&gt;&lt;img alt="001.PNG" src="https://atendimento.teconline.com.br/hc/article_attachments/4407512231437/001.PNG"/&gt;&lt;/p&gt;
&lt;p&gt; &lt;/p&gt;
&lt;p&gt;Informar o BL, CE ou DI&lt;/p&gt;
&lt;p&gt;&lt;img alt="003.PNG" src="https://atendimento.teconline.com.br/hc/article_attachments/4407512244493/003.PNG"/&gt;&lt;/p&gt;
&lt;p&gt; &lt;/p&gt;
&lt;p&gt;O despachante deve apresentar no balcão de atendimento de importação os  documentos descritos abaixo ou enviar para o email &lt;a href="mailto:balcaoimportacao.tcrg@wilsonsons.com.br"&gt;balcaoimportacao.tcrg@wilsonsons.com.br&lt;/a&gt; &lt;/p&gt;
&lt;ol&gt;
&lt;li&gt;BL original e assinado;&lt;/li&gt;
&lt;li&gt;Documentação de “Liberação de Saída e Pagamento” original, com liberação, autorização e informação da transportadora autorizada à carregar;&lt;/li&gt;
&lt;li&gt;DI impressa;&lt;/li&gt;
&lt;li&gt;Documentos que acompanham a liberação do ICMS / SEFAZ (Guia de Recolhimento, Exoneração, etc..), contendo assinatura original na cor azul do despachante que efetuou o registro da DI ou que conste nas complementares.&lt;/li&gt;
&lt;/ol&gt;
&lt;p&gt;&lt;strong&gt;Observações:&lt;/strong&gt;&lt;/p&gt;
&lt;ul&gt;
&lt;li&gt;Processos de Quebra-de-lote, BL Parte e DSI Bagagem devem ser averbados diretamente no balcão de atendimento de importação;&lt;/li&gt;
&lt;li&gt;Para processos de Despachos sobre Águas, as documentações acima mencionadas devem ser entregues antes da atracação do navio e após a confirmação de chegada da carga, efetuar a averbação no site, campo “Averbação Web”&lt;/li&gt;
&lt;li&gt;“Termo de Desistência" Impresso, deve ser entregue somente para os casos em que for identificado avaria e/ou divergência de lacre &lt;/li&gt;
&lt;li&gt;Modelo doc desistência: &lt;a href="https://wilsonsons.zendesk.com/hc/article_attachments/360038656652/Modelo_de_Texto.pdf" target="_blank"&gt;Modelo de Texto.pdf&lt;/a&gt;
&lt;/li&gt;
&lt;/ul&gt;
&lt;p&gt; &lt;/p&gt;
&lt;p&gt;&lt;strong&gt;* &lt;u&gt;Liberação de DTA&lt;/u&gt;&lt;/strong&gt;&lt;/p&gt;
&lt;p&gt;- Efetuar a averbação no site, campo “Averbação Web”&lt;/p&gt;
&lt;p&gt;- O orçamento para quitação das despesas estará disponível somente após à liberação documental;&lt;/p&gt;
&lt;p&gt;- Para maiores informações sobre orçamento, &lt;a href="https://atendimento.teconline.com.br/hc/pt-br/articles/360039866151" target="_blank"&gt;Clique aqui&lt;/a&gt;&lt;/p&gt;
&lt;p&gt;&lt;img alt="001.PNG" src="https://atendimento.teconline.com.br/hc/article_attachments/4407512231437/001.PNG"/&gt;&lt;/p&gt;
&lt;p&gt; &lt;/p&gt;
&lt;p&gt;Informar o BL, CE ou DI&lt;/p&gt;
&lt;p&gt;&lt;img alt="001.PNG" src="https://atendimento.teconline.com.br/hc/article_attachments/4407512231437/001.PNG"/&gt; &lt;/p&gt;
&lt;p&gt;O despachante deve apresentar no balcão de atendimento de importação ou enviar para o email &lt;a href="mailto:balcaoimportacao.tcrg@wilsonsons.com.br"&gt;balcaoimportacao.tcrg@wilsonsons.com.br&lt;/a&gt;  os  documentos descritos abaixo:&lt;/p&gt;
&lt;ol&gt;
&lt;li&gt;Cópia de BL para processos FCL / Full Container;&lt;/li&gt;
&lt;li&gt;Cópia de packing list para processos LCL / Carga avulsa;&lt;/li&gt;
&lt;li&gt;DTA Impressa;&lt;/li&gt;
&lt;li&gt;Documentação de “Liberação de Saída e Pagamento” original, com liberação, autorização e informação da transportadora autorizada à carregar;&lt;/li&gt;
&lt;/ol&gt;
&lt;p&gt; &lt;/p&gt;
&lt;p&gt;&lt;strong&gt;* &lt;u&gt;Liberação de DTA Pátio / DTC&lt;/u&gt;&lt;/strong&gt;&lt;/p&gt;
&lt;p&gt;- O orçamento para quitação das despesas estará disponível somente após à liberação documental;&lt;/p&gt;
&lt;p&gt;- Para maiores informações sobre orçamento, &lt;a href="https://atendimento.teconline.com.br/hc/pt-br/articles/360033779311-Or%C3%A7amento-de-Importa%C3%A7%C3%A3o" target="_self"&gt;clique aqui.&lt;/a&gt;&lt;/p&gt;
&lt;p&gt;- Liberação / averbação, realizada presencialmente no balcão de atendimento de importação;&lt;/p&gt;
&lt;p&gt;- Documentos a serem apresentados conforme descrição abaixo:&lt;/p&gt;
&lt;ol&gt;
&lt;li&gt;Cópia de BL para processos FCL / Full Container;&lt;/li&gt;
&lt;li&gt;Cópia de packing list para processos LCL / Carga avulsa;&lt;/li&gt;
&lt;li&gt;DTA / DTC Impressa;&lt;/li&gt;
&lt;li&gt;Documentação de “Liberação de Saída e Pagamento” original, com liberação, autorização e informação da transportadora autorizada à carregar;&lt;/li&gt;
&lt;/ol&gt;
&lt;p&gt; &lt;/p&gt;
&lt;p&gt;&lt;strong&gt;Observações:&lt;/strong&gt;&lt;/p&gt;
&lt;ul&gt;
&lt;li&gt;“Termo de Desistência" Impresso, deve ser entregue somente para os casos em que for identificado avaria e/ou divergência de lacre &lt;/li&gt;
&lt;li&gt;Modelo doc desistência: &lt;a href="https://wilsonsons.zendesk.com/hc/article_attachments/360055285452/Modelo_de_Texto.pdf" target="_blank"&gt;Modelo de Texto.pdf&lt;/a&gt;
&lt;/li&gt;
&lt;/ul&gt;
&lt;p&gt; &lt;/p&gt;</t>
  </si>
  <si>
    <t>https://wilsonsonstrg.zendesk.com/api/v2/help_center/pt-br/articles/360033450332.json</t>
  </si>
  <si>
    <t>https://atendimento.teconline.com.br/hc/pt-br/articles/360033450332-Cargas-especiais-aceitas-no-terminal</t>
  </si>
  <si>
    <t>Cargas especiais aceitas no terminal</t>
  </si>
  <si>
    <t>['cargas perigosas', 'cargo acept', 'recuse cargo', 'cargas aceitas', 'posso enviar a carga', 'caras permitidas', 'imo', 'un', 'inflamável', 'explosivo', 'perigosa']</t>
  </si>
  <si>
    <t>&lt;p&gt;Abaixo disponibilizamos informações de cargas que são aceitas em nosso terminal:&lt;/p&gt;
&lt;p&gt; &lt;/p&gt;
&lt;p&gt;&lt;strong&gt;CARGAS IMO ACEITAS&lt;/strong&gt;&lt;/p&gt;
&lt;p&gt; &lt;/p&gt;
&lt;p&gt;&lt;strong&gt;Classe 1 - Explosivos&lt;/strong&gt; (&lt;strong&gt;apenas as subclasses abaixo)&lt;/strong&gt;&lt;/p&gt;
&lt;p&gt;&lt;u&gt;Subclasse 1.3&lt;/u&gt; - Substâncias e artigos com risco de fogo e com pequeno risco de explosão ou de projeção, ou ambos, mas sem risco de explosão em massa;&lt;/p&gt;
&lt;p&gt;&lt;u&gt;Subclasse 1.4&lt;/u&gt; - Substâncias e artigos que não apresentam risco significativo;&lt;/p&gt;
&lt;p&gt;&lt;u&gt;Subclasse 1.5&lt;/u&gt; - Substâncias muito insensíveis, com risco de explosão em massa;&lt;/p&gt;
&lt;p&gt;&lt;u&gt;Subclasse 1.6&lt;/u&gt; - Substâncias extremamente insensíveis, sem risco de explosão em massa;&lt;/p&gt;
&lt;p&gt; &lt;/p&gt;
&lt;ul&gt;
&lt;li&gt;Cargas com esta classificação serão aceitas somente como CNTR Full / FCL.&lt;/li&gt;
&lt;li&gt;Cargas avulsas não serão aceitas.&lt;/li&gt;
&lt;li&gt;Para as cargas com classificação 1.3 e 1.4 entrar em contato com o Import Desk  &lt;/li&gt;
&lt;li&gt;
&lt;a href="mailto:import.desk@tecon.com.br"&gt;importdesk.tcrg@wilsonsons.com.br&lt;/a&gt; / Telefone: 53 - 32343134&lt;/li&gt;
&lt;li&gt;ou atendimento comercial&lt;/li&gt;
&lt;li&gt;
&lt;a href="mailto:atendimento@tecon.com.br"&gt;atendimento.tcrg@wilsonsons.com.br&lt;/a&gt; / telefone 53 - 3234 3030&lt;/li&gt;
&lt;/ul&gt;
&lt;p&gt; &lt;/p&gt;
&lt;p&gt;&lt;strong&gt;Classe 2 - Gases&lt;/strong&gt;&lt;/p&gt;
&lt;p&gt;&lt;u&gt;Subclasse 2.1&lt;/u&gt; - Gases Inflamáveis;&lt;/p&gt;
&lt;p&gt;&lt;u&gt;Subclasse 2.2&lt;/u&gt; - Gases não Inflamáveis e não tóxicos;&lt;/p&gt;
&lt;p&gt;&lt;u&gt;Subclasse 2.3&lt;/u&gt; - Gases Tóxicos;&lt;/p&gt;
&lt;p&gt; &lt;/p&gt;
&lt;p&gt;&lt;strong&gt;Classe 3 - Líquidos Inflamáveis;&lt;/strong&gt;&lt;/p&gt;
&lt;p&gt; &lt;/p&gt;
&lt;p&gt;&lt;strong&gt;Classe 4 - Sólidos Inflamáveis; substâncias sujeitas à combustão espontânea; substâncias que, em contato com água, emitem gases inflamáveis.&lt;/strong&gt;&lt;/p&gt;
&lt;p&gt;&lt;u&gt;Subclasse 4.1&lt;/u&gt; -&lt;strong&gt; &lt;/strong&gt;Substâncias inflamáveis, substâncias autorreagentes e explosivos sólidos insensibilizados;&lt;/p&gt;
&lt;p&gt;&lt;u&gt;Subclasse 4.2&lt;/u&gt; -&lt;strong&gt; &lt;/strong&gt;Substâncias sujeitas a combustão espontânea;&lt;/p&gt;
&lt;p&gt;&lt;u&gt;Subclasse 4.3&lt;/u&gt; -&lt;strong&gt; &lt;/strong&gt;Substâncias que em contato com a água emitem gases inflamáveis;&lt;/p&gt;
&lt;p&gt; &lt;/p&gt;
&lt;p&gt;&lt;strong&gt;Classe 5 - Substâncias oxidantes; peróxidos orgânicos.&lt;/strong&gt;&lt;/p&gt;
&lt;p&gt;&lt;u&gt;Subclasse 5.1&lt;/u&gt; -&lt;strong&gt; &lt;/strong&gt;Substâncias oxidantes;&lt;/p&gt;
&lt;p&gt;&lt;u&gt;Subclasse 5.2&lt;/u&gt; -&lt;strong&gt; &lt;/strong&gt;Peróxidos Orgânicos;&lt;/p&gt;
&lt;p&gt; &lt;/p&gt;
&lt;p&gt;&lt;strong&gt;Classe 6 - Substâncias tóxicas e substâncias infectantes (apenas a subclasse abaixo&lt;/strong&gt;):&lt;/p&gt;
&lt;p&gt;&lt;u&gt;Subclasse 6.1&lt;/u&gt; - Substâncias tóxicas;&lt;/p&gt;
&lt;p&gt; &lt;/p&gt;
&lt;p&gt;&lt;strong&gt;Classe 8 - Substâncias Corrosivas&lt;/strong&gt;&lt;/p&gt;
&lt;p&gt; &lt;/p&gt;
&lt;p&gt;&lt;strong&gt;Classe 9 - Substâncias e artigos perigosos diversos.&lt;/strong&gt;&lt;/p&gt;
&lt;p&gt; &lt;/p&gt;
&lt;p&gt;&lt;strong&gt;CARGAS IMO NÃO ACEITAS&lt;/strong&gt;&lt;/p&gt;
&lt;p&gt; &lt;/p&gt;
&lt;p&gt;&lt;strong&gt;Classe 1 - Explosivos&lt;/strong&gt;&lt;/p&gt;
&lt;p&gt;&lt;u&gt;Subclasse 1.1&lt;/u&gt; - Substâncias e artigos com risco de explosão em massa;&lt;/p&gt;
&lt;p&gt;&lt;u&gt;Subclasse 1.2&lt;/u&gt;&lt;strong&gt; &lt;/strong&gt;- Substâncias e artigos com risco de projeção, mas sem risco de explosão em massa;&lt;/p&gt;
&lt;p&gt; &lt;/p&gt;
&lt;p&gt;&lt;strong&gt;Classe 6 - Substâncias tóxicas e substâncias infectantes&lt;/strong&gt;&lt;/p&gt;
&lt;p&gt;&lt;u&gt;Subclasse 6.2&lt;/u&gt; - Substâncias Infectantes&lt;/p&gt;
&lt;p&gt; &lt;/p&gt;
&lt;p&gt;&lt;strong&gt;Classe 7 &lt;/strong&gt;- Materiais Radioativos.&lt;/p&gt;
&lt;p&gt; &lt;/p&gt;
&lt;p&gt;&lt;strong&gt;Observação:&lt;/strong&gt;&lt;/p&gt;
&lt;p&gt;Normas de Aplicação conforme tabela de preços.&lt;/p&gt;
&lt;div&gt;
&lt;p&gt; &lt;/p&gt;
&lt;/div&gt;
&lt;ul&gt;
&lt;li&gt; &lt;a href="https://www.wilsonsons.com.br/wp-content/uploads/2022/12/ESTRUTURA-DE-SERVICOS-E-PRECOS-TECON-RIO-GRANDE-2023.pdf" target="_blank"&gt;Estrutura de Preços e Serviços 2023.pdf&lt;/a&gt;
&lt;/li&gt;
&lt;/ul&gt;</t>
  </si>
  <si>
    <t>https://wilsonsonstrg.zendesk.com/api/v2/help_center/pt-br/articles/360033789491.json</t>
  </si>
  <si>
    <t>https://atendimento.teconline.com.br/hc/pt-br/articles/360033789491-Encerramento-de-OS-Vistoria-do-MAPA</t>
  </si>
  <si>
    <t>Encerramento de OS - Vistoria do MAPA</t>
  </si>
  <si>
    <t>&lt;p&gt;Para realizar o encerramento de OS (Ordem de Serviço) vinculadas a vistorias realizadas pelo Ministério da Agricultura – MAPA deverá ser enviado o requerimento/protocolo do MAPA com liberação do órgão anuente para o email &lt;a href="mailto:exporta%C3%A7%C3%A3o@tecon.com.br"&gt;exportação@tecon.com.br&lt;/a&gt; ou apresentar o mesmo no balcão administrativo de importação.&lt;/p&gt;</t>
  </si>
  <si>
    <t>https://wilsonsonstrg.zendesk.com/api/v2/help_center/pt-br/articles/360033425552.json</t>
  </si>
  <si>
    <t>https://atendimento.teconline.com.br/hc/pt-br/articles/360033425552-Cadastro-de-CNH-e-FEPAM-para-agendamento-de-Container</t>
  </si>
  <si>
    <t>Cadastro de CNH e FEPAM para agendamento de Container</t>
  </si>
  <si>
    <t>&lt;p&gt;Para realizar o cadastro de documentos de FEPAM e CNH, para agendamentos de containers de importação com carga IMO / UN. Devem ser realizados os procedimentos abaixo:&lt;/p&gt;
&lt;p&gt; &lt;/p&gt;
&lt;p&gt;&lt;strong&gt;* &lt;u&gt;Cadastro de placas FEPAM&lt;/u&gt;&lt;/strong&gt;&lt;/p&gt;
&lt;p&gt; &lt;/p&gt;
&lt;p&gt;- Enviar o arquivo FEPAM em formato PDF para o email &lt;a href="mailto:balcaoimportacao.tcrg@wilsonsons.com.br"&gt;balcaoimportacao.tcrg@wilsonsons.com.br&lt;/a&gt;&lt;/p&gt;
&lt;p&gt;- Informar no email as placas para inclusão ou atualização.&lt;/p&gt;
&lt;p&gt;* &lt;u&gt;O arquivo não poderá conter vigência expirada&lt;/u&gt;&lt;/p&gt;
&lt;p&gt; &lt;/p&gt;
&lt;p&gt;&lt;strong&gt;* &lt;u&gt;Cadastro de motorista&lt;/u&gt;&lt;/strong&gt;&lt;/p&gt;
&lt;p&gt; &lt;/p&gt;
&lt;p&gt;- Os documentos listados abaixo devem ser apresentados pelo motorista em via original no balcão de atendimento de importação:&lt;/p&gt;
&lt;p&gt;- CNH contendo habilitação para transporte de cargas perigosas&lt;/p&gt;
&lt;p&gt;- MOPI contendo habilitação para transporte de cargas perigosas&lt;/p&gt;
&lt;p&gt;* &lt;u&gt;Os arquivos não podem conter vigências expiradas&lt;/u&gt;&lt;/p&gt;
&lt;p&gt; &lt;/p&gt;
&lt;p&gt;&lt;u&gt;Observação&lt;/u&gt;: Após a confirmação de cadastro, será possível a utilização em nosso site das placas e CNH para efetuar agendamentos de containers com carga perigosa.&lt;/p&gt;</t>
  </si>
  <si>
    <t>https://wilsonsonstrg.zendesk.com/api/v2/help_center/pt-br/articles/360000319152.json</t>
  </si>
  <si>
    <t>https://atendimento.teconline.com.br/hc/pt-br/articles/360000319152-Servi%C3%A7os-B%C3%A1sicos-de-Exporta%C3%A7%C3%A3o</t>
  </si>
  <si>
    <t>Serviços Básicos de Exportação</t>
  </si>
  <si>
    <t>['custos básicos', 'valores de exportação', 'no show', 'valores de servicos', 'Serviços Básicos de Exportação', 'custos de exportacao', 'valores do terminal', 'estrutura de serviços', 'estrutura de serviços e preços', 'estrutura']</t>
  </si>
  <si>
    <t>&lt;p&gt;&lt;strong&gt;Processo FCL (Carga em Cntr)&lt;/strong&gt;&lt;/p&gt;
&lt;p&gt;B.4. Taxa de ISPS Code&lt;/p&gt;
&lt;p&gt;G.1. Armazenagem&lt;/p&gt;
&lt;p&gt;E.15. Serviço de Inspeção Não Invasiva&lt;/p&gt;
&lt;p&gt;&lt;span&gt;Normas de Aplicação: Vide Estrutura de Serviços e Preços (&lt;/span&gt;&lt;a href="https://www.wilsonsons.com.br/pt-br/teconriogrande/servicos/estrutura-de-servicos-e-precos/" target="_blank"&gt;Clique aqui)&lt;/a&gt;&lt;/p&gt;
&lt;p&gt;*Cntr reefer com adicional do serviço de Energia e Monitoramento.&lt;/p&gt;
&lt;p&gt; &lt;/p&gt;
&lt;p&gt;&lt;strong&gt;Processo LCL (cargas estufadas e armazenadas no armazém)&lt;/strong&gt;&lt;/p&gt;
&lt;p&gt;G.1 e G.4 Serviço de Armazenagem&lt;/p&gt;
&lt;p&gt;E.3. Serviço de pesagem de carga de exportação&lt;/p&gt;
&lt;p&gt;B.4. Taxa de ISPS Code&lt;/p&gt;
&lt;p&gt;E.15. Serviço de Inspeção Não Invasiva&lt;/p&gt;
&lt;p&gt;F. Serviço de Estufagem&lt;/p&gt;
&lt;p&gt;F.8. Serviço de Busca de Cntr&lt;/p&gt;
&lt;p&gt;&lt;span&gt;Normas de Aplicação: Vide Estrutura de Serviços e Preços (&lt;/span&gt;&lt;a href="https://www.wilsonsons.com.br/pt-br/teconriogrande/servicos/estrutura-de-servicos-e-precos/" target="_blank"&gt;Clique aqui)&lt;/a&gt;&lt;/p&gt;
&lt;p&gt; &lt;/p&gt;</t>
  </si>
  <si>
    <t>https://wilsonsonstrg.zendesk.com/api/v2/help_center/pt-br/articles/360000326551.json</t>
  </si>
  <si>
    <t>https://atendimento.teconline.com.br/hc/pt-br/articles/360000326551-Solicita%C3%A7%C3%A3o-ou-atualiza%C3%A7%C3%A3o-de-cadastro</t>
  </si>
  <si>
    <t>Solicitação ou atualização de cadastro</t>
  </si>
  <si>
    <t>&lt;p&gt;Segue descrito abaixo dados necessários para realizar novo cadastro ou atualizá-lo. &lt;/p&gt;
&lt;p&gt; &lt;/p&gt;
&lt;p&gt;&lt;strong&gt;&lt;u&gt;Pessoa Jurídica (CNPJ)&lt;/u&gt;&lt;/strong&gt;&lt;/p&gt;
&lt;p&gt;Enviar email para &lt;a href="mailto:atendimento.tcrg@wilsonsons.com.br" target="_blank"&gt;atendimento.tcrg@wilsonsons.com.br&lt;/a&gt; com as informações abaixo:&lt;/p&gt;
&lt;p&gt;Razão Social&lt;/p&gt;
&lt;p&gt;CNPJ&lt;/p&gt;
&lt;p&gt;Nome do contato&lt;/p&gt;
&lt;p&gt;Telefone&lt;/p&gt;
&lt;p&gt;E-mail’s para envio da nota fiscal eletrônica (no máximo 3, com domínio da empresa)&lt;/p&gt;
&lt;p&gt;Mercadoria&lt;/p&gt;
&lt;p&gt;Inscrição Municipal (IM) para empresas da cidade de Rio Grande&lt;/p&gt;
&lt;p&gt; &lt;/p&gt;
&lt;p&gt;&lt;strong&gt;Observação: &lt;/strong&gt;&lt;/p&gt;
&lt;p&gt;&lt;strong&gt;Perfil Transportadora: &lt;/strong&gt;&lt;/p&gt;
&lt;ul&gt;
&lt;li&gt;Enviar contrato social&lt;/li&gt;
&lt;li&gt;Após a confirmação do cadastro realizado em nosso banco de dados, deverá ser solicitado pelo cliente os dados de login e senha através da &lt;a href="http://www.teconline.com.br/" target="_self"&gt;WEB&lt;/a&gt;, no campo de Cadastro&lt;em&gt;. &lt;/em&gt;
&lt;/li&gt;
&lt;/ul&gt;
&lt;p&gt; &lt;/p&gt;
&lt;p&gt;&lt;strong&gt;&lt;u&gt;Pessoa Física (CPF)&lt;/u&gt;&lt;/strong&gt;&lt;/p&gt;
&lt;p&gt;Enviar email para &lt;a href="mailto:atendimento.tcrg@wilsonsons.com.br" target="_blank"&gt;atendimento.tcrg@wilsonsons.com.br&lt;/a&gt; com as informações abaixo:&lt;/p&gt;
&lt;p&gt;Nome completo&lt;/p&gt;
&lt;p&gt;CPF&lt;/p&gt;
&lt;p&gt;Data de nascimento&lt;/p&gt;
&lt;p&gt;Nome do contato&lt;/p&gt;
&lt;p&gt;Telefone&lt;/p&gt;
&lt;p&gt;Endereço completo com informação do CEP&lt;/p&gt;
&lt;p&gt;E-mail’s para envio da nota fiscal eletrônica (no máximo 3, com domínio da empresa)&lt;/p&gt;
&lt;p&gt;Mercadoria &lt;/p&gt;
&lt;p&gt; &lt;/p&gt;
&lt;p&gt;&lt;strong&gt;&lt;u&gt;Atualização de cadastro&lt;/u&gt;&lt;/strong&gt;&lt;/p&gt;
&lt;p&gt;Enviar email para &lt;a href="mailto:atendimento.tcrg@wilsonsons.com.br" target="_blank"&gt;atendimento.tcrg@wilsonsons.com.br&lt;/a&gt; com as informações abaixo:&lt;/p&gt;
&lt;p&gt;Razão Social&lt;/p&gt;
&lt;p&gt;CNPJ&lt;/p&gt;
&lt;p&gt;Dados a serem alterados&lt;/p&gt;
&lt;p&gt; &lt;/p&gt;</t>
  </si>
  <si>
    <t>https://wilsonsonstrg.zendesk.com/api/v2/help_center/pt-br/articles/360000323871.json</t>
  </si>
  <si>
    <t>https://atendimento.teconline.com.br/hc/pt-br/articles/360000323871-Canais-de-Atendimento-ao-Cliente</t>
  </si>
  <si>
    <t>['pós venda', 'central de atendimento', 'fale conosco', 'quero falar com o terminal', 'para quem ligar ?', 'canais de atendimento', 'import desk', 'atendimento para importação', 'atendimento para exportação', 'atendimento para cabotagem', 'atendimento para armador', 'telefone', 'email', 'e-mail', 'atendimento']</t>
  </si>
  <si>
    <t>&lt;p&gt;&lt;strong&gt;Atendimento ao Cliente&lt;/strong&gt;  - Exportação ou Cabotagem&lt;/p&gt;
&lt;p&gt;&lt;span&gt;E-mail: &lt;a href="mailto:atendimento.tcrg@wilsonsons.com.br,"&gt;atendimento.tcrg@wilsonsons.com.br&lt;/a&gt;&lt;/span&gt;&lt;/p&gt;
&lt;p&gt;&lt;span&gt;Telefone: (53) 32343030&lt;/span&gt;&lt;/p&gt;
&lt;p&gt;&lt;span&gt;WhatsApp: (53) 32343030&lt;/span&gt;&lt;/p&gt;
&lt;p&gt;Chat: &lt;a href="https://atendimento.teconline.com.br" target="_blank"&gt;https://atendimento.teconline.com.br&lt;/a&gt; e &lt;span&gt;&lt;a href="http://www.teconline.com.br/" target="_blank"&gt;http://www.teconline.com.br&lt;/a&gt;&lt;/span&gt;&lt;/p&gt;
&lt;p&gt; &lt;/p&gt;
&lt;p&gt;&lt;span&gt;&lt;strong&gt;Import Desk&lt;/strong&gt; – Importação&lt;/span&gt;&lt;/p&gt;
&lt;p&gt;&lt;span&gt;E-mail: &lt;a href="mailto:import.desk@tecon.com.br"&gt;importdesk.tcrg@wilsonsons.com.br&lt;/a&gt;&lt;/span&gt;&lt;/p&gt;
&lt;p&gt;&lt;span&gt;Telefone: (53)32343134&lt;/span&gt;&lt;/p&gt;
&lt;p&gt;&lt;span&gt;WhatsApp: (53) 32343030&lt;/span&gt;&lt;/p&gt;
&lt;p&gt;Chat: &lt;a href="https://atendimento.teconline.com.br" target="_blank"&gt;https://atendimento.teconline.com.br&lt;/a&gt; e &lt;span&gt;&lt;a href="http://www.teconline.com.br/" target="_blank"&gt;http://www.teconline.com.br&lt;/a&gt;&lt;/span&gt;&lt;/p&gt;
&lt;p&gt;&lt;span&gt; &lt;/span&gt;&lt;/p&gt;
&lt;p&gt;&lt;span&gt;&lt;strong&gt;Reefer Intelligence&lt;/strong&gt; – Carga Refrigerada/Congelada&lt;/span&gt;&lt;/p&gt;
&lt;p&gt;&lt;span&gt;E-mail: &lt;a href="mailto:reefer.intelligence@tecon.com.br"&gt;reeferintelligence.tcrg@wilsonsons.com.br&lt;/a&gt;&lt;/span&gt;&lt;/p&gt;
&lt;p&gt;&lt;span&gt;Telefone: (53) 32343144&lt;/span&gt;&lt;/p&gt;
&lt;p&gt;&lt;span&gt;WhatsApp: (53) 32343030&lt;/span&gt;&lt;/p&gt;
&lt;p&gt;Chat: &lt;a href="https://atendimento.teconline.com.br" target="_blank"&gt;https://atendimento.teconline.com.br&lt;/a&gt; e &lt;span&gt;&lt;a href="http://www.teconline.com.br/" target="_blank"&gt;http://www.teconline.com.br&lt;/a&gt;&lt;/span&gt;&lt;/p&gt;
&lt;p&gt;&lt;span&gt; &lt;/span&gt;&lt;/p&gt;
&lt;p&gt;&lt;span&gt;&lt;strong&gt;Atendimento Armador &lt;/strong&gt;&lt;/span&gt;&lt;/p&gt;
&lt;p&gt;&lt;span&gt;Email: &lt;a href="mailto:atendimentoarmador.tcrg@wilsonsons.com.br,"&gt;atendimentoarmador.tcrg@wilsonsons.com.br&lt;/a&gt;&lt;/span&gt;&lt;/p&gt;
&lt;p&gt;&lt;span&gt;Telefone: (53)32343145&lt;/span&gt;&lt;/p&gt;
&lt;p&gt;&lt;span&gt;WhatsApp: (53) 32343030&lt;/span&gt;&lt;/p&gt;
&lt;p&gt;Chat: &lt;a href="https://atendimento.teconline.com.br" target="_blank"&gt;https://atendimento.teconline.com.br&lt;/a&gt; e &lt;span&gt;&lt;a href="http://www.teconline.com.br/" target="_blank"&gt;http://www.teconline.com.br&lt;/a&gt;&lt;/span&gt;&lt;/p&gt;
&lt;p&gt; &lt;/p&gt;
&lt;p&gt; Para maiores informações, clique nos links abaixo:&lt;/p&gt;
&lt;ul&gt;
&lt;li&gt;&lt;a href="https://atendimento.teconline.com.br/hc/pt-br/articles/360048847852" target="_blank"&gt;Canal de Atendimento WhatsApp&lt;/a&gt;&lt;/li&gt;
&lt;li&gt;&lt;a href="https://atendimento.teconline.com.br/hc/pt-br/articles/360048851792" target="_blank"&gt;Canal de Atendimento Chat&lt;/a&gt;&lt;/li&gt;
&lt;/ul&gt;</t>
  </si>
  <si>
    <t>https://wilsonsonstrg.zendesk.com/api/v2/help_center/pt-br/articles/17287287948685.json</t>
  </si>
  <si>
    <t>https://atendimento.teconline.com.br/hc/pt-br/articles/17287287948685-03-07-2023-Comunicado-Importante-Canal-de-Atendimento-Motoristas</t>
  </si>
  <si>
    <t>03/07/2023 - [Comunicado Importante] Canal de Atendimento | Motoristas</t>
  </si>
  <si>
    <t>['01H1VJZ0K3W26BGAVYDENZ09Y1', '01H1VJZTTMSC9E2FK6SC533WHP', '01H4ECZ89JHG3TB0YZYAVW72XV', '01H4ECZHWVRQS41N92NZ2W4EZ8']</t>
  </si>
  <si>
    <t>['telefone', 'contato', 'whatsapp', 'número do telefone', 'número']</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</si>
  <si>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0017/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03 de Julho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&lt;p&gt;&lt;span&gt;&lt;span&gt;&lt;strong&gt;&lt;span&gt;&lt;font&gt;&lt;font&gt;&lt;font&gt;&lt;font&gt;Canal de Atendimento | Motoristas&lt;/font&gt;&lt;/font&gt;&lt;/font&gt;&lt;/font&gt;&lt;/span&gt;&lt;/strong&gt;&lt;/span&gt;&lt;/span&gt;&lt;/p&gt;
&lt;hr/&gt;
&lt;p&gt;&lt;span&gt;&lt;span&gt;A fim de facilitar a comunicação com os motoristas no terminal, estamos disponibilizando abaixo o nosso contato para sanar &lt;strong&gt;dúvidas&lt;/strong&gt;, consultar &lt;strong&gt;informações&lt;/strong&gt; e &lt;strong&gt;esclarecimentos.&lt;/strong&gt;&lt;/span&gt;&lt;/span&gt;&lt;br/&gt; &lt;/p&gt;
&lt;p&gt;&lt;span&gt;&lt;span&gt;&lt;strong&gt;(53) 3234.3030  &lt;/strong&gt;&lt;/span&gt;&lt;/span&gt;&lt;span&gt;&lt;span&gt;- &lt;/span&gt;&lt;/span&gt;&lt;span&gt;&lt;span&gt;&lt;em&gt;WhatsApp&lt;/em&gt;&lt;/span&gt;&lt;/span&gt;&lt;/p&gt;
&lt;p&gt;&lt;span&gt;&lt;span&gt;​​​ &lt;/span&gt;&lt;/span&gt;&lt;br/&gt;​&lt;span&gt;&lt;span&gt;&lt;span&gt;&lt;font&gt;&lt;font&gt;&lt;font&gt;&lt;font&gt;Contamos com a colaboração de todos para o compartilhamento deste contato com seus motoristas.&lt;br/&gt;​​​​&lt;/font&gt;&lt;/font&gt;&lt;/font&gt;&lt;/font&gt;&lt;/span&gt;&lt;/span&gt;&lt;/span&gt;&lt;/p&gt;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&lt;p&gt; &lt;/p&gt;
&lt;!--
          This email was originally designed by the wonderful folks at MailChimp and remixed by Pardot.
          It is licensed under CC BY-SA 3.0
        --&gt;</t>
  </si>
  <si>
    <t>https://wilsonsonstrg.zendesk.com/api/v2/help_center/pt-br/articles/10820058261261.json</t>
  </si>
  <si>
    <t>https://atendimento.teconline.com.br/hc/pt-br/articles/10820058261261-18-11-22-Copa-do-Mundo-2022</t>
  </si>
  <si>
    <t>18/11/22 - Copa do Mundo 2022</t>
  </si>
  <si>
    <t>['horários', 'copa do mundo', 'entrega na copa', 'armazem na copa', 'jogos do brasil', 'horários jos jogos', 'agendamentos na copa', 'horários durante os jogos', 'janelas na copa']</t>
  </si>
  <si>
    <t>&lt;p&gt;&lt;a href="https://go.pardot.com/webmail/845693/1028075910/59c5689c3c3ae717cfaee4208a52b5bbfa08e284901434d57e5647d3e70bef38" target="_blank"&gt;&lt;img alt="COMUNICADO1.PNG" src="https://atendimento.teconline.com.br/hc/article_attachments/10819933229453"/&gt;&lt;/a&gt;&lt;/p&gt;
&lt;p&gt;&lt;a href="https://go.pardot.com/webmail/845693/1028075910/59c5689c3c3ae717cfaee4208a52b5bbfa08e284901434d57e5647d3e70bef38" target="_blank"&gt;&lt;img alt="COMUNICADO2.PNG" src="https://atendimento.teconline.com.br/hc/article_attachments/10819934957581"/&gt;&lt;/a&gt;&lt;/p&gt;</t>
  </si>
  <si>
    <t>https://wilsonsonstrg.zendesk.com/api/v2/help_center/pt-br/articles/360048851792.json</t>
  </si>
  <si>
    <t>https://atendimento.teconline.com.br/hc/pt-br/articles/360048851792-Canal-de-atendimento-Chat</t>
  </si>
  <si>
    <t>Canal de atendimento Chat</t>
  </si>
  <si>
    <t>['teconline', 'contato', 'chat', 'bate-papo', 'widget', 'portal do atendimento', 'bate papo', 'como entro em contato', 'falar com o comercial', 'atendimento', 'canal']</t>
  </si>
  <si>
    <t>&lt;p&gt;Segue descrito abaixo procedimento para entrar em contato com o atendimento comercial:&lt;/p&gt;
&lt;p&gt; &lt;/p&gt;
&lt;p&gt;&lt;strong&gt;Chat via Portal de Atendimento ou Tecon line&lt;/strong&gt;&lt;/p&gt;
&lt;p&gt;1.  Acesse o site do Portal de Atendimento &lt;/p&gt;
&lt;p&gt;Link : &lt;a href="http://atendimento.teconline.com.br/" target="_blank"&gt;clique aqui&lt;/a&gt;&lt;/p&gt;
&lt;p&gt;2. Ou Tecon Line &lt;/p&gt;
&lt;p&gt;Link: &lt;a href="http://www.teconline.com.br/" target="_blank"&gt;Clique aqui&lt;/a&gt;&lt;/p&gt;
&lt;p&gt; &lt;/p&gt;
&lt;p&gt;3. Selecione a opção de Chat&lt;/p&gt;
&lt;p&gt;&lt;img alt="chat01.PNG" src="https://atendimento.teconline.com.br/hc/article_attachments/360068278811/chat01.PNG"/&gt;&lt;/p&gt;
&lt;p&gt; &lt;/p&gt;
&lt;p&gt;4. Digite a sua solicitação&lt;/p&gt;
&lt;p&gt;&lt;img alt="chat02.PNG" src="https://atendimento.teconline.com.br/hc/article_attachments/360068085652/chat02.PNG"/&gt;&lt;/p&gt;
&lt;p&gt; &lt;/p&gt;
&lt;p&gt;5. Digite seu nome e email&lt;/p&gt;
&lt;p&gt;&lt;img alt="mceclip0.png" src="https://atendimento.teconline.com.br/hc/article_attachments/360068279411/mceclip0.png"/&gt;&lt;/p&gt;
&lt;p&gt; &lt;/p&gt;
&lt;p&gt;6. Selecione &lt;strong&gt;Iniciar Chat&lt;/strong&gt;&lt;/p&gt;
&lt;p&gt;&lt;strong&gt;&lt;img alt="chat04.PNG" src="https://atendimento.teconline.com.br/hc/article_attachments/360068279531/chat04.PNG"/&gt;&lt;/strong&gt;&lt;/p&gt;
&lt;p&gt; &lt;/p&gt;
&lt;p&gt;7. Após concluir o atendimento, selecione&lt;strong&gt; Classificar Chat &lt;/strong&gt;e avalie o atendimento recebido.&lt;/p&gt;
&lt;p&gt;&lt;strong&gt;&lt;img alt="chat05.PNG" src="https://atendimento.teconline.com.br/hc/article_attachments/360068086672/chat05.PNG"/&gt;&lt;/strong&gt;&lt;/p&gt;
&lt;p&gt; &lt;/p&gt;
&lt;p&gt;&lt;strong&gt;&lt;strong&gt;Imagens operacionalizando&lt;/strong&gt;&lt;/strong&gt;&lt;/p&gt;
&lt;p&gt;&lt;strong&gt;&lt;strong&gt;&lt;img alt="chat.gif" src="https://atendimento.teconline.com.br/hc/article_attachments/360068086992/chat.gif"/&gt;&lt;/strong&gt;&lt;/strong&gt;&lt;/p&gt;</t>
  </si>
  <si>
    <t>https://wilsonsonstrg.zendesk.com/api/v2/help_center/pt-br/articles/360033450452.json</t>
  </si>
  <si>
    <t>https://atendimento.teconline.com.br/hc/pt-br/articles/360033450452-Carregamento-via-Barca%C3%A7a</t>
  </si>
  <si>
    <t>Carregamento via Barcaça</t>
  </si>
  <si>
    <t>['barcaça', 'retirada via barcaça', 'santa clara', 'contesc', 'como carregar na barcaça', 'como liberar para barcaça', 'carregamento santa clara']</t>
  </si>
  <si>
    <t>&lt;p&gt;Segue abaixo procedimentos para carregamento de importação via barcaça (DI) :&lt;/p&gt;
&lt;ol&gt;
&lt;li&gt; Contatar equipe Santa Clara para verificação de janelas e logística&lt;/li&gt;
&lt;/ol&gt;
&lt;ul&gt;
&lt;li&gt;Telefone: (053) 3234-3147;&lt;/li&gt;
&lt;li&gt;Emails: &lt;a href="mailto:marcelo.souza@wilsonsons.com.br" target="_blank"&gt;marcelo.souza@wilsonsons.com.br&lt;/a&gt;, &lt;a href="mailto:dirceu.touguinha@wilsonsons.com.br" target="_blank"&gt;dirceu.touguinha@wilsonsons.com.br&lt;/a&gt;
&lt;/li&gt;
&lt;li&gt;Horário de atendimento: De Segunda-Feira a Sexta-Feira - 08h às 18h. &lt;/li&gt;
&lt;/ul&gt;
&lt;p&gt;      2. Procedimentos para liberação, após contatar equipe Santa Clara&lt;/p&gt;
&lt;ul&gt;
&lt;li&gt;Efetuar o orçamento de importação, utilizando a opção “Retirada via Barcaça” e pagamento na mesma data.&lt;/li&gt;
&lt;/ul&gt;
&lt;p&gt;&lt;img alt="05.PNG" src="https://atendimento.teconline.com.br/hc/article_attachments/4407861414285/05.PNG"/&gt;&lt;/p&gt;
&lt;ul&gt;
&lt;li&gt;Efetuar a liberação documental da DI no balcão de atendimento de importação;&lt;/li&gt;
&lt;li&gt;Apresentar cópias físicas da Danfe e DI liberada;&lt;/li&gt;
&lt;li&gt;Entregar os documentos acima mencionados ao responsável pelas liberações de carregamentos para Barcaça no setor administrativo de importação;&lt;/li&gt;
&lt;li&gt;Constar no documento “Liberação de Saída e Pagamento” a transportadora “WILPORT”&lt;/li&gt;
&lt;/ul&gt;
&lt;p&gt; &lt;/p&gt;
&lt;p&gt; &lt;/p&gt;</t>
  </si>
  <si>
    <t>https://wilsonsonstrg.zendesk.com/api/v2/help_center/pt-br/articles/16945680967821.json</t>
  </si>
  <si>
    <t>https://atendimento.teconline.com.br/hc/pt-br/articles/16945680967821-21-06-2023-Novo-Procedimento-Registro-de-Integra%C3%A7%C3%A3o-Ag%C3%AAncia-Mar%C3%ADtima</t>
  </si>
  <si>
    <t>21/06/2023 - [Novo Procedimento] Registro de Integração | Agência Marítima</t>
  </si>
  <si>
    <t>['01H1VJZ0K3W26BGAVYDENZ09Y1', '01H3F7C6HJB9PDG7T5MZT09W8K']</t>
  </si>
  <si>
    <t>['novo procedimento', 'rainbow', 'Agente de Carga', 'Rainbow', 'Agência Marítima']</t>
  </si>
  <si>
    <t>&lt;p&gt; &lt;/p&gt;
&lt;p&gt; &lt;/p&gt;
&lt;p&gt;&lt;/p&gt;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0016/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21 de Junho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&lt;p&gt;&lt;strong&gt;&lt;span&gt;&lt;span&gt;Registro de Integração | Agência Marítima&lt;/span&gt;&lt;/span&gt;&lt;/strong&gt;&lt;/p&gt;
&lt;hr/&gt;​&lt;br/&gt;&lt;span&gt;&lt;span&gt;Comunicamos que a partir de &lt;strong&gt;Junho de 2023&lt;/strong&gt;, o &lt;strong&gt;registro de&lt;/strong&gt; &lt;strong&gt;integração&lt;/strong&gt; que atualmente era solicitado por meio do sistema &lt;em&gt;Rainbow&lt;/em&gt;, para todos os agentes marítimos, será substituído pelo &lt;em&gt;Briefing&lt;/em&gt;.&lt;br/&gt;&lt;br/&gt;Desta forma, assim que vencer a integração, o colaborador deverá apresentar-se na &lt;strong&gt;Portaria Principal&lt;/strong&gt; para realizar o &lt;em&gt;Briefing&lt;/em&gt;. ​​​&lt;br/&gt;&lt;br/&gt;Em caso de dúvidas, favor entrar em contato com a Unidade de Segurança do terminal, por meio dos contatos:&lt;br/&gt;&lt;br/&gt;unidadeseguranca.tcrg@wilsonsons.com.br&lt;br/&gt;Tel.: (53) 3234-3097&lt;/span&gt;&lt;/span&gt;&lt;br/&gt;&lt;br/&gt;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&lt;br/&gt;&lt;span&gt;&lt;span&gt;&lt;span&gt;&lt;strong&gt;&lt;font&gt;&lt;font&gt;&lt;font&gt;&lt;font&gt;&lt;font&gt;&lt;font&gt;&lt;font&gt;&lt;font&gt;&lt;font&gt;&lt;font&gt;Unidade de Segurança&lt;/font&gt;&lt;/font&gt;&lt;/font&gt;&lt;/font&gt;&lt;/font&gt;&lt;/font&gt;&lt;/font&gt;&lt;/font&gt;&lt;/font&gt;&lt;/font&gt;&lt;/strong&gt;&lt;/span&gt;&lt;/span&gt;&lt;br/&gt;&lt;span&gt;&lt;span&gt;&lt;font&gt;&lt;font&gt;&lt;font&gt;&lt;font&gt;&lt;font&gt;&lt;font&gt;&lt;font&gt;&lt;font&gt;&lt;font&gt;&lt;font&gt;+55 53 3234.3097 | unidadeseguranca.tcrg@wilsonsons.com.br&lt;/font&gt;&lt;/font&gt;&lt;/font&gt;&lt;/font&gt;&lt;/font&gt;&lt;/font&gt;&lt;/font&gt;&lt;/font&gt;&lt;/font&gt;&lt;/font&gt;&lt;/span&gt;&lt;/span&gt;&lt;/span&gt;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</si>
  <si>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https://wilsonsonstrg.zendesk.com/api/v2/help_center/pt-br/articles/10189750495757.json</t>
  </si>
  <si>
    <t>https://atendimento.teconline.com.br/hc/pt-br/articles/10189750495757-27-10-22-Feriados-M%C3%AAs-de-Novembro</t>
  </si>
  <si>
    <t>27/10/22 - Feriados | Mês de Novembro</t>
  </si>
  <si>
    <t>['feriado', 'vagas no feriado', 'finados', 'agendamento no feriado', 'feriado de novembro', 'proclamação da republica']</t>
  </si>
  <si>
    <t>&lt;p&gt;&lt;a href="https://go.pardot.com/webmail/845693/1001750526/59c5689c3c3ae717cfaee4208a52b5bbfa08e284901434d57e5647d3e70bef38" target="_blank"&gt;&lt;img alt="COMUNICADOS1.PNG" src="https://atendimento.teconline.com.br/hc/article_attachments/10189642248333"/&gt;&lt;/a&gt;&lt;/p&gt;
&lt;p&gt;&lt;a href="https://go.pardot.com/webmail/845693/1001750526/59c5689c3c3ae717cfaee4208a52b5bbfa08e284901434d57e5647d3e70bef38" target="_blank"&gt;&lt;img alt="comunicados2.PNG" src="https://atendimento.teconline.com.br/hc/article_attachments/10189624063373"/&gt;&lt;/a&gt;&lt;/p&gt;
&lt;p&gt; &lt;/p&gt;</t>
  </si>
  <si>
    <t>https://wilsonsonstrg.zendesk.com/api/v2/help_center/pt-br/articles/360048847852.json</t>
  </si>
  <si>
    <t>https://atendimento.teconline.com.br/hc/pt-br/articles/360048847852-Canal-de-Atendimento-WhatsApp</t>
  </si>
  <si>
    <t>Canal de Atendimento WhatsApp</t>
  </si>
  <si>
    <t>['contato', 'whatsapp', 'canal', 'mobile', 'como mando um whats', 'celular', 'whats']</t>
  </si>
  <si>
    <t>&lt;p&gt;Segue descrito abaixo procedimento para entrar em contato com o atendimento comercial:&lt;/p&gt;
&lt;p&gt; &lt;/p&gt;
&lt;p&gt;&lt;strong&gt;WhatsApp via celular&lt;/strong&gt;&lt;/p&gt;
&lt;p&gt;1. Em seu celular, adicione aos contatos o telefone (53) 3234.3030&lt;/p&gt;
&lt;p&gt;2. Envie sua solicitação&lt;/p&gt;
&lt;p&gt;3. Escreva o nome do canal de atendimento que deseja&lt;/p&gt;
&lt;p&gt;&lt;img alt="mceclip1.png" height="279" src="https://atendimento.teconline.com.br/hc/article_attachments/360067779572/mceclip1.png" width="319"/&gt;&lt;/p&gt;
&lt;p&gt; &lt;/p&gt;
&lt;p&gt;&lt;strong&gt;Imagens operacionalizando&lt;/strong&gt;&lt;/p&gt;
&lt;p&gt;&lt;strong&gt;&lt;img alt="mobile.gif" height="551" src="https://atendimento.teconline.com.br/hc/article_attachments/360067995611/mobile.gif" width="339"/&gt;&lt;/strong&gt;&lt;/p&gt;
&lt;p&gt; &lt;/p&gt;
&lt;p&gt;&lt;strong&gt;WhatsApp via Web&lt;/strong&gt;&lt;/p&gt;
&lt;p&gt;1.  Acesse o site Teconline&lt;/p&gt;
&lt;p&gt;Link : &lt;a href="http://www.teconline.com.br/login" target="_blank"&gt;clique aqui&lt;/a&gt;&lt;/p&gt;
&lt;p&gt; &lt;/p&gt;
&lt;p&gt;2. Selecione &lt;strong&gt;Contato via WhatsApp&lt;/strong&gt;&lt;/p&gt;
&lt;p&gt;&lt;img alt="whats00.PNG" src="https://atendimento.teconline.com.br/hc/article_attachments/360067780972/whats00.PNG"/&gt;&lt;/p&gt;
&lt;p&gt; &lt;/p&gt;
&lt;p&gt; &lt;/p&gt;
&lt;p&gt;4. Selecione &lt;strong&gt;Iniciar Conversa&lt;/strong&gt;&lt;/p&gt;
&lt;p&gt;&lt;strong&gt;&lt;img alt="whats03.PNG" src="https://atendimento.teconline.com.br/hc/article_attachments/360067780232/whats03.PNG"/&gt;&lt;/strong&gt;&lt;/p&gt;
&lt;p&gt; &lt;/p&gt;
&lt;p&gt;5. Selecione&lt;strong&gt; use o WhatsApp Web&lt;/strong&gt;&lt;/p&gt;
&lt;p&gt;&lt;strong&gt;&lt;img alt="mceclip2.png" src="https://atendimento.teconline.com.br/hc/article_attachments/360067780332/mceclip2.png"/&gt;&lt;/strong&gt;&lt;/p&gt;
&lt;p&gt; &lt;/p&gt;
&lt;p&gt;6. Realize o procedimento &lt;/p&gt;
&lt;p&gt;&lt;img alt="mceclip3.png" src="https://atendimento.teconline.com.br/hc/article_attachments/360067983671/mceclip3.png"/&gt;&lt;/p&gt;
&lt;p&gt; &lt;/p&gt;
&lt;p&gt;&lt;strong&gt;Observação:&lt;/strong&gt; A opção de WhatsApp via web também pode ser utilizada após realizar o login no site, selecionando a opção WhatsApp&lt;/p&gt;
&lt;p&gt; &lt;/p&gt;
&lt;p&gt;&lt;img alt="whats02.PNG" src="https://atendimento.teconline.com.br/hc/article_attachments/360067983191/whats02.PNG"/&gt;&lt;/p&gt;
&lt;p&gt; &lt;/p&gt;
&lt;p&gt;&lt;strong&gt;Imagens operacionalizando&lt;/strong&gt;&lt;/p&gt;
&lt;p&gt;&lt;strong&gt;&lt;img alt="whatsapp-b2b.gif" src="https://atendimento.teconline.com.br/hc/article_attachments/360067985531/whatsapp-b2b.gif"/&gt;&lt;/strong&gt;&lt;/p&gt;
&lt;p&gt; &lt;/p&gt;
&lt;p&gt; &lt;/p&gt;</t>
  </si>
  <si>
    <t>https://wilsonsonstrg.zendesk.com/api/v2/help_center/pt-br/articles/16885100113165.json</t>
  </si>
  <si>
    <t>https://atendimento.teconline.com.br/hc/pt-br/articles/16885100113165-19-06-2023-Queremos-Ouvir-Voc%C3%AA</t>
  </si>
  <si>
    <t>19/06/2023 - Queremos Ouvir Você!</t>
  </si>
  <si>
    <t>['01H1VJZ0K3W26BGAVYDENZ09Y1', '01H3AENBGGJDH75ZE0K34Q0JH8']</t>
  </si>
  <si>
    <t>['customer experience', 'Cliente', 'Pesquisa de Satisfação', 'Cultura do Cliente']</t>
  </si>
  <si>
    <t>&lt;p&gt; &lt;/p&gt;
&lt;p&gt; &lt;/p&gt;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alt="Queremos ouvir você!" height="448" src="https://go.pardot.com/l/845693/2023-06-08/ptbbqx/845693/1686259208HhysUF4M/Grupo_42.png" width="685"/&gt;&lt;br/&gt;&lt;!--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&lt;td&gt; &lt;/td&gt;
&lt;td&gt; &lt;/td&gt;
&lt;td&gt; &lt;/td&gt;
&lt;/tr&gt;
&lt;tr&gt;
&lt;td&gt; &lt;/td&gt;
&lt;td colspan="3" rowspan="2"&gt;
&lt;p&gt;&lt;span&gt;&lt;span&gt;&lt;span&gt;Nós queremos que você opine e nos conte mais sobre as experiências que teve com o Tecon Rio Grande, só assim vamos poder superar desafios para ser ainda melhor.&lt;br/&gt;&lt;br/&gt;Acreditamos que a melhor forma de evoluir é compartilhando necessidades e expectativas, é assim que identificamos pontos fortes e áreas de melhoria em nossos processos. Por isso, aplicamos algumas Pesquisas de Satisfação durante o ano, porque queremos garantir que sua experiência conosco seja sempre a melhor possível.&lt;br/&gt;&lt;br/&gt;Compartilhando sua avaliação, você ajuda nosso atendimento, eficiência operacional, qualidade dos serviços, entre outros. &lt;br/&gt;&lt;br/&gt;Ah! E reforçamos: suas respostas serão tratadas sempre com a mais absoluta confidencialidade e usadas exclusivamente para aprimorar nossas operações.&lt;br/&gt;&lt;br/&gt;&lt;br/&gt;&lt;img alt="É você que guia nossas rotas por caminhos de sucesso!" height="87" src="https://go.pardot.com/l/845693/2023-06-08/ptbbr1/845693/1686259338aK3oQ5nT/___voc___que_guia_nossas_rotas_por_caminhos_de_sucesso_.png" width="457"/&gt;&lt;/span&gt;&lt;/span&gt;&lt;/span&gt;&lt;br/&gt;​​&lt;span&gt;&lt;span&gt;&lt;span&gt;&lt;font&gt;&lt;font&gt;&lt;font&gt;&lt;font&gt;​​​&lt;/font&gt;&lt;/font&gt;&lt;/font&gt;&lt;/font&gt;&lt;/span&gt;&lt;/span&gt;&lt;/span&gt;&lt;/p&gt;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&lt;br/&gt;&lt;span&gt;&lt;span&gt;&lt;span&gt;&lt;font&gt;&lt;font&gt;&lt;font&gt;&lt;font&gt;&lt;font&gt;&lt;font&gt;&lt;font&gt;&lt;font&gt;&lt;font&gt;&lt;font&gt;&lt;font&gt;&lt;font&gt;Um abraço,&lt;br/&gt;Equipe Tecon Rio Grande&lt;/font&gt;&lt;/font&gt;&lt;/font&gt;&lt;/font&gt;&lt;/font&gt;&lt;/font&gt;&lt;/font&gt;&lt;/font&gt;&lt;/font&gt;&lt;/font&gt;&lt;/font&gt;&lt;/font&gt;&lt;/span&gt;&lt;/span&gt;&lt;/span&gt;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t>
  </si>
  <si>
    <t>https://wilsonsonstrg.zendesk.com/api/v2/help_center/pt-br/articles/9634096872333.json</t>
  </si>
  <si>
    <t>https://atendimento.teconline.com.br/hc/pt-br/articles/9634096872333-04-10-22-Feriado-M%C3%AAs-de-Outubro</t>
  </si>
  <si>
    <t>04/10/22 - Feriado | Mês de Outubro</t>
  </si>
  <si>
    <t>['agendamento', 'feriado', 'feriado de nossa senhora aparecida', 'expediente no feriado', 'vagas no feriado']</t>
  </si>
  <si>
    <t>&lt;p&gt;&lt;a href="https://go.pardot.com/webmail/845693/973101325/59c5689c3c3ae717cfaee4208a52b5bbfa08e284901434d57e5647d3e70bef38" target="_blank"&gt;&lt;img alt="comunicado001.PNG" src="https://atendimento.teconline.com.br/hc/article_attachments/9634001850125"/&gt;&lt;/a&gt;&lt;a href="https://go.pardot.com/webmail/845693/973101325/59c5689c3c3ae717cfaee4208a52b5bbfa08e284901434d57e5647d3e70bef38" target="_blank"&gt;&lt;img alt="comunicado002.PNG" src="https://atendimento.teconline.com.br/hc/article_attachments/9634070365069"/&gt;&lt;/a&gt;&lt;/p&gt;</t>
  </si>
  <si>
    <t>https://wilsonsonstrg.zendesk.com/api/v2/help_center/pt-br/articles/16506253580429.json</t>
  </si>
  <si>
    <t>https://atendimento.teconline.com.br/hc/pt-br/articles/16506253580429-26-05-2023-Novo-Procedimento-Estufagem-Armaz%C3%A9m</t>
  </si>
  <si>
    <t>26/05/2023 - [Novo Procedimento] - Estufagem Armazém</t>
  </si>
  <si>
    <t>['procedimento', 'armazém de exportação']</t>
  </si>
  <si>
    <t>&lt;span&gt;&lt;span&gt;&lt;/span&gt;&lt;/span&gt;
&lt;table border="0" cellpadding="0" cellspacing="0" width="100%"&gt;
&lt;tbody&gt;
&lt;tr&gt;
&lt;td align="center" valign="top"&gt;
&lt;!-- // Begin Template Preheader \ --&gt;
&lt;table border="0" cellpadding="10" cellspacing="0" width="600"&gt;
&lt;tbody&gt;
&lt;tr&gt;
&lt;td valign="top"&gt;&lt;!-- // End Module: Standard Preheader  --&gt;&lt;/td&gt;
&lt;/tr&gt;
&lt;/tbody&gt;
&lt;/table&gt;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0012/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26 de Maio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&lt;p&gt;&lt;strong&gt;&lt;span&gt;&lt;span&gt;Estufagem Armazém&lt;/span&gt;&lt;/span&gt;&lt;/strong&gt;&lt;/p&gt;
&lt;hr/&gt;​&lt;br/&gt;&lt;span&gt;&lt;span&gt;Com o propósito de trazer mais &lt;strong&gt;agilidade&lt;/strong&gt; e &lt;strong&gt;eficiência&lt;/strong&gt; aos procedimentos do terminal, concluímos mais uma etapa no ​​​​​&lt;br/&gt;nosso processo de &lt;strong&gt;digitalização&lt;/strong&gt;.&lt;br/&gt;&lt;br/&gt;Informamos que a partir do dia&lt;strong&gt; 05/06/2023&lt;/strong&gt;, o processo de solicitação de estufagem, retirada de vazio e ficha de embarque, passará a ser realizado através do ​​​​​&lt;strong&gt;Teconline&lt;/strong&gt;, onde também será possível realizar o acompanhamento desta solicitação.&lt;br/&gt;&lt;br/&gt;Acompanhe o passo a passo no &lt;strong&gt;manual&lt;/strong&gt; abaixo:&lt;br/&gt;&lt;br/&gt;&lt;a href="https://go.pardot.com/e/845693/3-Inativo-Estufagem-ArmazC3A9m/psmm6b/1231587429?h=o6y8LkKboOfFX5jcQnIOzCx8G_LDeejoYsrZEMndeDA"&gt;Solicitação Estufagem&lt;/a&gt;&lt;br/&gt;&lt;br/&gt;Em caso de dúvidas, favor entrar em contato por meio dos&lt;br/&gt;nossos Canais de Atendimento.&lt;/span&gt;&lt;/span&gt;&lt;br/&gt;&lt;br/&gt;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</si>
  <si>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https://wilsonsonstrg.zendesk.com/api/v2/help_center/pt-br/articles/9158185673869.json</t>
  </si>
  <si>
    <t>https://atendimento.teconline.com.br/hc/pt-br/articles/9158185673869-14-09-22-Feriados-M%C3%AAs-de-Setembro</t>
  </si>
  <si>
    <t>14/09/22 - Feriados | Mês de Setembro</t>
  </si>
  <si>
    <t>['agendamento', 'feriado', 'comunicado', 'vagas no feriado', 'revolução farroupilha']</t>
  </si>
  <si>
    <t>&lt;p&gt;&lt;a href="https://go.pardot.com/webmail/845693/949553374/59c5689c3c3ae717cfaee4208a52b5bbfa08e284901434d57e5647d3e70bef38" target="_blank"&gt;&lt;img alt="COMUNICADO01.PNG" src="https://atendimento.teconline.com.br/hc/article_attachments/9158125009037/COMUNICADO01.PNG"/&gt;&lt;/a&gt;&lt;/p&gt;
&lt;p&gt;&lt;a href="https://go.pardot.com/webmail/845693/949553374/59c5689c3c3ae717cfaee4208a52b5bbfa08e284901434d57e5647d3e70bef38" target="_blank"&gt;&lt;img alt="COMUNICADO02.PNG" src="https://atendimento.teconline.com.br/hc/article_attachments/9158180388749/COMUNICADO02.PNG"/&gt;&lt;/a&gt;&lt;/p&gt;</t>
  </si>
  <si>
    <t>https://wilsonsonstrg.zendesk.com/api/v2/help_center/pt-br/articles/360000326591.json</t>
  </si>
  <si>
    <t>https://atendimento.teconline.com.br/hc/pt-br/articles/360000326591-Servi%C3%A7os-B%C3%A1sicos-de-Importa%C3%A7%C3%A3o</t>
  </si>
  <si>
    <t>Serviços Básicos de Importação</t>
  </si>
  <si>
    <t>['numerário', 'custos básicos', 'valores', 'quanto custa', 'valores dos serviços', 'custos basicos', 'valores de importação', 'valores de exportação', 'preço', 'estrutura de preços e serviços', 'no show', 'fiel depositario', 'estrutura de serviços', 'estrutura de serviços e preços', 'estrutura']</t>
  </si>
  <si>
    <t>&lt;p&gt;&lt;strong&gt;Processos FCL (carga em Container)&lt;/strong&gt;&lt;/p&gt;
&lt;p&gt;B.4. Serviço de ISPS Code&lt;/p&gt;
&lt;p&gt;C.1. Fiel Depósito&lt;/p&gt;
&lt;p&gt;D.6. Levante de cntr de importação&lt;/p&gt;
&lt;p&gt;E.15. Serviço de Inspeção Não Invasiva&lt;/p&gt;
&lt;p&gt;E.3.4. Importação (Recebimento)&lt;/p&gt;
&lt;p&gt;G.3. Armazenagem&lt;/p&gt;
&lt;p&gt;*Cntrs Reefer: adicional do serviço de Energia e Monitoramento.&lt;/p&gt;
&lt;p&gt;Normas de Aplicação: Vide Estrutura de Serviços e Preços (&lt;a href="https://www.wilsonsons.com.br/pt-br/teconriogrande/servicos/estrutura-de-servicos-e-precos/" target="_blank"&gt;Clique aqui)&lt;/a&gt;&lt;/p&gt;
&lt;p&gt; &lt;/p&gt;
&lt;p&gt;&lt;strong&gt;Processos LCL (Carga desovada e armazenada no armazém)&lt;/strong&gt;&lt;/p&gt;
&lt;p&gt;B.4. Serviço de ISPS Code&lt;/p&gt;
&lt;p&gt;C.1. Fiel Depósito&lt;/p&gt;
&lt;p&gt;E.3.4. Importação Recebimento&lt;/p&gt;
&lt;p&gt;E.15. Serviço de Inspeção Não Invasiva&lt;/p&gt;
&lt;p&gt;E.3.4. Importação (Recebimento)&lt;/p&gt;
&lt;p&gt;F.8. Devolução de Container&lt;/p&gt;
&lt;p&gt;F.11. Serviço de Desconsolidação&lt;/p&gt;
&lt;p&gt;F.12. Levante de Carga&lt;/p&gt;
&lt;p&gt;G.5. Armazenagem&lt;/p&gt;
&lt;p&gt;Normas de Aplicação: Vide Estrutura de Serviços e Preços (&lt;a href="https://www.wilsonsons.com.br/pt-br/teconriogrande/servicos/estrutura-de-servicos-e-precos/" target="_blank"&gt;Clique aqui)&lt;/a&gt;&lt;/p&gt;</t>
  </si>
  <si>
    <t>https://wilsonsonstrg.zendesk.com/api/v2/help_center/pt-br/articles/16314615075597.json</t>
  </si>
  <si>
    <t>https://atendimento.teconline.com.br/hc/pt-br/articles/16314615075597-30-05-2023-Comunicado-Importante-Acesso-ao-P%C3%A1tio-Operacional-V%C3%ADdeo</t>
  </si>
  <si>
    <t>30/05/2023 - [Comunicado Importante] - Acesso ao Pátio Operacional | Vídeo</t>
  </si>
  <si>
    <t>['01H1VJZ0K3W26BGAVYDENZ09Y1', '01H1VJZ6SZ8D3GG1DY9JZ0JSX0', '01H1VJZN0A231JPPFVQ1AA4TX2', '01H1VJZTTMSC9E2FK6SC533WHP']</t>
  </si>
  <si>
    <t>['gate', 'acesso ao terminal', 'video', 'pátio']</t>
  </si>
  <si>
    <t>&lt;p&gt; &lt;/p&gt;
&lt;p&gt; &lt;/p&gt;
&lt;p&gt;&lt;/p&gt;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0013/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30 de Maio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&lt;p&gt;&lt;span&gt;&lt;span&gt;&lt;strong&gt;&lt;span&gt;&lt;font&gt;&lt;font&gt;&lt;font&gt;&lt;font&gt;Acesso ao Pátio Operacional | Vídeo&lt;/font&gt;&lt;/font&gt;&lt;/font&gt;&lt;/font&gt;&lt;/span&gt;&lt;/strong&gt;&lt;/span&gt;&lt;/span&gt;&lt;/p&gt;
&lt;hr/&gt;
&lt;p&gt;&lt;span&gt;&lt;span&gt;Na Wilson Sons, a &lt;strong&gt;segurança&lt;/strong&gt; vem em primeiro lugar, por isso, produzimos um material prático e visual com dicas de acesso e  orientações de segurança.&lt;br/&gt;&lt;br/&gt;Para facilitar o &lt;strong&gt;acesso&lt;/strong&gt; dos motoristas ao &lt;strong&gt;pátio operacional&lt;/strong&gt; do terminal e garantir o &lt;strong&gt;bem-estar &lt;/strong&gt;de todos, confira o vídeo no link abaixo:&lt;br/&gt;&lt;br/&gt;&lt;a href="https://go.pardot.com/e/845693/WzszcneYeas/pst2qm/1234975338?h=6OQ3VlSLj5k8kVlUB2TTccYt8V22JowWCcgKjBo5hwE"&gt;Motoristas - Acesso Tecon Rio Grande&lt;/a&gt;&lt;/span&gt;&lt;/span&gt;&lt;br/&gt;&lt;br/&gt;&lt;span&gt;&lt;span&gt;&lt;span&gt;&lt;font&gt;&lt;font&gt;&lt;font&gt;&lt;font&gt;Contamos com a colaboração de todos para o compartilhamento deste vídeo com seus motoristas.&lt;br/&gt;​​​​&lt;/font&gt;&lt;/font&gt;&lt;/font&gt;&lt;/font&gt;&lt;/span&gt;&lt;/span&gt;&lt;/span&gt;&lt;br/&gt; &lt;/p&gt;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</si>
  <si>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https://wilsonsonstrg.zendesk.com/api/v2/help_center/pt-br/articles/8852303339661.json</t>
  </si>
  <si>
    <t>https://atendimento.teconline.com.br/hc/pt-br/articles/8852303339661-01-09-22-Feriados-M%C3%AAs-de-Setembro</t>
  </si>
  <si>
    <t>01/09/22 - Feriados | Mês de Setembro</t>
  </si>
  <si>
    <t>['feriado', 'independencia do brasil', 'independência', 'expediente no feriado', 'feriado de 7 de setembro', 'vagas no feriado', 'entrega de carga no feriado', 'feriado de setembro', 'horários no feriado', 'revolução farroupilha', 'feriado de 20 de setembro', 'entrega de cheio no feriado', 'agendamento no feriado']</t>
  </si>
  <si>
    <t>&lt;p&gt;&lt;a href="https://go.pardot.com/webmail/845693/932763961/52942055beae62feebe422db73ef899aeecc71aefe5ed381e11b6b7dd4e47520" target="_blank"&gt;&lt;img alt="comunicado001.PNG" src="https://atendimento.teconline.com.br/hc/article_attachments/8852184729613/comunicado001.PNG"/&gt;&lt;/a&gt;&lt;/p&gt;
&lt;p&gt;&lt;a href="https://go.pardot.com/webmail/845693/932763961/52942055beae62feebe422db73ef899aeecc71aefe5ed381e11b6b7dd4e47520" target="_blank"&gt;&lt;img alt="comunicado002.PNG" src="https://atendimento.teconline.com.br/hc/article_attachments/8852239873421/comunicado002.PNG"/&gt;&lt;/a&gt;&lt;/p&gt;</t>
  </si>
  <si>
    <t>https://wilsonsonstrg.zendesk.com/api/v2/help_center/pt-br/articles/16234303919501.json</t>
  </si>
  <si>
    <t>https://atendimento.teconline.com.br/hc/pt-br/articles/16234303919501-26-05-2023-Novo-Procedimento-Estufagem-Armaz%C3%A9m</t>
  </si>
  <si>
    <t>['01GPY217SSC5MP9PMEN97RPEVN', '01H0NPK2X1DJVSBCSB7F18XY6E', '01H0QAVF5TWWXQNCT0RA7NDHEK', '01H0QAVT32WST32109THK2PZCJ', '01H1MK8705RK7959RXWZZHSDSW']</t>
  </si>
  <si>
    <t>['exportação', 'vazio', 'estufagem', 'estufagem exportação', 'agendamento estufagem']</t>
  </si>
  <si>
    <t>&lt;p&gt; &lt;/p&gt;
&lt;p&gt; &lt;/p&gt;
&lt;p&gt;&lt;/p&gt;
&lt;!-- Facebook sharing information tags --&gt;
&lt;p&gt;&lt;/p&gt;
&lt;table border="0" cellpadding="0" cellspacing="0" width="100%"&gt;
&lt;tbody&gt;
&lt;tr&gt;
&lt;td align="center" valign="top"&gt;
&lt;table border="0" cellpadding="0" cellspacing="0" width="600"&gt;
&lt;tbody&gt;
&lt;tr&gt;
&lt;td align="center" valign="top"&gt;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0012/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26 de Maio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&lt;p&gt;&lt;strong&gt;&lt;span&gt;&lt;span&gt;Estufagem Armazém&lt;/span&gt;&lt;/span&gt;&lt;/strong&gt;&lt;/p&gt;
&lt;hr/&gt;​&lt;br/&gt;&lt;span&gt;&lt;span&gt;Com o propósito de trazer mais &lt;strong&gt;agilidade&lt;/strong&gt; e &lt;strong&gt;eficiência&lt;/strong&gt; aos procedimentos do terminal, concluímos mais uma etapa no ​​​​​&lt;br/&gt;nosso processo de &lt;strong&gt;digitalização&lt;/strong&gt;.&lt;br/&gt;&lt;br/&gt;Informamos que a partir do dia&lt;strong&gt; 05/06/2023&lt;/strong&gt;, o processo de solicitação de estufagem, retirada de vazio e ficha de embarque, passará a ser realizado através do ​​​​​&lt;strong&gt;Teconline&lt;/strong&gt;, onde também será possível realizar o acompanhamento desta solicitação.&lt;br/&gt;&lt;br/&gt;Acompanhe o passo a passo no &lt;strong&gt;manual&lt;/strong&gt; abaixo:&lt;br/&gt;&lt;br/&gt;&lt;a href="https://go.pardot.com/e/845693/3-Inativo-Estufagem-ArmazC3A9m/psmm6b/1231587441?h=n7vTI0SUSi9eCIuG4NQ0ahBh2c6EGvNcXyV9ddib83I"&gt;Solicitação Estufagem&lt;/a&gt;&lt;br/&gt;&lt;br/&gt;Em caso de dúvidas, favor entrar em contato por meio dos&lt;br/&gt;nossos Canais de Atendimento.&lt;/span&gt;&lt;/span&gt;&lt;br/&gt;&lt;br/&gt;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</si>
  <si>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https://wilsonsonstrg.zendesk.com/api/v2/help_center/pt-br/articles/7172806233485.json</t>
  </si>
  <si>
    <t>https://atendimento.teconline.com.br/hc/pt-br/articles/7172806233485-24-06-22-Feriado-Municipal-de-S%C3%A3o-Pedro</t>
  </si>
  <si>
    <t>24/06/22 - Feriado Municipal de São Pedro</t>
  </si>
  <si>
    <t>['feriado', 'agendamento de cheio', 'vagas no feriado', 'agendamento de vazio', 'entrega de container no feriado', 'feriado municipal', 'retirada de container no feriado', 'são pedro']</t>
  </si>
  <si>
    <t>&lt;p&gt;&lt;a href="http://go.pardot.com/webmail/845693/856921666/9d44f8e501877ff9fa0ef4d2e866d45d7382f2b2a948baf3729b692ba41298d3" target="_blank"&gt;&lt;img alt="comunicado01.PNG" src="https://atendimento.teconline.com.br/hc/article_attachments/7172707374989/comunicado01.PNG"/&gt;&lt;/a&gt;&lt;/p&gt;
&lt;p&gt;&lt;a href="http://go.pardot.com/webmail/845693/856921666/9d44f8e501877ff9fa0ef4d2e866d45d7382f2b2a948baf3729b692ba41298d3" target="_blank"&gt;&lt;img alt="comunicado2.PNG" src="https://atendimento.teconline.com.br/hc/article_attachments/7172738553997/comunicado2.PNG"/&gt;&lt;/a&gt;&lt;/p&gt;
&lt;p&gt; &lt;/p&gt;</t>
  </si>
  <si>
    <t>https://wilsonsonstrg.zendesk.com/api/v2/help_center/pt-br/articles/15870500978701.json</t>
  </si>
  <si>
    <t>https://atendimento.teconline.com.br/hc/pt-br/articles/15870500978701-17-05-23-Comunicado-Importante-Hor%C3%A1rio-de-Atendimento-Armaz%C3%A9m-Exporta%C3%A7%C3%A3o</t>
  </si>
  <si>
    <t>17/05/23 - [Comunicado Importante] Horário de Atendimento | Armazém Exportação</t>
  </si>
  <si>
    <t>['01H0NPK2X1DJVSBCSB7F18XY6E', '01H0NPKBCQZESTZHH09BDEWSRP']</t>
  </si>
  <si>
    <t>['exportação', 'armazém', 'horários', 'armazem', 'Armazém Exportação']</t>
  </si>
  <si>
    <t>&lt;p&gt;&lt;/p&gt;
&lt;!-- Facebook sharing information tags --&gt;
&lt;p&gt;&lt;/p&gt;
&lt;table border="0" cellpadding="0" cellspacing="0" width="100%"&gt;
&lt;tbody&gt;
&lt;tr&gt;
&lt;td align="center" valign="top"&gt;
&lt;br/&gt;
&lt;table border="0" cellpadding="0" cellspacing="0" width="600"&gt;
&lt;tbody&gt;
&lt;tr&gt;
&lt;td align="center" valign="top"&gt;
&lt;!-- // Begin Template Header \ --&gt;
&lt;table border="0" cellpadding="0" cellspacing="0" width="600"&gt;
&lt;tbody&gt;
&lt;tr&gt;
&lt;td&gt; 
&lt;div&gt;
&lt;img alt="TECON RIO GRANDE COMUNICA: Importante!" height="327" src="http://go.pardot.com/l/845693/2022-04-04/nqrsf9/845693/1649076412AVPdnGQ3/TC_IMPORTANTE_v2.jpg"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0011/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17 de maio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&lt;p&gt;&lt;span&gt;&lt;span&gt;&lt;strong&gt;&lt;span&gt;&lt;font&gt;&lt;font&gt;&lt;font&gt;&lt;font&gt;Horário de Atendimento | Armazém Exportação&lt;/font&gt;&lt;/font&gt;&lt;/font&gt;&lt;/font&gt;&lt;/span&gt;&lt;/strong&gt;&lt;/span&gt;&lt;/span&gt;&lt;/p&gt;
&lt;hr/&gt;
&lt;p&gt;&lt;span&gt;&lt;span&gt;Prezados clientes,&lt;br/&gt;&lt;br/&gt;Informamos que a partir do dia &lt;strong&gt;01 de junho de 2023&lt;/strong&gt;, o armazém de exportação do Tecon Rio Grande estará operando em novo horário de atendimento: &lt;strong&gt;Segunda-feira a Sexta-feira das 8h às 18h&lt;/strong&gt;. &lt;br/&gt;&lt;br/&gt;Com essa alteração, &lt;strong&gt;o expediente aos sábados será descontinuado&lt;/strong&gt;.&lt;br/&gt;&lt;br/&gt;Caso exista necessidade de entrega de cargas neste dia da semana, gentileza encaminhar sua solicitação aos nossos Canais de Atendimento para análise de viabilidade.&lt;/span&gt;&lt;/span&gt;&lt;br/&gt; &lt;/p&gt;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&lt;br/&gt;&lt;span&gt;&lt;span&gt;&lt;span&gt;&lt;strong&gt;&lt;font&gt;&lt;font&gt;&lt;font&gt;&lt;font&gt;&lt;font&gt;&lt;font&gt;&lt;font&gt;&lt;font&gt;&lt;font&gt;&lt;font&gt;&lt;font&gt;&lt;font&gt;Central de Atendimento&lt;/font&gt;&lt;/font&gt;&lt;/font&gt;&lt;/font&gt;&lt;/font&gt;&lt;/font&gt;&lt;/font&gt;&lt;/font&gt;&lt;/font&gt;&lt;/font&gt;&lt;/font&gt;&lt;/font&gt;&lt;/strong&gt;&lt;/span&gt;&lt;/span&gt;&lt;br/&gt;&lt;span&gt;&lt;span&gt;&lt;font&gt;&lt;font&gt;&lt;font&gt;&lt;font&gt;&lt;font&gt;&lt;font&gt;&lt;font&gt;&lt;font&gt;&lt;font&gt;&lt;font&gt;&lt;font&gt;&lt;font&gt;+55 53 3234.3030 | &lt;/font&gt;&lt;/font&gt;&lt;/font&gt;&lt;/font&gt;&lt;/font&gt;&lt;/font&gt;&lt;/font&gt;&lt;/font&gt;&lt;/font&gt;&lt;/font&gt;&lt;/font&gt;&lt;font&gt;&lt;font&gt;&lt;font&gt;&lt;font&gt;&lt;font&gt;&lt;font&gt;&lt;font&gt;&lt;font&gt;&lt;font&gt;&lt;font&gt;&lt;font&gt;atendimento.tcrg@wilsonsons.com.br&lt;/font&gt;&lt;/font&gt;&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t>
  </si>
  <si>
    <t>https://wilsonsonstrg.zendesk.com/api/v2/help_center/pt-br/articles/5343888822925.json</t>
  </si>
  <si>
    <t>https://atendimento.teconline.com.br/hc/pt-br/articles/5343888822925-06-04-22-Feriados-de-P%C3%A1scoa-e-Tiradentes</t>
  </si>
  <si>
    <t>06/04/22 - Feriados de Páscoa e Tiradentes</t>
  </si>
  <si>
    <t>['feriado', 'feriado de pascoa', 'expediente no feriado', 'vagas no feriado', 'entrega de container no feriado', 'entrega de carga no feriado', 'feriado de tiradentes']</t>
  </si>
  <si>
    <t>&lt;p&gt;&lt;a href="http://go.pardot.com/webmail/845693/751674728/9d44f8e501877ff9fa0ef4d2e866d45d7382f2b2a948baf3729b692ba41298d3" target="_blank"&gt;&lt;img alt="001.PNG" src="https://atendimento.teconline.com.br/hc/article_attachments/5343817231117/001.PNG"/&gt;&lt;/a&gt;&lt;/p&gt;
&lt;p&gt;&lt;a href="http://go.pardot.com/webmail/845693/751674728/9d44f8e501877ff9fa0ef4d2e866d45d7382f2b2a948baf3729b692ba41298d3" target="_blank"&gt;&lt;img alt="002.PNG" src="https://atendimento.teconline.com.br/hc/article_attachments/5343832562445/002.PNG"/&gt;&lt;/a&gt;&lt;/p&gt;</t>
  </si>
  <si>
    <t>https://wilsonsonstrg.zendesk.com/api/v2/help_center/pt-br/articles/14621914526093.json</t>
  </si>
  <si>
    <t>https://atendimento.teconline.com.br/hc/pt-br/articles/14621914526093-05-04-23-Novo-Procedimento-Levante-e-Sa%C3%ADda-de-Cargas-DI-DTA-Importa%C3%A7%C3%A3o</t>
  </si>
  <si>
    <t>05/04/23 - [Novo Procedimento] - Levante e Saída de Cargas DI/DTA Importação</t>
  </si>
  <si>
    <t>['01GXBBTYK6WPV7FGGQ36FRQQT5', '01GXBBV7Y0G0W3VTWQN52N9PBX', '01GXBBVV4KCAK35JQ2KGFJHCQK', '01GXBBW5AD54YKBK163SCFR8WW']</t>
  </si>
  <si>
    <t>['DI', 'import desk', 'importação', 'dta', 'dtá pátio', 'levante de carga', 'levante de dta', 'dta patio']</t>
  </si>
  <si>
    <t>&lt;!-- Facebook sharing information tags --&gt;&lt;!-- // End Module: Standard Preheader  --&gt;
&lt;p&gt; &lt;/p&gt;
&lt;!-- // End Template Preheader \ --&gt;
&lt;table border="0" cellpadding="0" cellspacing="0" width="600"&gt;
&lt;tbody&gt;
&lt;tr&gt;
&lt;td align="center" valign="top"&gt;
&lt;!-- // Begin Template Header \ --&gt;
&lt;table border="0" cellpadding="0" cellspacing="0" width="600"&gt;
&lt;tbody&gt;
&lt;tr&gt;
&lt;td&gt; 
&lt;div&gt;
&lt;img alt="TECON RIO GRANDE COMUNICA: Novo Procedimento!" height="360" src="https://go.pardot.com/l/845693/2023-03-27/pqn131/845693/167992323613MCVKdD/TC_NOVO_PROCEDIMENTO_v2.jpg"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 &lt;span&gt; &lt;font face="Arial, Helvetica, sans-serif"&gt;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&lt;font&gt;Nº 0009/2023&lt;/font&gt;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&lt;/span&gt; &lt;/span&gt; &lt;br/&gt;&lt;span&gt; &lt;span&gt; &lt;font face="Arial, Helvetica, sans-serif"&gt;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&lt;font&gt;Rio Grande, 05 de abril de 2023&lt;/font&gt;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&lt;/font&gt; &lt;/span&gt; &lt;/span&gt;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&lt;div&gt; &lt;/div&gt;
&lt;/td&gt;
&lt;td&gt; &lt;/td&gt;
&lt;td&gt; &lt;/td&gt;
&lt;/tr&gt;
&lt;tr&gt;
&lt;td&gt; &lt;/td&gt;
&lt;td colspan="3" rowspan="2"&gt;
&lt;p&gt;&lt;strong&gt;&lt;span&gt;&lt;span&gt;Levante e Saída de Cargas DI/DTA Importação&lt;/span&gt;&lt;/span&gt;&lt;/strong&gt;&lt;/p&gt;
&lt;hr/&gt;​&lt;span&gt;&lt;span&gt;Informamos que a partir do dia &lt;strong&gt;10/04/2023&lt;/strong&gt;, todas as ordens de serviços de levante e saída de cargas de importação deverão ser solicitadas no &lt;strong&gt;prédio de Presença de Carga&lt;/strong&gt; (sinalizado abaixo),&lt;br/&gt;em todos os turnos.&lt;br/&gt;&lt;br/&gt;&lt;img alt="" height="269" src="https://go.pardot.com/l/845693/2023-03-22/pqjcrj/845693/1679509038otPHbuMV/_TCRG__Localiza____o_Sala_Levante_de_Carga.png" width="438"/&gt;&lt;/span&gt;&lt;/span&gt;​​​&lt;br/&gt;&lt;br/&gt;&lt;span&gt; &lt;span&gt; &lt;span&gt; &lt;font&gt; &lt;font&gt; Em cumprimento à exigência do ISPS Code, informamos que a &lt;br/&gt;&lt;strong&gt;portaria 5&lt;/strong&gt; do terminal será &lt;strong&gt;desativada. &lt;/strong&gt; &lt;/font&gt; &lt;/font&gt; &lt;/span&gt; &lt;/span&gt; &lt;br/&gt;&lt;br/&gt;&lt;span&gt; &lt;span&gt; &lt;font&gt; &lt;font&gt; Para mais informações, entre em contato por meio de nossa central&lt;br/&gt;de atendimento. &lt;/font&gt; &lt;/font&gt; &lt;/span&gt; &lt;/span&gt; &lt;/span&gt; &lt;br/&gt;&lt;br/&gt;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 &lt;span&gt; &lt;span&gt; &lt;strong&gt; &lt;font&gt; &lt;font&gt; &lt;font&gt; &lt;font&gt; &lt;font&gt; &lt;font&gt; &lt;font&gt; &lt;font&gt; &lt;font&gt; &lt;font&gt;Import Desk&lt;/font&gt; &lt;/font&gt; &lt;/font&gt; &lt;/font&gt; &lt;/font&gt; &lt;/font&gt; &lt;/font&gt; &lt;/font&gt; &lt;/font&gt; &lt;/font&gt; &lt;/strong&gt; &lt;/span&gt; &lt;/span&gt; &lt;br/&gt;&lt;span&gt; &lt;span&gt; &lt;font&gt; &lt;font&gt; &lt;font&gt; &lt;font&gt; &lt;font&gt; &lt;font&gt; &lt;font&gt; &lt;font&gt; &lt;font&gt; &lt;font&gt;+55 53 3234.3134 | importdesk.tcrg@wilsonsons.com.br&lt;/font&gt; &lt;/font&gt; &lt;/font&gt; &lt;/font&gt; &lt;/font&gt; &lt;/font&gt; &lt;/font&gt; &lt;/font&gt; &lt;/font&gt; &lt;/font&gt; &lt;/span&gt; &lt;/span&gt; &lt;/span&gt;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
          This email was originally designed by the wonderful folks at MailChimp and remixed by Pardot.
          It is licensed under CC BY-SA 3.0
        --&gt;
&lt;p&gt;
&lt;/p&gt;</t>
  </si>
  <si>
    <t>https://wilsonsonstrg.zendesk.com/api/v2/help_center/pt-br/articles/4463234184333.json</t>
  </si>
  <si>
    <t>https://atendimento.teconline.com.br/hc/pt-br/articles/4463234184333-21-02-22-Feriado-de-Carnaval</t>
  </si>
  <si>
    <t>21/02/22 - Feriado de Carnaval</t>
  </si>
  <si>
    <t>['carnaval', 'feriado de carnaval', 'entrega de container', 'vagas no feriado', 'vagas e horários', 'agendamento no carnaval']</t>
  </si>
  <si>
    <t>&lt;p&gt;&lt;a href="http://go.pardot.com/webmail/845693/706047002/9d44f8e501877ff9fa0ef4d2e866d45d7382f2b2a948baf3729b692ba41298d3" target="_blank"&gt;&lt;img alt="comunicado_01.PNG" src="https://atendimento.teconline.com.br/hc/article_attachments/4463208405645/comunicado_01.PNG"/&gt;&lt;/a&gt;&lt;/p&gt;
&lt;p&gt;&lt;a href="http://go.pardot.com/webmail/845693/706047002/9d44f8e501877ff9fa0ef4d2e866d45d7382f2b2a948baf3729b692ba41298d3" target="_blank"&gt;&lt;img alt="comunicado_02.PNG" src="https://atendimento.teconline.com.br/hc/article_attachments/4463208728205/comunicado_02.PNG"/&gt;&lt;/a&gt;&lt;/p&gt;</t>
  </si>
  <si>
    <t>https://wilsonsonstrg.zendesk.com/api/v2/help_center/pt-br/articles/14178022837773.json</t>
  </si>
  <si>
    <t>https://atendimento.teconline.com.br/hc/pt-br/articles/14178022837773-21-03-23-Comunicado-Importante-Armaz%C3%A9m-Exporta%C3%A7%C3%A3o</t>
  </si>
  <si>
    <t>21/03/23 - [Comunicado Importante] Armazém Exportação</t>
  </si>
  <si>
    <t>['armazém', 'como entregar carga no armazém', 'cargas devem ser entregues ao armazém e liberadas para estufagem', 'carga avulsa de expo', 'agendamento de descarga', 'armex', 'Cargas', 'Armazém Exportação', 'procedimento armazém exportação']</t>
  </si>
  <si>
    <t>&lt;p&gt;&lt;a href="https://go.pardot.com/webmail/845693/1157663877/59c5689c3c3ae717cfaee4208a52b5bbfa08e284901434d57e5647d3e70bef38" target="_blank"&gt;&lt;img alt="comunicado1.png" src="https://atendimento.teconline.com.br/hc/article_attachments/14177882917005"/&gt;&lt;/a&gt;&lt;/p&gt;
&lt;p&gt;&lt;a href="https://go.pardot.com/webmail/845693/1157663877/59c5689c3c3ae717cfaee4208a52b5bbfa08e284901434d57e5647d3e70bef38" target="_blank"&gt;&lt;img alt="comunicado2.png" src="https://atendimento.teconline.com.br/hc/article_attachments/14177922191757"/&gt;&lt;/a&gt;&lt;/p&gt;</t>
  </si>
  <si>
    <t>https://wilsonsonstrg.zendesk.com/api/v2/help_center/pt-br/articles/4422723563405.json</t>
  </si>
  <si>
    <t>https://atendimento.teconline.com.br/hc/pt-br/articles/4422723563405-24-01-22-Feriado-de-Nossa-Senhora-dos-Navegantes</t>
  </si>
  <si>
    <t>24/01/22 - Feriado de Nossa Senhora dos Navegantes</t>
  </si>
  <si>
    <t>['agendamento', 'feriado', 'vagas', 'feriado de nossa senhora dos navegantes', 'carregamento no feriado', 'vagas e horários']</t>
  </si>
  <si>
    <t>&lt;p&gt;&lt;a href="http://go.pardot.com/webmail/845693/677264946/9d44f8e501877ff9fa0ef4d2e866d45d7382f2b2a948baf3729b692ba41298d3" target="_self"&gt;&lt;img alt="01.PNG" src="https://atendimento.teconline.com.br/hc/article_attachments/4422735517709/01.PNG"/&gt;&lt;/a&gt;&lt;/p&gt;
&lt;p&gt;&lt;a href="http://go.pardot.com/webmail/845693/677264946/9d44f8e501877ff9fa0ef4d2e866d45d7382f2b2a948baf3729b692ba41298d3" target="_self"&gt;&lt;img alt="02.PNG" src="https://atendimento.teconline.com.br/hc/article_attachments/4422723545869/02.PNG"/&gt;&lt;/a&gt;&lt;/p&gt;</t>
  </si>
  <si>
    <t>https://wilsonsonstrg.zendesk.com/api/v2/help_center/pt-br/articles/18167986236301.json</t>
  </si>
  <si>
    <t>https://atendimento.teconline.com.br/hc/pt-br/articles/18167986236301-09-02-2023-Novo-Procedimento-Lista-de-Embarque</t>
  </si>
  <si>
    <t>09/02/2023 - [Novo Procedimento] - Lista de Embarque</t>
  </si>
  <si>
    <t>['01H6VPJQKF8P1CC70TER48MSXQ']</t>
  </si>
  <si>
    <t>['Lista de Embarque', 'Operação', 'Navio', 'Envio']</t>
  </si>
  <si>
    <t>&lt;p&gt; &lt;/p&gt;
&lt;p&gt; &lt;/p&gt;
&lt;p&gt;&lt;/p&gt;
&lt;!-- Facebook sharing information tags --&gt;
&lt;p&gt;&lt;/p&gt;
&lt;table border="0" cellpadding="0" cellspacing="0" width="100%"&gt;
&lt;tbody&gt;
&lt;tr&gt;
&lt;td align="center" valign="top"&gt;
&lt;table border="0" cellpadding="0" cellspacing="0" width="600"&gt;
&lt;tbody&gt;
&lt;tr&gt;
&lt;td align="center" valign="top"&gt;
&lt;!-- // Begin Template Header \ --&gt;
&lt;table border="0" cellpadding="0" cellspacing="0" width="600"&gt;
&lt;tbody&gt;
&lt;tr&gt;
&lt;td&gt; 
&lt;div&gt;
&lt;img alt="TECON RIO GRANDE COMUNICA: Novo Procedimento!" height="404" src="http://go.pardot.com/l/845693/2021-08-31/n4lk1r/845693/16304332755c5npVSh/TC_NOVO_PROCEDIMENTO_v2.jpg" width="600"/&gt;&lt;br/&gt;&lt;!-- // End Module: Standard Header Image \ --&gt;
&lt;/div&gt;
&lt;/td&gt;
&lt;/tr&gt;
&lt;/tbody&gt;
&lt;/table&gt;
&lt;!-- // End Template Header \ --&gt;
&lt;/td&gt;
&lt;/tr&gt;
&lt;tr&gt;
&lt;td align="center" valign="top"&gt;
&lt;!-- // Begin Template Body \ --&gt;
&lt;table border="0" cellpadding="0" cellspacing="0" width="600"&gt;
&lt;tbody&gt;
&lt;tr&gt;
&lt;td valign="top"&gt;
&lt;!-- // Begin Module: Standard Postcard Content \ --&gt;
&lt;table border="0" cellpadding="20" cellspacing="0" width="100%"&gt;
&lt;tbody&gt;
&lt;tr&gt;
&lt;td valign="top"&gt;
&lt;table border="0" cellpadding="0" cellspacing="0"&gt;
&lt;tbody&gt;
&lt;tr&gt;
&lt;td&gt; &lt;/td&gt;
&lt;td&gt;
&lt;table&gt;
&lt;tbody&gt;
&lt;tr&gt;
&lt;td&gt; &lt;/td&gt;
&lt;td colspan="3" rowspan="2"&gt;
&lt;h1&gt;
&lt;span&gt;&lt;span&gt;&lt;font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Nº 0004/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lt;br/&gt;&lt;span&gt;&lt;span&gt;&lt;font face="Arial, Helvetica, sans-serif"&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Rio Grande, 09 de Fevereiro de 2023&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font&gt;&lt;/span&gt;&lt;/span&gt;
&lt;/h1&gt;
&lt;img alt='""' height="20" src="http://go.pardot.com/l/845693/2021-08-11/n41v63/845693/1628710296BvJuukZ7/TEXTURA.png" width="600"/&gt;&lt;br/&gt;​​​​​&lt;/td&gt;
&lt;/tr&gt;
&lt;tr&gt;
&lt;td&gt; &lt;/td&gt;
&lt;/tr&gt;
&lt;/tbody&gt;
&lt;/table&gt;
&lt;/td&gt;
&lt;td&gt; &lt;/td&gt;
&lt;/tr&gt;
&lt;tr&gt;
&lt;td&gt; &lt;/td&gt;
&lt;td&gt;
&lt;div&gt; &lt;/div&gt;
&lt;div&gt;
&lt;table border="0" cellpadding="0" cellspacing="0"&gt;
&lt;tbody&gt;
&lt;tr&gt;
&lt;td&gt; &lt;/td&gt;
&lt;td&gt;
&lt;table border="0" cellpadding="0" cellspacing="0"&gt;
&lt;tbody&gt;
&lt;tr&gt;
&lt;td&gt; &lt;/td&gt;
&lt;td&gt; &lt;/td&gt;
&lt;td&gt; &lt;/td&gt;
&lt;td&gt; &lt;/td&gt;
&lt;/tr&gt;
&lt;tr&gt;
&lt;td&gt; &lt;/td&gt;
&lt;td colspan="3" rowspan="2"&gt;
&lt;p&gt;&lt;span&gt;&lt;span&gt;&lt;strong&gt;&lt;span&gt;&lt;font&gt;&lt;font&gt;Envio Lista de Embarque | &lt;em&gt;Booking list&lt;/em&gt;&lt;/font&gt;&lt;/font&gt;&lt;/span&gt;&lt;/strong&gt;&lt;/span&gt;&lt;/span&gt;&lt;/p&gt;
&lt;hr/&gt;
&lt;p&gt;&lt;span&gt;&lt;font&gt;&lt;font&gt;&lt;span&gt;​​&lt;/span&gt;&lt;/font&gt;&lt;/font&gt;&lt;span&gt;&lt;font&gt;&lt;font&gt;Seguindo nossos planos de digitalização, automação e eficiência dos processos do terminal, passaremos a enviar notificação do &lt;strong&gt;deadline dos navios programados&lt;/strong&gt; e solicitação da &lt;em&gt;&lt;strong&gt;booking list&lt;/strong&gt;&lt;/em&gt; de forma automática.&lt;br/&gt;&lt;br/&gt;O arquivo da &lt;em&gt;booking list&lt;/em&gt; deverá ser enviado para: &lt;br/&gt;&lt;br/&gt;&lt;strong&gt;bookinglist.tcrg@wilsonsons.com.br&lt;/strong&gt;&lt;br/&gt;&lt;br/&gt;​Em caso de &lt;strong&gt;divergências&lt;/strong&gt;, programamos o sistema para enviar &lt;strong&gt;automaticamente&lt;/strong&gt; um notifier a vocês, agilizando o processo.&lt;br/&gt;&lt;br/&gt;&lt;u&gt;&lt;strong&gt;Importante:&lt;/strong&gt;&lt;/u&gt; Configuramos o sistema para ler os &lt;strong&gt;modelos atuais&lt;/strong&gt; de planilhas que vocês nos disponibilizam hoje. Caso ocorra &lt;strong&gt;qualquer&lt;/strong&gt; &lt;strong&gt;alteração nos arquivos&lt;/strong&gt;, solicitamos que nos comuniquem previamente para evitar falhas na importação.&lt;br/&gt;&lt;br/&gt;Em caso de dúvidas, favor entrar em contato por meio de nossos Canais de Atendimento.&lt;/font&gt;&lt;/font&gt;&lt;/span&gt;&lt;/span&gt;&lt;br/&gt; &lt;/p&gt;
&lt;/td&gt;
&lt;/tr&gt;
&lt;tr&gt;
&lt;td&gt; &lt;/td&gt;
&lt;/tr&gt;
&lt;tr&gt;
&lt;td&gt; &lt;/td&gt;
&lt;td&gt; &lt;/td&gt;
&lt;td&gt; &lt;/td&gt;
&lt;td&gt; &lt;/td&gt;
&lt;/tr&gt;
&lt;/tbody&gt;
&lt;/table&gt;
&lt;/td&gt;
&lt;/tr&gt;
&lt;/tbody&gt;
&lt;/table&gt;
&lt;/div&gt;
&lt;/td&gt;
&lt;td&gt; &lt;/td&gt;
&lt;td&gt; &lt;/td&gt;
&lt;/tr&gt;
&lt;tr&gt;
&lt;td&gt; &lt;/td&gt;
&lt;td&gt; &lt;/td&gt;
&lt;td&gt; &lt;/td&gt;
&lt;/tr&gt;
&lt;tr&gt;
&lt;td&gt; &lt;/td&gt;
&lt;td&gt;
&lt;br/&gt;&lt;span&gt;&lt;span&gt;&lt;span&gt;&lt;strong&gt;&lt;font&gt;&lt;font&gt;&lt;font&gt;&lt;font&gt;&lt;font&gt;&lt;font&gt;&lt;font&gt;&lt;font&gt;&lt;font&gt;&lt;font&gt;Central de Atendimento&lt;/font&gt;&lt;/font&gt;&lt;/font&gt;&lt;/font&gt;&lt;/font&gt;&lt;/font&gt;&lt;/font&gt;&lt;/font&gt;&lt;/font&gt;&lt;/font&gt;&lt;/strong&gt;&lt;/span&gt;&lt;/span&gt;&lt;br/&gt;&lt;span&gt;&lt;span&gt;&lt;font&gt;&lt;font&gt;&lt;font&gt;&lt;font&gt;&lt;font&gt;&lt;font&gt;&lt;font&gt;&lt;font&gt;&lt;font&gt;&lt;font&gt;+55 53 3234.3030 | &lt;/font&gt;&lt;/font&gt;&lt;/font&gt;&lt;/font&gt;&lt;/font&gt;&lt;/font&gt;&lt;/font&gt;&lt;/font&gt;&lt;/font&gt;&lt;font&gt;&lt;font&gt;&lt;font&gt;&lt;font&gt;&lt;font&gt;&lt;font&gt;&lt;font&gt;&lt;font&gt;&lt;font&gt;atendimento.tcrg@wilsonsons.com.br&lt;/font&gt;&lt;/font&gt;&lt;/font&gt;&lt;/font&gt;&lt;/font&gt;&lt;/font&gt;&lt;/font&gt;&lt;/font&gt;&lt;/font&gt;&lt;/font&gt;&lt;/span&gt;&lt;/span&gt;&lt;/span&gt;
&lt;/td&gt;
&lt;td&gt; &lt;/td&gt;
&lt;/tr&gt;
&lt;tr&gt;
&lt;td&gt; &lt;/td&gt;
&lt;td&gt; &lt;/td&gt;
&lt;/tr&gt;
&lt;tr&gt;
&lt;td&gt; &lt;/td&gt;
&lt;td&gt;
&lt;table border="0" cellpadding="0" cellspacing="0"&gt;
&lt;tbody&gt;
&lt;tr&gt;
&lt;td&gt;&lt;img alt='""' src="http://go.pardot.com/l/845693/2021-05-17/mx2xf4/845693/1621263737Dk6e8hZ3/WS_TEXTURA.png"/&gt;&lt;/td&gt;
&lt;/tr&gt;
&lt;/tbody&gt;
&lt;/table&gt;
&lt;/td&gt;
&lt;td&gt; &lt;/td&gt;
&lt;td&gt; &lt;/td&gt;
&lt;/tr&gt;
&lt;tr&gt;
&lt;td&gt; &lt;/td&gt;
&lt;td&gt; &lt;/td&gt;
&lt;td&gt; &lt;/td&gt;
&lt;td&gt; &lt;/td&gt;
&lt;/tr&gt;
&lt;/tbody&gt;
&lt;/table&gt;
&lt;hr/&gt;
&lt;h2&gt;&lt;img alt="" height="92" src="http://go.pardot.com/l/845693/2021-05-17/mx33wj/845693/1621269268bZlHPKWW/TE_EMKT_NAV_INTERIOR_CONHECIMENTO_23.png" width="92"/&gt;&lt;/h2&gt;
&lt;/td&gt;
&lt;/tr&gt;
&lt;/tbody&gt;
&lt;/table&gt;
&lt;!-- // End Module: Standard Postcard Content \ --&gt;
&lt;/td&gt;
&lt;/tr&gt;
&lt;/tbody&gt;
&lt;/table&gt;
&lt;!-- // End Template Body \ --&gt;
&lt;/td&gt;
&lt;/tr&gt;
&lt;tr&gt;
&lt;td align="center" valign="top"&gt; &lt;/td&gt;
&lt;/tr&gt;
&lt;/tbody&gt;
&lt;/table&gt;
&lt;/td&gt;
&lt;/tr&gt;
&lt;/tbody&gt;
&lt;/table&gt;
&lt;!--
          This email was originally designed by the wonderful folks at MailChimp and remixed by Pardot.
          It is licensed under CC BY-SA 3.0
        --&gt;
&lt;p&gt;
&lt;/p&gt;</t>
  </si>
  <si>
    <t>https://wilsonsonstrg.zendesk.com/api/v2/help_center/pt-br/articles/4415975176461.json</t>
  </si>
  <si>
    <t>https://atendimento.teconline.com.br/hc/pt-br/articles/4415975176461-08-12-21-Feriado-de-Natal-e-Ano-Novo</t>
  </si>
  <si>
    <t>08/12/21 - Feriado de Natal e Ano Novo</t>
  </si>
  <si>
    <t>['carga avulsa', 'agendamento', 'entrega de cheio', 'feriado', 'natal', 'armazéns', 'levante de carga', 'entrega de container', 'recebimento e retirada de containers', 'ano novo', 'feriado de natal', 'feriado de ano novo', 'expediente do terminal', 'armazem', 'entrega de carga', 'agendamento cheio', 'agendamento vazio']</t>
  </si>
  <si>
    <t>&lt;p&gt; &lt;/p&gt;
&lt;p&gt; &lt;/p&gt;
&lt;p&gt;&lt;a href="http://go.pardot.com/webmail/845693/633872261/b38c2eb5efbf02c7db558061f0fb5c8640ec4616ee44375e062f981f985525dc" target="_blank"&gt;&lt;img alt="001.PNG" src="https://atendimento.teconline.com.br/hc/article_attachments/4415963785357/001.PNG"/&gt;&lt;img alt="00b.PNG" src="https://atendimento.teconline.com.br/hc/article_attachments/4415963806349/00b.PNG"/&gt;&lt;/a&gt;&lt;/p&gt;
&lt;p&gt; &lt;/p&gt;</t>
  </si>
  <si>
    <t>https://wilsonsonstrg.zendesk.com/api/v2/help_center/pt-br/articles/12664438646797.json</t>
  </si>
  <si>
    <t>https://atendimento.teconline.com.br/hc/pt-br/articles/12664438646797-30-01-23-Novo-Procedimento-Libera%C3%A7%C3%A3o-Documental-da-Importa%C3%A7%C3%A3o</t>
  </si>
  <si>
    <t>30/01/23 - [Novo Procedimento] - Liberação Documental da Importação</t>
  </si>
  <si>
    <t>['01GR1ARSKTWW44ETNP7CP7BMDK', '01GR1ASDM25FG45XBA68FNYJXP', '01GR1ASHPQ6JR2CYZXX2H8AHX7', '01GR1ASVB0SX77WFPRT2SR0GRE', '01GR1ATCPHD7ZS0DFBTKT7WQ3T', '01GR1ATNR5KBMM2B1C9XX30J59', '01GR1ATSBXG1YT1R0882WVKP0B', '01GR1ATZD8JTQ6QKE6FQ3B7AR5', '01GR1AV3VHQSJHA016CNQ2WWKR', '01GR1AVBXQVQ8ZA01AZACVRS24', '01GR1AVHVRG4G79X21DFMNRY4S', '01GR1AVQN2MDJ54Z2EX9TX06XV']</t>
  </si>
  <si>
    <t>['liberação de importação', 'como liberar importação', 'documentos de importação', 'liberar processo de importação', 'anexar bl', 'anexar cópia da di', 'liberar importação no site', 'o que fazer após averbar', 'liberar carga de importação', 'anexar documentos no site', 'anexar extrato da di']</t>
  </si>
  <si>
    <t>&lt;p&gt;&lt;a href="https://go.pardot.com/webmail/845693/1103491066/347fbd694988a5201bfb42da738d9269d4aaeacaa680c46e3adb580aa3519672" target="_blank"&gt;&lt;img alt="comunicado_01.png" src="https://atendimento.teconline.com.br/hc/article_attachments/12664305480333"/&gt;&lt;/a&gt;&lt;/p&gt;
&lt;p&gt;&lt;a href="https://go.pardot.com/webmail/845693/1103491066/347fbd694988a5201bfb42da738d9269d4aaeacaa680c46e3adb580aa3519672" target="_blank"&gt;&lt;img alt="comunicado02.png" src="https://atendimento.teconline.com.br/hc/article_attachments/12664306622477"/&gt;&lt;/a&gt;&lt;/p&gt;</t>
  </si>
  <si>
    <t>https://wilsonsonstrg.zendesk.com/api/v2/help_center/pt-br/articles/4412732747917.json</t>
  </si>
  <si>
    <t>https://atendimento.teconline.com.br/hc/pt-br/articles/4412732747917-04-11-21-Feriado-da-Proclama%C3%A7%C3%A3o-da-Rep%C3%BAblica</t>
  </si>
  <si>
    <t>04/11/21 - Feriado da Proclamação da República</t>
  </si>
  <si>
    <t>['DI', 'entregar carga', 'agendamento', 'entrega de cheio', 'feriado', 'horário do armazém', 'horário de operação', 'danfe', 'janelas', 'dta', 'vagas', 'armazéns', 'como sera os carregamentos', 'retirada', 'entregar cheio', 'entrega de container', 'vagas no feriado', 'retirada de container', 'janelas no feriado', 'recebimento e retirada de containers', '15 de novembro', 'Proclamação da República']</t>
  </si>
  <si>
    <t>&lt;p&gt;&lt;img alt="comunicado.PNG" src="https://atendimento.teconline.com.br/hc/article_attachments/4412741137165/comunicado.PNG"/&gt;&lt;img alt="comunicado2.PNG" src="https://atendimento.teconline.com.br/hc/article_attachments/4412732577933/comunicado2.PNG"/&gt;&lt;/p&gt;</t>
  </si>
  <si>
    <t>https://wilsonsonstrg.zendesk.com/api/v2/help_center/pt-br/articles/12296696702221.json</t>
  </si>
  <si>
    <t>https://atendimento.teconline.com.br/hc/pt-br/articles/12296696702221-16-01-23-Ficha-de-Emerg%C3%AAncia-Exporta%C3%A7%C3%A3o-e-Cabotagem</t>
  </si>
  <si>
    <t>16/01/23 - Ficha de Emergência | Exportação e Cabotagem</t>
  </si>
  <si>
    <t>['01GPY217SSC5MP9PMEN97RPEVN', '01GPY21PPDS2KX342QV8XEE6KA', '01GPY21XTTRNK0A3YAB9G53S51']</t>
  </si>
  <si>
    <t>['ficha de emergência', 'agendamento de exportação', 'agendamento de cheio', 'ficha de emergência pelo site', 'ficha de emergência no agendamento', 'novo procedimento ficha']</t>
  </si>
  <si>
    <t>&lt;p&gt;&lt;a href="https://go.pardot.com/webmail/845693/1092115411/59c5689c3c3ae717cfaee4208a52b5bbfa08e284901434d57e5647d3e70bef38" target="_blank"&gt;&lt;img alt="ficha1.png" src="https://atendimento.teconline.com.br/hc/article_attachments/12296598017805"/&gt;&lt;/a&gt;&lt;/p&gt;
&lt;p&gt;&lt;a href="https://go.pardot.com/webmail/845693/1092115411/59c5689c3c3ae717cfaee4208a52b5bbfa08e284901434d57e5647d3e70bef38" target="_blank"&gt;&lt;img alt="ficha2.png" src="https://atendimento.teconline.com.br/hc/article_attachments/12296618517133"/&gt;&lt;/a&gt;&lt;/p&gt;
&lt;p&gt; &lt;/p&gt;</t>
  </si>
  <si>
    <t>https://wilsonsonstrg.zendesk.com/api/v2/help_center/pt-br/articles/4411841376909.json</t>
  </si>
  <si>
    <t>https://atendimento.teconline.com.br/hc/pt-br/articles/4411841376909-22-10-21-Feriado-de-Finados</t>
  </si>
  <si>
    <t>22/10/21 - Feriado de Finados</t>
  </si>
  <si>
    <t>['DI', 'entregar carga', 'agendamento', 'entrega de cheio', 'feriado', 'horário do armazém', 'horário de operação', 'danfe', 'janelas', 'dta', 'vagas', 'armazéns', 'como sera os carregamentos', 'retirada', 'entregar cheio', 'entrega de container', 'vagas no feriado', 'retirada de container', 'janelas no feriado', 'finados', 'recebimento e retirada de containers', 'feriado do dia 2']</t>
  </si>
  <si>
    <t>&lt;p&gt;&lt;img alt="01.PNG" src="https://atendimento.teconline.com.br/hc/article_attachments/4411846000141/01.PNG"/&gt;&lt;/p&gt;
&lt;p&gt;&lt;img alt="02.PNG" src="https://atendimento.teconline.com.br/hc/article_attachments/4411841347469/02.PNG"/&gt;&lt;/p&gt;</t>
  </si>
  <si>
    <t>https://wilsonsonstrg.zendesk.com/api/v2/help_center/pt-br/articles/11817143199245.json</t>
  </si>
  <si>
    <t>https://atendimento.teconline.com.br/hc/pt-br/articles/11817143199245-28-12-22-Libera%C3%A7%C3%A3o-Documental-Cabotagem</t>
  </si>
  <si>
    <t>28/12/22 - Liberação Documental | Cabotagem</t>
  </si>
  <si>
    <t>['cabotagem', 'Liberação Documental', 'liberar cabotagem no site', 'como liberar cabotagem', 'onde libera cabotagem', 'liberação de cabotagem', 'importar cte no site']</t>
  </si>
  <si>
    <t>&lt;p&gt;&lt;a href="https://go.pardot.com/webmail/845693/1076960028/59c5689c3c3ae717cfaee4208a52b5bbfa08e284901434d57e5647d3e70bef38" target="_blank"&gt;&lt;img alt="comunicado_01.png" src="https://atendimento.teconline.com.br/hc/article_attachments/11817068689677"/&gt;&lt;/a&gt;&lt;/p&gt;
&lt;p&gt;&lt;a href="https://atendimento.teconline.com.br/hc/pt-br/articles/10903221771277-Libera%C3%A7%C3%A3o-e-Consulta-Documental-Cabotagem-Descarga" target="_blank"&gt;&lt;img alt="comunicado_02.png" src="https://atendimento.teconline.com.br/hc/article_attachments/11817069765133"/&gt;&lt;/a&gt;&lt;/p&gt;</t>
  </si>
  <si>
    <t>https://wilsonsonstrg.zendesk.com/api/v2/help_center/pt-br/articles/4410747132941.json</t>
  </si>
  <si>
    <t>https://atendimento.teconline.com.br/hc/pt-br/articles/4410747132941-05-10-21-Feriado-da-Nossa-Senhora-Aparecida</t>
  </si>
  <si>
    <t>05/10/21 - Feriado da Nossa Senhora Aparecida</t>
  </si>
  <si>
    <t>['entregar carga', 'agendamento', 'entrega de cheio', 'feriado', 'horário do armazém', 'horário de operação', 'janelas', 'vagas', 'feriado de nossa senhora aparecida', 'como sera os carregamentos', 'entregar cheio', 'entrega de container', 'vagas no feriado', 'feriado do dia 12', 'janelas no feriado']</t>
  </si>
  <si>
    <t>&lt;p&gt;&lt;img alt="01.PNG" src="https://atendimento.teconline.com.br/hc/article_attachments/4410741407629/01.PNG"/&gt;&lt;img alt="02.PNG" src="https://atendimento.teconline.com.br/hc/article_attachments/4410747098893/02.PNG"/&gt;&lt;/p&gt;</t>
  </si>
  <si>
    <t>https://wilsonsonstrg.zendesk.com/api/v2/help_center/pt-br/articles/11615891740941.json</t>
  </si>
  <si>
    <t>https://atendimento.teconline.com.br/hc/pt-br/articles/11615891740941-20-12-22-Nomenclatura-de-Servi%C3%A7os-Armazenagem</t>
  </si>
  <si>
    <t>20/12/22 - Nomenclatura de Serviços Armazenagem</t>
  </si>
  <si>
    <t>['nomenclaturas', 'armazenagem', 'novos serviços']</t>
  </si>
  <si>
    <t>&lt;p&gt;&lt;a href="https://go.pardot.com/webmail/845693/1069184355/59c5689c3c3ae717cfaee4208a52b5bbfa08e284901434d57e5647d3e70bef38" target="_blank"&gt;&lt;img alt="001.png" src="https://atendimento.teconline.com.br/hc/article_attachments/11615834674829"/&gt;&lt;/a&gt;&lt;/p&gt;
&lt;p&gt;&lt;a href="https://go.pardot.com/webmail/845693/1069184355/59c5689c3c3ae717cfaee4208a52b5bbfa08e284901434d57e5647d3e70bef38" target="_blank"&gt;&lt;img alt="002.png" src="https://atendimento.teconline.com.br/hc/article_attachments/11615818088589"/&gt;&lt;/a&gt;&lt;/p&gt;</t>
  </si>
  <si>
    <t>https://wilsonsonstrg.zendesk.com/api/v2/help_center/pt-br/articles/4408935937165.json</t>
  </si>
  <si>
    <t>https://atendimento.teconline.com.br/hc/pt-br/articles/4408935937165-10-09-21-Feriado-da-Revolu%C3%A7%C3%A3o-Farroupilha</t>
  </si>
  <si>
    <t>10/09/21 - Feriado da Revolução Farroupilha</t>
  </si>
  <si>
    <t>['entregar carga', 'agendamento', 'entrega de cheio', 'feriado', 'horário do armazém', 'horário de operação', 'vagas', 'como sera os carregamentos', 'entrega de container', 'feriado de 7 de setembro', 'feriado de independência do brasil', 'vagas no feriado']</t>
  </si>
  <si>
    <t>&lt;p&gt;&lt;img alt="01.PNG" src="https://atendimento.teconline.com.br/hc/article_attachments/4408935771277/01.PNG"/&gt;&lt;/p&gt;
&lt;p&gt;&lt;img alt="02.PNG" src="https://atendimento.teconline.com.br/hc/article_attachments/4408932687373/02.PNG"/&gt;&lt;/p&gt;</t>
  </si>
  <si>
    <t>https://wilsonsonstrg.zendesk.com/api/v2/help_center/pt-br/articles/11427775089933.json</t>
  </si>
  <si>
    <t>https://atendimento.teconline.com.br/hc/pt-br/articles/11427775089933-13-12-22-M%C3%8AS-NO-TECON-RG-Chegou-sua-atualiza%C3%A7%C3%A3o</t>
  </si>
  <si>
    <t>13/12/22 - MÊS NO TECON RG - Chegou sua atualização!</t>
  </si>
  <si>
    <t>['mês no tecon', '12 mil teu', 'mes no tecon', 'one amazon', 'novembro azul']</t>
  </si>
  <si>
    <t>&lt;p&gt;&lt;a href="https://go.pardot.com/webmail/845693/1060779909/52942055beae62feebe422db73ef899aeecc71aefe5ed381e11b6b7dd4e47520" target="_blank"&gt;&lt;img alt="comunicado1.png" src="https://atendimento.teconline.com.br/hc/article_attachments/11427730012813"/&gt;&lt;/a&gt;&lt;/p&gt;
&lt;p&gt;&lt;a href="https://go.pardot.com/webmail/845693/1060779909/52942055beae62feebe422db73ef899aeecc71aefe5ed381e11b6b7dd4e47520" target="_blank"&gt;&lt;img alt="comunicado2.png" src="https://atendimento.teconline.com.br/hc/article_attachments/11427723287437"/&gt;&lt;/a&gt;&lt;/p&gt;
&lt;p&gt;&lt;a href="https://go.pardot.com/webmail/845693/1060779909/52942055beae62feebe422db73ef899aeecc71aefe5ed381e11b6b7dd4e47520" target="_blank"&gt;&lt;img alt="comunicado3.png" src="https://atendimento.teconline.com.br/hc/article_attachments/11427723531917"/&gt;&lt;/a&gt;&lt;/p&gt;
&lt;p&gt;&lt;a href="https://go.pardot.com/webmail/845693/1060779909/52942055beae62feebe422db73ef899aeecc71aefe5ed381e11b6b7dd4e47520" target="_blank"&gt;&lt;img alt="comunicado4.png" src="https://atendimento.teconline.com.br/hc/article_attachments/11427723570573"/&gt;&lt;/a&gt;&lt;/p&gt;</t>
  </si>
  <si>
    <t>https://wilsonsonstrg.zendesk.com/api/v2/help_center/pt-br/articles/4408192338701.json</t>
  </si>
  <si>
    <t>https://atendimento.teconline.com.br/hc/pt-br/articles/4408192338701-30-08-21-Feriado-de-Independ%C3%AAncia-do-Brasil</t>
  </si>
  <si>
    <t>30/08/21 - Feriado de Independência do Brasil</t>
  </si>
  <si>
    <t>['entregar carga', 'agendamento', 'entrega de cheio', 'feriado', 'horários', 'horário do armazém', 'horário de operação', 'como sera os carregamentos', 'horário do tecon', 'entrega de container', 'feriado de 7 de setembro', 'feriado de independência do brasil', 'vagas no feriado']</t>
  </si>
  <si>
    <t>&lt;p&gt;&lt;img alt="head.PNG" height="547" src="https://atendimento.teconline.com.br/hc/article_attachments/4408192099853/head.PNG" width="711"/&gt;&lt;/p&gt;
&lt;p&gt;&lt;img alt="text.PNG" src="https://atendimento.teconline.com.br/hc/article_attachments/4408192121997/text.PNG"/&gt;&lt;/p&gt;
&lt;p&gt; &lt;/p&gt;</t>
  </si>
  <si>
    <t>https://wilsonsonstrg.zendesk.com/api/v2/help_center/pt-br/articles/11184405951885.json</t>
  </si>
  <si>
    <t>https://atendimento.teconline.com.br/hc/pt-br/articles/11184405951885-05-12-22-Comunicado-Importante-Servi%C3%A7o-de-Utiliza%C3%A7%C3%A3o-%C3%81rea-Especial</t>
  </si>
  <si>
    <t>05/12/22 - [Comunicado Importante] - Serviço de Utilização Área Especial</t>
  </si>
  <si>
    <t>['dtc', 'area especial', 'utilização de área especial', 'dta patio', 'cobrança de dtc']</t>
  </si>
  <si>
    <t>&lt;p&gt;&lt;a href="https://go.pardot.com/webmail/845693/1049757114/59c5689c3c3ae717cfaee4208a52b5bbfa08e284901434d57e5647d3e70bef38" target="_blank"&gt;&lt;img alt="comunicado1.png" src="https://atendimento.teconline.com.br/hc/article_attachments/11184291073037"/&gt;&lt;img alt="comunicado22.png" src="https://atendimento.teconline.com.br/hc/article_attachments/11184306791949"/&gt;&lt;/a&gt;&lt;/p&gt;</t>
  </si>
  <si>
    <t>https://wilsonsonstrg.zendesk.com/api/v2/help_center/pt-br/articles/4402788262541.json</t>
  </si>
  <si>
    <t>https://atendimento.teconline.com.br/hc/pt-br/articles/4402788262541-10-06-21-Feriado-de-S%C3%A3o-Pedro</t>
  </si>
  <si>
    <t>10/06/21 - Feriado de São Pedro</t>
  </si>
  <si>
    <t>['agendamento', 'entrega de cheio', 'feriado', 'horários', 'carregamento', 'vagas', 'armazéns', 'Carga', 'carregamento no feriado', 'feriado de sao pedro', 'feriado de são pedro', 'retirar container']</t>
  </si>
  <si>
    <t>&lt;p&gt;&lt;img alt="Comunicado_012_-_2021.png" src="https://atendimento.teconline.com.br/hc/article_attachments/4402783689613/Comunicado_012_-_2021.png"/&gt;&lt;/p&gt;</t>
  </si>
  <si>
    <t>https://wilsonsonstrg.zendesk.com/api/v2/help_center/pt-br/articles/11032670727821.json</t>
  </si>
  <si>
    <t>https://atendimento.teconline.com.br/hc/pt-br/articles/11032670727821-30-11-22-Nomenclatura-de-Servi%C3%A7os</t>
  </si>
  <si>
    <t>30/11/22 - Nomenclatura de Serviços</t>
  </si>
  <si>
    <t>['desova', 'estufagem', 'novas nomenclaturas', 'manual', 'Estufagens Mecanizadas', 'Estufagens Manuais', 'desovas Mecanizadas', 'desovas Manuais', 'serviços diferentes', 'mecanizada']</t>
  </si>
  <si>
    <t>&lt;p&gt;&lt;a href="https://go.pardot.com/webmail/845693/1043803080/59c5689c3c3ae717cfaee4208a52b5bbfa08e284901434d57e5647d3e70bef38" target="_blank"&gt;&lt;img alt="comunicado1.png" src="https://atendimento.teconline.com.br/hc/article_attachments/11032566803853"/&gt;&lt;/a&gt;&lt;/p&gt;
&lt;p&gt;&lt;a href="https://go.pardot.com/webmail/845693/1043803080/59c5689c3c3ae717cfaee4208a52b5bbfa08e284901434d57e5647d3e70bef38" target="_blank"&gt;&lt;img alt="comunicado2.png" src="https://atendimento.teconline.com.br/hc/article_attachments/11032569812109"/&gt;&lt;/a&gt;&lt;/p&gt;</t>
  </si>
  <si>
    <t>https://wilsonsonstrg.zendesk.com/api/v2/help_center/pt-br/articles/360061589751.json</t>
  </si>
  <si>
    <t>https://atendimento.teconline.com.br/hc/pt-br/articles/360061589751-21-05-21-Feriado-de-Corpus-Christi</t>
  </si>
  <si>
    <t>21/05/21 - Feriado de Corpus Christi</t>
  </si>
  <si>
    <t>['DI', 'entregar carga', 'agendamento', 'entrega de cheio', 'armazém', 'feriado', 'janelas', 'dta', 'vagas', 'armazéns', 'vaga', 'entregar cheio', 'corpus christi', 'carregamento no feriado', 'carregamento no dia 03']</t>
  </si>
  <si>
    <t>&lt;p&gt;&lt;img alt="Comunicado_010-2021.png" src="https://atendimento.teconline.com.br/hc/article_attachments/360096143231/Comunicado_010-2021.png"/&gt;&lt;/p&gt;</t>
  </si>
  <si>
    <t>https://wilsonsonstrg.zendesk.com/api/v2/help_center/pt-br/articles/10474798909965.json</t>
  </si>
  <si>
    <t>https://atendimento.teconline.com.br/hc/pt-br/articles/10474798909965-08-11-22-Canais-de-Atendimento-Tecon-Rio-Grande</t>
  </si>
  <si>
    <t>08/11/22 - Canais de Atendimento: Tecon Rio Grande!📢</t>
  </si>
  <si>
    <t>['canais de atendimento', 'import desk', 'atendimento para importação', 'atendimento para exportação', 'atendimento para cabotagem', 'atendimento para armador', 'atendimento', 'sac', 'customer experience', 'reefer intelligence', 'atendimento armador', 'atendimento cliente', 'pos-venda', 'call center']</t>
  </si>
  <si>
    <t>&lt;p&gt;&lt;a href="https://go.pardot.com/webmail/845693/1014073902/b38c2eb5efbf02c7db558061f0fb5c8640ec4616ee44375e062f981f985525dc" target="_blank"&gt;&lt;img alt="omunicado1.PNG" src="https://atendimento.teconline.com.br/hc/article_attachments/10474598379277"/&gt;&lt;/a&gt;&lt;/p&gt;
&lt;p&gt;&lt;a href="https://go.pardot.com/webmail/845693/1014073902/b38c2eb5efbf02c7db558061f0fb5c8640ec4616ee44375e062f981f985525dc" target="_blank"&gt;&lt;img alt="comunicado2.PNG" src="https://atendimento.teconline.com.br/hc/article_attachments/10474638473485"/&gt;&lt;/a&gt;&lt;/p&gt;
&lt;p&gt;&lt;a href="https://api.whatsapp.com/send/?phone=555332343030&amp;amp;text&amp;amp;type=phone_number&amp;amp;app_absent=0" target="_blank"&gt;&lt;img alt="whats.PNG" src="https://atendimento.teconline.com.br/hc/article_attachments/10474872046477"/&gt;&lt;/a&gt;&lt;/p&gt;
&lt;p&gt;&lt;a href="https://teconline.com.br/login" target="_blank"&gt;&lt;img alt="teconline.PNG" src="https://atendimento.teconline.com.br/hc/article_attachments/10474876762509"/&gt;&lt;/a&gt;&lt;/p&gt;
&lt;p&gt; &lt;/p&gt;
&lt;p&gt;&lt;img alt="comunicado6.PNG" src="https://atendimento.teconline.com.br/hc/article_attachments/10474692896525"/&gt;&lt;/p&gt;</t>
  </si>
  <si>
    <t>https://wilsonsonstrg.zendesk.com/api/v2/help_center/pt-br/articles/360060393971.json</t>
  </si>
  <si>
    <t>https://atendimento.teconline.com.br/hc/pt-br/articles/360060393971-26-04-21-Feriado-do-Dia-do-Trabalho</t>
  </si>
  <si>
    <t>26/04/21 - Feriado do Dia do Trabalho</t>
  </si>
  <si>
    <t>['agendamento', 'feriado', 'horários', 'como vai ser no feriado', 'horário de entrega', 'horário do armazém', 'horário de operação', 'janelas', 'vagas', 'como vai ser os horários', 'horário do tecon', 'agendamento de container', 'agendamento de cheio', 'dia do trabalhador', 'feriado do dia do trabalho', 'feriado de primeiro de maio', 'feriado do dia 1º']</t>
  </si>
  <si>
    <t>&lt;p&gt;&lt;img alt="Comunicado_008-2021.png" src="https://atendimento.teconline.com.br/hc/article_attachments/360093529412/Comunicado_008-2021.png"/&gt;&lt;/p&gt;</t>
  </si>
  <si>
    <t>https://wilsonsonstrg.zendesk.com/api/v2/help_center/pt-br/articles/10281175928077.json</t>
  </si>
  <si>
    <t>https://atendimento.teconline.com.br/hc/pt-br/articles/10281175928077-31-10-22-SEIS-ANOS-de-um-triunfo-que-merece-ser-comemorado</t>
  </si>
  <si>
    <t>31/10/22 - SEIS ANOS de um triunfo que merece ser comemorado!🎉🎈</t>
  </si>
  <si>
    <t>['santa clara', '6 anos do Tecon Santa Clara']</t>
  </si>
  <si>
    <t>&lt;p&gt;&lt;a href="https://go.pardot.com/webmail/845693/1005362487/59c5689c3c3ae717cfaee4208a52b5bbfa08e284901434d57e5647d3e70bef38" target="_blank"&gt;&lt;img alt="comunicado.PNG" src="https://atendimento.teconline.com.br/hc/article_attachments/10281172746765"/&gt;&lt;/a&gt;&lt;/p&gt;</t>
  </si>
  <si>
    <t>https://wilsonsonstrg.zendesk.com/api/v2/help_center/pt-br/articles/360059102152.json</t>
  </si>
  <si>
    <t>https://atendimento.teconline.com.br/hc/pt-br/articles/360059102152-07-04-21-Feriado-de-Tiradentes</t>
  </si>
  <si>
    <t>07/04/21 - Feriado de Tiradentes</t>
  </si>
  <si>
    <t>['agendamento', 'feriado', 'janelas', 'carregamento', 'agendamento de importação', 'vagas', 'expediente', 'expediente no feriado', 'tiradentes']</t>
  </si>
  <si>
    <t>&lt;p&gt;&lt;img alt="Comunicado_007_-_2021.png" src="https://atendimento.teconline.com.br/hc/article_attachments/360091809052/Comunicado_007_-_2021.png"/&gt;&lt;/p&gt;</t>
  </si>
  <si>
    <t>https://wilsonsonstrg.zendesk.com/api/v2/help_center/pt-br/articles/10106414825613.json</t>
  </si>
  <si>
    <t>https://atendimento.teconline.com.br/hc/pt-br/articles/10106414825613-24-10-22-Vem-a%C3%AD-Uma-grande-melhoria-em-nosso-terminal-para-voc%C3%AA</t>
  </si>
  <si>
    <t>24/10/22 - Vem aí: Uma grande melhoria em nosso terminal para você!</t>
  </si>
  <si>
    <t>['melhoria', 'nti-ciberataques', 'tecnologia de Inteligência Artificial', 'terminal mais automatizado do Brasil!', 'segurança do sistema']</t>
  </si>
  <si>
    <t>&lt;p&gt;&lt;a href="https://go.pardot.com/webmail/845693/997423774/9d44f8e501877ff9fa0ef4d2e866d45d7382f2b2a948baf3729b692ba41298d3" target="_blank"&gt;&lt;img alt="comunicados1.PNG" src="https://atendimento.teconline.com.br/hc/article_attachments/10106290998413"/&gt;&lt;/a&gt;&lt;/p&gt;
&lt;p&gt;&lt;a href="https://go.pardot.com/webmail/845693/997423774/9d44f8e501877ff9fa0ef4d2e866d45d7382f2b2a948baf3729b692ba41298d3" target="_blank"&gt;&lt;img alt="comunicados2.PNG" src="https://atendimento.teconline.com.br/hc/article_attachments/10106329678733"/&gt;&lt;/a&gt;&lt;/p&gt;
&lt;p&gt; &lt;/p&gt;
&lt;p&gt; &lt;/p&gt;</t>
  </si>
  <si>
    <t>https://wilsonsonstrg.zendesk.com/api/v2/help_center/pt-br/articles/360058953071.json</t>
  </si>
  <si>
    <t>https://atendimento.teconline.com.br/hc/pt-br/articles/360058953071-25-03-21-Feriado-de-P%C3%A1scoa</t>
  </si>
  <si>
    <t>25/03/21 - Feriado de Páscoa</t>
  </si>
  <si>
    <t>['DI', 'agendamento', 'feriado', 'carregamento', 'agendamento de importação', 'dta', 'vagas', 'pascoa', 'páscoa', 'feriado de pascoa', 'como sera os carregamentos', 'como vai ser os horários', 'retirada', 'quero carregar', 'expediente', 'funcionamento', 'volumes', 'entregar cheio', 'entrega', 'horário do tecon', 'expediente no feriado']</t>
  </si>
  <si>
    <t>&lt;p&gt;&lt;img alt="Comunicado_006_-_25.03.png" src="https://atendimento.teconline.com.br/hc/article_attachments/360090555832/Comunicado_006_-_25.03.png"/&gt;&lt;/p&gt;</t>
  </si>
  <si>
    <t>https://wilsonsonstrg.zendesk.com/api/v2/help_center/pt-br/articles/9717845832205.json</t>
  </si>
  <si>
    <t>https://atendimento.teconline.com.br/hc/pt-br/articles/9717845832205-07-10-22-Placa-Ileg%C3%ADvel-Acesso-ao-terminal</t>
  </si>
  <si>
    <t>07/10/22 - Placa Ilegível | Acesso ao terminal</t>
  </si>
  <si>
    <t>['acesso ao terminal', 'placa apagada', 'placa ilegivel', 'placa ilegível']</t>
  </si>
  <si>
    <t>&lt;p&gt;&lt;a href="https://go.pardot.com/webmail/845693/977593603/59c5689c3c3ae717cfaee4208a52b5bbfa08e284901434d57e5647d3e70bef38" target="_blank"&gt;&lt;img alt="comunicado01.PNG" src="https://atendimento.teconline.com.br/hc/article_attachments/9716619607053"/&gt;&lt;/a&gt;&lt;a href="https://go.pardot.com/webmail/845693/977593603/59c5689c3c3ae717cfaee4208a52b5bbfa08e284901434d57e5647d3e70bef38" target="_blank"&gt;&lt;img alt="comunicado02.PNG" src="https://atendimento.teconline.com.br/hc/article_attachments/9716622936845"/&gt;&lt;/a&gt;&lt;/p&gt;</t>
  </si>
  <si>
    <t>https://wilsonsonstrg.zendesk.com/api/v2/help_center/pt-br/articles/360056022232.json</t>
  </si>
  <si>
    <t>https://atendimento.teconline.com.br/hc/pt-br/articles/360056022232-11-02-21-Feriado-de-Carnaval</t>
  </si>
  <si>
    <t>11/02/21 - Feriado de Carnaval</t>
  </si>
  <si>
    <t>['agendamento', 'feriado', 'horários', 'horário de entrega', 'horário do armazém', 'horário de operação', 'carregamento', 'carnaval', 'feriado de carnaval', 'gate', 'armazéns', 'navios']</t>
  </si>
  <si>
    <t>&lt;p&gt;&lt;img alt="Comunicado_004_11.02.png" src="https://atendimento.teconline.com.br/hc/article_attachments/360085884311/Comunicado_004_11.02.png"/&gt;&lt;/p&gt;</t>
  </si>
  <si>
    <t>https://wilsonsonstrg.zendesk.com/api/v2/help_center/pt-br/articles/9467579676941.json</t>
  </si>
  <si>
    <t>https://atendimento.teconline.com.br/hc/pt-br/articles/9467579676941-27-09-22-Substitui%C3%A7%C3%A3o-NF-Carga-no-Armaz%C3%A9m-de-Exporta%C3%A7%C3%A3o</t>
  </si>
  <si>
    <t>27/09/22 - Substituição NF | Carga no Armazém de Exportação</t>
  </si>
  <si>
    <t>['nota fiscal', 'retificação', 'nota fiscal de carga avulsa', 'Retificação Nota Fiscal de Exportação', 'Carga no Armazém de Exportação', 'Substituição NF']</t>
  </si>
  <si>
    <t>&lt;p&gt;&lt;a href="https://go.pardot.com/webmail/845693/964285933/9d44f8e501877ff9fa0ef4d2e866d45d7382f2b2a948baf3729b692ba41298d3" target="_blank"&gt;&lt;img alt="comunicado01.PNG" src="https://atendimento.teconline.com.br/hc/article_attachments/9467483580429/comunicado01.PNG"/&gt;&lt;/a&gt;&lt;a href="https://go.pardot.com/webmail/845693/964285933/9d44f8e501877ff9fa0ef4d2e866d45d7382f2b2a948baf3729b692ba41298d3" target="_blank"&gt;&lt;img alt="comunicado02.PNG" src="https://atendimento.teconline.com.br/hc/article_attachments/9467537423501/comunicado02.PNG"/&gt;&lt;/a&gt;&lt;/p&gt;</t>
  </si>
  <si>
    <t>https://wilsonsonstrg.zendesk.com/api/v2/help_center/pt-br/articles/360055863831.json</t>
  </si>
  <si>
    <t>https://atendimento.teconline.com.br/hc/pt-br/articles/360055863831-22-01-21-Feriado-de-Nossa-Senhora-dos-Navegantes</t>
  </si>
  <si>
    <t>22/01/21 - Feriado de Nossa Senhora dos Navegantes</t>
  </si>
  <si>
    <t>['agendamento', 'feriado', 'horários', 'como vai ser no feriado', 'horário de entrega', 'horário do armazém', 'janelas', 'agendamento de importação', 'vagas', 'como será no fim do ano', 'feriado de nossa senhora aparecida', 'feriado de nossa senhora dos navegantes', '02 de fevereiro', 'vai ter carregamento no feriado']</t>
  </si>
  <si>
    <t>&lt;p&gt;&lt;img alt="Comunicado_002_-_2021_22.png" height="1148" src="https://atendimento.teconline.com.br/hc/article_attachments/360083123332/Comunicado_002_-_2021_22.png" width="753"/&gt;&lt;/p&gt;</t>
  </si>
  <si>
    <t>https://wilsonsonstrg.zendesk.com/api/v2/help_center/pt-br/articles/9185581677197.json</t>
  </si>
  <si>
    <t>https://atendimento.teconline.com.br/hc/pt-br/articles/9185581677197-15-09-22-Dia-do-cliente</t>
  </si>
  <si>
    <t>15/09/22 - Dia do cliente!</t>
  </si>
  <si>
    <t>['cliente', 'dia do cliente', '15/09', 'tecon 25 anos', 'semana do cliente', '15 de setembro']</t>
  </si>
  <si>
    <t>&lt;p&gt;&lt;a href="https://go.pardot.com/webmail/845693/950950516/52942055beae62feebe422db73ef899aeecc71aefe5ed381e11b6b7dd4e47520" target="_blank"&gt;&lt;img alt="comunicado01.PNG" src="https://atendimento.teconline.com.br/hc/article_attachments/9185519969805/comunicado01.PNG"/&gt;&lt;/a&gt;&lt;/p&gt;
&lt;p&gt;&lt;a href="https://go.pardot.com/webmail/845693/950950516/52942055beae62feebe422db73ef899aeecc71aefe5ed381e11b6b7dd4e47520" target="_blank"&gt;&lt;img alt="comunicado02.PNG" src="https://atendimento.teconline.com.br/hc/article_attachments/9185524990221/comunicado02.PNG"/&gt;&lt;/a&gt;&lt;/p&gt;</t>
  </si>
  <si>
    <t>https://wilsonsonstrg.zendesk.com/api/v2/help_center/pt-br/articles/360053518051.json</t>
  </si>
  <si>
    <t>https://atendimento.teconline.com.br/hc/pt-br/articles/360053518051-09-12-20-Hor%C3%A1rios-Natal-e-Ano-Novo</t>
  </si>
  <si>
    <t>09/12/20 - Horários Natal e Ano Novo</t>
  </si>
  <si>
    <t>['feriado', 'horários', 'horário de entrega', 'horário do armazém', 'horário de operação', 'fim do ano', 'natal', 'vagas', 'como será no fim do ano', 'festas', 'quantas vagas']</t>
  </si>
  <si>
    <t>&lt;p&gt;&lt;img alt="031-2020.PNG" height="978" src="https://atendimento.teconline.com.br/hc/article_attachments/360079189971/031-2020.PNG" width="640"/&gt;&lt;/p&gt;</t>
  </si>
  <si>
    <t>https://wilsonsonstrg.zendesk.com/api/v2/help_center/pt-br/articles/8705793155469.json</t>
  </si>
  <si>
    <t>https://atendimento.teconline.com.br/hc/pt-br/articles/8705793155469-25-08-22-Novo-Procedimento-Estufagem-Altera%C3%A7%C3%A3o-e-mail</t>
  </si>
  <si>
    <t>25/08/22 [Novo Procedimento] - Estufagem | Alteração e-mail</t>
  </si>
  <si>
    <t>['novo procedimento', 'envio de planilha', 'estufagem', 'estufagem exportacao', 'planilha de estufagem', 'estufagem exportação']</t>
  </si>
  <si>
    <t>&lt;p&gt;&lt;a href="https://go.pardot.com/webmail/845693/925517055/59c5689c3c3ae717cfaee4208a52b5bbfa08e284901434d57e5647d3e70bef38" target="_blank"&gt;&lt;img alt="comunicado1.PNG" src="https://atendimento.teconline.com.br/hc/article_attachments/8705680242829/comunicado1.PNG"/&gt;&lt;/a&gt;&lt;/p&gt;
&lt;p&gt;&lt;a href="https://go.pardot.com/webmail/845693/925517055/59c5689c3c3ae717cfaee4208a52b5bbfa08e284901434d57e5647d3e70bef38" target="_blank"&gt;&lt;img alt="comunicado2.PNG" src="https://atendimento.teconline.com.br/hc/article_attachments/8705735375245/comunicado2.PNG"/&gt;&lt;/a&gt;&lt;/p&gt;</t>
  </si>
  <si>
    <t>https://wilsonsonstrg.zendesk.com/api/v2/help_center/pt-br/articles/360050927732.json</t>
  </si>
  <si>
    <t>https://atendimento.teconline.com.br/hc/pt-br/articles/360050927732-02-11-20-Feriado-de-Nossa-Senhora-Aparecida</t>
  </si>
  <si>
    <t>02/11/20 - Feriado de Nossa Senhora Aparecida</t>
  </si>
  <si>
    <t>['feriado', 'horários', 'como vai ser no feriado', 'como vão ser os horários', 'janelas', 'feriadão', 'carregamento', 'quais os horários no feriado']</t>
  </si>
  <si>
    <t>&lt;p&gt;&lt;img alt="comunicado.png" src="https://atendimento.teconline.com.br/hc/article_attachments/360073767191/comunicado.png"/&gt;&lt;/p&gt;</t>
  </si>
  <si>
    <t>https://wilsonsonstrg.zendesk.com/api/v2/help_center/pt-br/articles/8466998498957.json</t>
  </si>
  <si>
    <t>https://atendimento.teconline.com.br/hc/pt-br/articles/8466998498957-16-08-22-Novo-Procedimento-Containers-em-bundle</t>
  </si>
  <si>
    <t>16/08/22 [Novo Procedimento] - Containers em bundle</t>
  </si>
  <si>
    <t>['bundle', 'containers em bundle', 'entrega bundle', 'hastes', 'descarga bundle']</t>
  </si>
  <si>
    <t>&lt;p&gt;&lt;a href="https://go.pardot.com/webmail/845693/914424523/8b5097aa6f0a2e62199bdc7880f433b093f21d5bd84bb4701abdbf139d736001" target="_blank"&gt;&lt;img alt="comunicado001.PNG" src="https://atendimento.teconline.com.br/hc/article_attachments/8466764065037/comunicado001.PNG"/&gt;&lt;/a&gt;&lt;/p&gt;
&lt;p&gt;&lt;a href="https://go.pardot.com/webmail/845693/914424523/8b5097aa6f0a2e62199bdc7880f433b093f21d5bd84bb4701abdbf139d736001" target="_blank"&gt;&lt;img alt="comunicado002.PNG" src="https://atendimento.teconline.com.br/hc/article_attachments/8466902530573/comunicado002.PNG"/&gt;&lt;/a&gt;&lt;/p&gt;</t>
  </si>
  <si>
    <t>https://wilsonsonstrg.zendesk.com/api/v2/help_center/pt-br/articles/360050291092.json</t>
  </si>
  <si>
    <t>https://atendimento.teconline.com.br/hc/pt-br/articles/360050291092-12-10-20-Feriado-de-Nossa-Senhora-Aparecida</t>
  </si>
  <si>
    <t>12/10/20 - Feriado de Nossa Senhora Aparecida</t>
  </si>
  <si>
    <t>['feriado', 'horários', 'como vai ser no feriado', 'trabalho', 'vai ter carregamento', 'janelas', 'carregar na segunda', 'nossa senhora aparecida', 'feriadão']</t>
  </si>
  <si>
    <t>&lt;p&gt;&lt;img alt="unnamed.png" src="https://atendimento.teconline.com.br/hc/article_attachments/360072001532/unnamed.png"/&gt;&lt;/p&gt;</t>
  </si>
  <si>
    <t>https://wilsonsonstrg.zendesk.com/api/v2/help_center/pt-br/articles/9143835844749.json</t>
  </si>
  <si>
    <t>https://atendimento.teconline.com.br/hc/pt-br/articles/9143835844749-15-07-22-Volume-extra-no-caminh%C3%A3o</t>
  </si>
  <si>
    <t>15/07/22 - Volume extra no caminhão</t>
  </si>
  <si>
    <t>['agendamento', 'agendamento de exportação', 'agendamento de cheio', 'entreda de cheio']</t>
  </si>
  <si>
    <t>&lt;p&gt;&lt;a href="http://go.pardot.com/webmail/845693/880104400/777a1236d3ef390b614e137448ccc15e9fab2c1a79096fe8d645c710d51eae5f" target="_blank"&gt;&lt;img alt="COMUNICADO01.PNG" src="https://atendimento.teconline.com.br/hc/article_attachments/9143776294029/COMUNICADO01.PNG"/&gt;&lt;/a&gt;&lt;/p&gt;
&lt;p&gt;&lt;a href="http://go.pardot.com/webmail/845693/880104400/777a1236d3ef390b614e137448ccc15e9fab2c1a79096fe8d645c710d51eae5f" target="_blank"&gt;&lt;img alt="COMUNICADO02.PNG" src="https://atendimento.teconline.com.br/hc/article_attachments/9143777846925/COMUNICADO02.PNG"/&gt;&lt;/a&gt;&lt;/p&gt;</t>
  </si>
  <si>
    <t>https://wilsonsonstrg.zendesk.com/api/v2/help_center/pt-br/articles/360049012551.json</t>
  </si>
  <si>
    <t>https://atendimento.teconline.com.br/hc/pt-br/articles/360049012551-07-09-20-Feriado-da-Independ%C3%AAncia-do-Brasil</t>
  </si>
  <si>
    <t>07/09/20 - Feriado da Independência do Brasil</t>
  </si>
  <si>
    <t>['7', '7 de setembro', 'feriado', 'horários', 'como vai ser no feriado', 'independencia do brasil', 'independência', 'como vão ser os horários', 'como vão ser os horários no feriado', 'horário de entrega', 'horário do armazém', 'horário de operação']</t>
  </si>
  <si>
    <t>&lt;p&gt;&lt;img alt="unnamed.png" src="https://atendimento.teconline.com.br/hc/article_attachments/360067324971/unnamed.png"/&gt;&lt;/p&gt;</t>
  </si>
  <si>
    <t>https://wilsonsonstrg.zendesk.com/api/v2/help_center/pt-br/articles/8315342664973.json</t>
  </si>
  <si>
    <t>https://atendimento.teconline.com.br/hc/pt-br/articles/8315342664973-12-07-22-VOC%C3%8A-PEDIU-Melhorias-no-Agendamento</t>
  </si>
  <si>
    <t>12/07/22 - VOCÊ PEDIU: Melhorias no Agendamento!💙</t>
  </si>
  <si>
    <t>['agendamento', 'alterar placa', 'alteração de placa', 'alterar cnh', 'alterar agendamento no horario']</t>
  </si>
  <si>
    <t>&lt;p&gt;&lt;a href="http://go.pardot.com/webmail/845693/875059330/59c5689c3c3ae717cfaee4208a52b5bbfa08e284901434d57e5647d3e70bef38" target="_blank"&gt;&lt;img alt="comunicado01.PNG" src="https://atendimento.teconline.com.br/hc/article_attachments/8315247279757/comunicado01.PNG"/&gt;&lt;/a&gt;&lt;/p&gt;
&lt;p&gt;&lt;a href="http://go.pardot.com/webmail/845693/875059330/59c5689c3c3ae717cfaee4208a52b5bbfa08e284901434d57e5647d3e70bef38" target="_blank"&gt;&lt;img alt="comunicado02.PNG" src="https://atendimento.teconline.com.br/hc/article_attachments/8315277718157/comunicado02.PNG"/&gt;&lt;/a&gt;&lt;/p&gt;</t>
  </si>
  <si>
    <t>https://wilsonsonstrg.zendesk.com/api/v2/help_center/pt-br/articles/6887285472013.json</t>
  </si>
  <si>
    <t>https://atendimento.teconline.com.br/hc/pt-br/articles/6887285472013-13-06-22-Carregamento-de-Container-Cheio</t>
  </si>
  <si>
    <t>13/06/22 - Carregamento de Container Cheio</t>
  </si>
  <si>
    <t>['agendamento', 'entrega de cheio', 'acesso ao terminal', 'container cheio', 'eixos baixados', 'sistema hidraulico']</t>
  </si>
  <si>
    <t>&lt;p&gt;&lt;a href="http://go.pardot.com/webmail/845693/842422622/9d44f8e501877ff9fa0ef4d2e866d45d7382f2b2a948baf3729b692ba41298d3" target="_blank"&gt;&lt;img alt="comunicado01.PNG" src="https://atendimento.teconline.com.br/hc/article_attachments/6887256063373/comunicado01.PNG"/&gt;&lt;/a&gt;&lt;/p&gt;
&lt;p&gt;&lt;a href="http://go.pardot.com/webmail/845693/842422622/9d44f8e501877ff9fa0ef4d2e866d45d7382f2b2a948baf3729b692ba41298d3" target="_blank"&gt;&lt;img alt="comunicado02.PNG" src="https://atendimento.teconline.com.br/hc/article_attachments/6887246133901/comunicado02.PNG"/&gt;&lt;/a&gt;&lt;/p&gt;</t>
  </si>
  <si>
    <t>https://wilsonsonstrg.zendesk.com/api/v2/help_center/pt-br/articles/6790997731853.json</t>
  </si>
  <si>
    <t>https://atendimento.teconline.com.br/hc/pt-br/articles/6790997731853-09-06-22-Agendamento-de-Vistoria-MAPA</t>
  </si>
  <si>
    <t>09/06/22 - Agendamento de Vistoria MAPA</t>
  </si>
  <si>
    <t>['agendamento mapa', 'lacre', 'vistoria do mapa', 'lacre do container', 'lacre no agendamento']</t>
  </si>
  <si>
    <t>&lt;p&gt;&lt;a href="http://go.pardot.com/webmail/845693/839539529/9d44f8e501877ff9fa0ef4d2e866d45d7382f2b2a948baf3729b692ba41298d3" target="_blank"&gt;&lt;img alt="comunicado01.PNG" src="https://atendimento.teconline.com.br/hc/article_attachments/6790934985869/comunicado01.PNG"/&gt;&lt;/a&gt;&lt;/p&gt;
&lt;p&gt;&lt;a href="http://go.pardot.com/webmail/845693/839539529/9d44f8e501877ff9fa0ef4d2e866d45d7382f2b2a948baf3729b692ba41298d3" target="_blank"&gt;&lt;img alt="comunicado02.PNG" src="https://atendimento.teconline.com.br/hc/article_attachments/6790941484301/comunicado02.PNG"/&gt;&lt;/a&gt;&lt;/p&gt;</t>
  </si>
  <si>
    <t>https://wilsonsonstrg.zendesk.com/api/v2/help_center/pt-br/articles/6699678891277.json</t>
  </si>
  <si>
    <t>https://atendimento.teconline.com.br/hc/pt-br/articles/6699678891277-06-06-22-Agendamento-de-Importa%C3%A7%C3%A3o-DANFE</t>
  </si>
  <si>
    <t>06/06/22 - Agendamento de Importação | DANFE</t>
  </si>
  <si>
    <t>['agendamento', 'danfe', 'agendamento de di', 'anexar a danfe', 'cliente', 'nota de importação', 'danfe invalida', 'envio de danfe', 'upload da danfe']</t>
  </si>
  <si>
    <t>&lt;p&gt;&lt;a href="https://wilsonsons.zendesk.com/audits/1854602418131/email.html?ticket_id=598426" target="_blank"&gt;&lt;img alt="danfe01.PNG" src="https://atendimento.teconline.com.br/hc/article_attachments/6699655601037/danfe01.PNG"/&gt;&lt;/a&gt;&lt;/p&gt;
&lt;p&gt;&lt;a href="https://wilsonsons.zendesk.com/audits/1854602418131/email.html?ticket_id=598426" target="_blank"&gt;&lt;img alt="danfe02.PNG" src="https://atendimento.teconline.com.br/hc/article_attachments/6699646119821/danfe02.PNG"/&gt;&lt;/a&gt;&lt;/p&gt;
&lt;p&gt; &lt;/p&gt;
&lt;p&gt; &lt;/p&gt;
&lt;p&gt; &lt;/p&gt;</t>
  </si>
  <si>
    <t>https://wilsonsonstrg.zendesk.com/api/v2/help_center/pt-br/articles/5063187725709.json</t>
  </si>
  <si>
    <t>https://atendimento.teconline.com.br/hc/pt-br/articles/5063187725709-25-03-22-Altera%C3%A7%C3%A3o-de-Dom%C3%ADnio-do-E-mail</t>
  </si>
  <si>
    <t>25/03/22 - Alteração de Domínio do E-mail</t>
  </si>
  <si>
    <t>['canais de atendimento', 'email', 'e-mail', 'tecon rio grande', '@tecon.com.br', 'como mandar um email para tecon', 'tecon', 'wilsonsons', 'dominio']</t>
  </si>
  <si>
    <t>&lt;p&gt;&lt;a href="http://go.pardot.com/webmail/845693/736699937/eec3f9dfe360c3d76043c09c470dad8eec92d33b6c7a2027e5de24474bed27d7" target="_blank"&gt;&lt;img alt="01.PNG" src="https://atendimento.teconline.com.br/hc/article_attachments/5063118894861/01.PNG"/&gt;&lt;/a&gt;&lt;/p&gt;
&lt;p&gt;&lt;a href="http://go.pardot.com/webmail/845693/736699937/eec3f9dfe360c3d76043c09c470dad8eec92d33b6c7a2027e5de24474bed27d7" target="_blank"&gt;&lt;img alt="02.PNG" src="https://atendimento.teconline.com.br/hc/article_attachments/5062984159501/02.PNG"/&gt;&lt;/a&gt;&lt;/p&gt;
&lt;p&gt; &lt;/p&gt;</t>
  </si>
  <si>
    <t>https://wilsonsonstrg.zendesk.com/api/v2/help_center/pt-br/articles/4801646821901.json</t>
  </si>
  <si>
    <t>https://atendimento.teconline.com.br/hc/pt-br/articles/4801646821901-14-03-22-Novo-Procedimento-Agendamento-de-Exporta%C3%A7%C3%A3o</t>
  </si>
  <si>
    <t>14/03/22 - Novo Procedimento - Agendamento de Exportação</t>
  </si>
  <si>
    <t>['novo procedimento', 'agendamento de exportação', 'agendamento de container', 'entrega de container', 'agendamento cheio', 'entrega de container de exportação', 'savig', 'local de estufagem', 'último local de estufagem']</t>
  </si>
  <si>
    <t>&lt;p&gt;&lt;a href="http://go.pardot.com/webmail/845693/725692742/ef76ed1985bf2bb98a37bc66c96aec494162baaa6e00249efb6cf8548c3e52d6" target="_blank"&gt;&lt;img alt="02.PNG" src="https://atendimento.teconline.com.br/hc/article_attachments/4801427113613/02.PNG"/&gt;&lt;/a&gt;&lt;/p&gt;
&lt;p&gt;&lt;a href="http://go.pardot.com/webmail/845693/725692742/ef76ed1985bf2bb98a37bc66c96aec494162baaa6e00249efb6cf8548c3e52d6" target="_blank"&gt;&lt;img alt="03.PNG" src="https://atendimento.teconline.com.br/hc/article_attachments/4801462155533/03.PNG"/&gt;&lt;/a&gt;&lt;/p&gt;
&lt;p&gt;&lt;a href="http://go.pardot.com/webmail/845693/725692742/ef76ed1985bf2bb98a37bc66c96aec494162baaa6e00249efb6cf8548c3e52d6" target="_blank"&gt;&lt;img alt="04.PNG" src="https://atendimento.teconline.com.br/hc/article_attachments/4801521215245/04.PNG"/&gt;&lt;/a&gt;&lt;/p&gt;
&lt;p&gt; &lt;/p&gt;</t>
  </si>
  <si>
    <t>https://wilsonsonstrg.zendesk.com/api/v2/help_center/pt-br/articles/4488765940493.json</t>
  </si>
  <si>
    <t>https://atendimento.teconline.com.br/hc/pt-br/articles/4488765940493-Onboarding-para-facilitar-seu-dia-a-dia</t>
  </si>
  <si>
    <t>Onboarding, para facilitar seu dia a dia !</t>
  </si>
  <si>
    <t>['teconline', 'treinamento', 'como fazer agendamento', 'onboarding', 'como usar o teconline']</t>
  </si>
  <si>
    <t>&lt;p&gt;&lt;a href="https://calendar.app.google/78VWteiodVR2LUki7" target="_blank"&gt;&lt;img alt="ARTE_ONBOARDING.PNG" height="362" src="https://atendimento.teconline.com.br/hc/article_attachments/4488738002189" width="752"/&gt;&lt;/a&gt;&lt;/p&gt;
&lt;p&gt;&lt;a href="https://calendar.app.google/78VWteiodVR2LUki7" target="_blank"&gt;&lt;img alt="ARTIGO_002.PNG" src="https://atendimento.teconline.com.br/hc/article_attachments/4489103280653"/&gt;&lt;/a&gt;&lt;/p&gt;
&lt;p&gt; &lt;/p&gt;
&lt;p&gt;&lt;img alt="ONBOARDING_ARTIGO.PNG" src="https://atendimento.teconline.com.br/hc/article_attachments/4492509539213"/&gt;&lt;/p&gt;
&lt;p&gt; &lt;/p&gt;
&lt;p&gt; &lt;/p&gt;</t>
  </si>
  <si>
    <t>https://wilsonsonstrg.zendesk.com/api/v2/help_center/pt-br/articles/4423660733069.json</t>
  </si>
  <si>
    <t>https://atendimento.teconline.com.br/hc/pt-br/articles/4423660733069-31-01-22-Pagamento-via-PIX-para-facilitar-seu-dia-a-dia</t>
  </si>
  <si>
    <t>31/01/22 - Pagamento via PIX, para facilitar seu dia a dia!</t>
  </si>
  <si>
    <t>['pix', 'pagamento com pix', 'pagamento via pix', 'orçamento de importação']</t>
  </si>
  <si>
    <t>&lt;p&gt;&lt;a href="http://go.pardot.com/webmail/845693/685916632/b38c2eb5efbf02c7db558061f0fb5c8640ec4616ee44375e062f981f985525dc" target="_blank"&gt;&lt;img alt="001.PNG" src="https://atendimento.teconline.com.br/hc/article_attachments/4423660685709/001.PNG"/&gt;&lt;/a&gt;&lt;/p&gt;
&lt;p&gt;&lt;a href="http://go.pardot.com/webmail/845693/685916632/b38c2eb5efbf02c7db558061f0fb5c8640ec4616ee44375e062f981f985525dc" target="_blank"&gt;&lt;img alt="002.PNG" src="https://atendimento.teconline.com.br/hc/article_attachments/4423660690061/002.PNG"/&gt;&lt;/a&gt;&lt;/p&gt;
&lt;p&gt;&lt;a href="http://go.pardot.com/webmail/845693/685916632/b38c2eb5efbf02c7db558061f0fb5c8640ec4616ee44375e062f981f985525dc" target="_blank"&gt;&lt;img alt="003.PNG" src="https://atendimento.teconline.com.br/hc/article_attachments/4423660697741/003.PNG"/&gt;&lt;/a&gt;&lt;/p&gt;</t>
  </si>
  <si>
    <t>https://wilsonsonstrg.zendesk.com/api/v2/help_center/pt-br/articles/4420759921677.json</t>
  </si>
  <si>
    <t>https://atendimento.teconline.com.br/hc/pt-br/articles/4420759921677-14-01-22-Solicita%C3%A7%C3%A3o-de-desova-via-Teconline</t>
  </si>
  <si>
    <t>14/01/22 - Solicitação de desova via Teconline</t>
  </si>
  <si>
    <t>['novo procedimento', 'documentos para identificação', 'desova pier', 'como solicitar desova pier', 'desova no site', 'documentos para desova', 'desova lcl', 'desconsolidador', 'desova para o armazém']</t>
  </si>
  <si>
    <t>&lt;p&gt;&lt;a href="http://go.pardot.com/webmail/845693/668208084/b38c2eb5efbf02c7db558061f0fb5c8640ec4616ee44375e062f981f985525dc" target="_blank"&gt;&lt;img alt="comunicado.PNG" src="https://atendimento.teconline.com.br/hc/article_attachments/4420773903117/comunicado.PNG"/&gt;&lt;/a&gt;&lt;/p&gt;
&lt;p&gt;&lt;a href="http://go.pardot.com/webmail/845693/668208084/b38c2eb5efbf02c7db558061f0fb5c8640ec4616ee44375e062f981f985525dc" target="_blank"&gt;&lt;img alt="comunicado2.PNG" src="https://atendimento.teconline.com.br/hc/article_attachments/4420759764109/comunicado2.PNG"/&gt;&lt;/a&gt;&lt;/p&gt;
&lt;p&gt; &lt;/p&gt;</t>
  </si>
  <si>
    <t>https://wilsonsonstrg.zendesk.com/api/v2/help_center/pt-br/articles/4405629521421.json</t>
  </si>
  <si>
    <t>https://atendimento.teconline.com.br/hc/pt-br/articles/4405629521421-19-07-21-Container-vazio-com-portas-abertas</t>
  </si>
  <si>
    <t>19/07/21 - Container vazio com portas abertas</t>
  </si>
  <si>
    <t>['segurança', 'seguranca', 'vazio', 'porta', 'fechamento', 'container vazio', 'cntr', 'empty', 'unidade']</t>
  </si>
  <si>
    <t>&lt;p&gt;&lt;img alt="mceclip0.png" src="https://atendimento.teconline.com.br/hc/article_attachments/4405629433741/mceclip0.png"/&gt;&lt;/p&gt;</t>
  </si>
  <si>
    <t>https://wilsonsonstrg.zendesk.com/api/v2/help_center/pt-br/articles/4404537138189.json</t>
  </si>
  <si>
    <t>https://atendimento.teconline.com.br/hc/pt-br/articles/4404537138189-06-07-21-Escaneamento-de-Containers-Exporta%C3%A7%C3%A3o</t>
  </si>
  <si>
    <t>Caroline Leitão</t>
  </si>
  <si>
    <t>06/07/21 - Escaneamento de Containers Exportação</t>
  </si>
  <si>
    <t>['EXPORTAÇÃO', 'exportação', 'agendamento', 'entrega de cheio', 'scanner', 'entregar cheio', 'scaneamento']</t>
  </si>
  <si>
    <t>&lt;p&gt;&lt;img alt="mceclip0.png" src="https://atendimento.teconline.com.br/hc/article_attachments/4404536915085/mceclip0.png"/&gt;&lt;/p&gt;</t>
  </si>
  <si>
    <t>https://wilsonsonstrg.zendesk.com/api/v2/help_center/pt-br/articles/360062373751.json</t>
  </si>
  <si>
    <t>https://atendimento.teconline.com.br/hc/pt-br/articles/360062373751-31-05-21-Agendamentos-Exporta%C3%A7%C3%A3o-e-Cabotagem</t>
  </si>
  <si>
    <t>31/05/21 - Agendamentos Exportação e Cabotagem</t>
  </si>
  <si>
    <t>['cabotagem', 'EXPORTAÇÃO', 'agendamento', 'agendamento de exportação', 'agendamento de container', 'agendamento de cheio', 'cancelamento', 'cancelar agendamento']</t>
  </si>
  <si>
    <t>&lt;p&gt;&lt;img alt="Comunicado_011_-_2021.png" src="https://atendimento.teconline.com.br/hc/article_attachments/360097125852/Comunicado_011_-_2021.png"/&gt;&lt;/p&gt;</t>
  </si>
  <si>
    <t>https://wilsonsonstrg.zendesk.com/api/v2/help_center/pt-br/articles/360061215691.json</t>
  </si>
  <si>
    <t>https://atendimento.teconline.com.br/hc/pt-br/articles/360061215691-12-05-21-Seguran%C3%A7a-em-primeiro-lugar</t>
  </si>
  <si>
    <t>12/05/21 - Segurança em primeiro lugar</t>
  </si>
  <si>
    <t>['celular', 'segurança', 'seguranca', 'motorista', 'procedimento', 'bloqueio de acesso', 'cinto de segurança']</t>
  </si>
  <si>
    <t>&lt;p&gt;&lt;img alt="Comunicado_009_-_Regras_motoristas.PNG" src="https://atendimento.teconline.com.br/hc/article_attachments/360095199211/Comunicado_009_-_Regras_motoristas.PNG"/&gt;&lt;/p&gt;</t>
  </si>
  <si>
    <t>https://wilsonsonstrg.zendesk.com/api/v2/help_center/pt-br/articles/360057727691.json</t>
  </si>
  <si>
    <t>https://atendimento.teconline.com.br/hc/pt-br/articles/360057727691-01-03-21-Cargas-Armaz%C3%A9m-de-Exporta%C3%A7%C3%A3o</t>
  </si>
  <si>
    <t>01/03/21 - Cargas Armazém de Exportação</t>
  </si>
  <si>
    <t>['exportação', 'agendamento', 'armazém', '24h', 'Carga']</t>
  </si>
  <si>
    <t>&lt;p&gt;&lt;img alt="mceclip1.png" src="https://atendimento.teconline.com.br/hc/article_attachments/360088015292/mceclip1.png"/&gt;&lt;/p&gt;</t>
  </si>
  <si>
    <t>https://wilsonsonstrg.zendesk.com/api/v2/help_center/pt-br/articles/360055628451.json</t>
  </si>
  <si>
    <t>https://atendimento.teconline.com.br/hc/pt-br/articles/360055628451-19-01-21-Carga-n%C3%A3o-declarada</t>
  </si>
  <si>
    <t>19/01/21 - Carga não declarada</t>
  </si>
  <si>
    <t>['carga não declarada', 'carga retida', 'liberação da receita federal']</t>
  </si>
  <si>
    <t>&lt;p&gt;&lt;img alt="Comunicado_001-2021.png" src="https://atendimento.teconline.com.br/hc/article_attachments/360082365311/Comunicado_001-2021.png"/&gt;&lt;/p&gt;</t>
  </si>
  <si>
    <t>https://wilsonsonstrg.zendesk.com/api/v2/help_center/pt-br/articles/360053114852.json</t>
  </si>
  <si>
    <t>https://atendimento.teconline.com.br/hc/pt-br/articles/360053114852-10-12-20-Carga-P%C3%A1tio-e-DTC</t>
  </si>
  <si>
    <t>10/12/20 - Carga Pátio e DTC</t>
  </si>
  <si>
    <t>['dp', 'dtc', 'carga pátio', 'declaração de transito de container', 'como solicito carga pátio', 'como solicito dtc', 'como solicitar', 'transito', 'dta', 'novo procedimento', 'solicitar carga pátio', 'solicitar dtc']</t>
  </si>
  <si>
    <t>&lt;p&gt;&lt;a href="https://atendimento.teconline.com.br/hc/pt-br/articles/360053571571" target="_blank"&gt;&lt;img alt="033_-_2020.png" height="1183" src="https://atendimento.teconline.com.br/hc/article_attachments/360079239852/033_-_2020.png" width="776"/&gt;&lt;/a&gt;&lt;/p&gt;</t>
  </si>
  <si>
    <t>https://wilsonsonstrg.zendesk.com/api/v2/help_center/pt-br/articles/360053183451.json</t>
  </si>
  <si>
    <t>https://atendimento.teconline.com.br/hc/pt-br/articles/360053183451-02-12-20-Emiss%C3%A3o-de-Notas-Fiscais-e-Faturamento</t>
  </si>
  <si>
    <t>02/12/20 - Emissão de Notas Fiscais e Faturamento</t>
  </si>
  <si>
    <t>['faturamento', 'NOTA fiscal', 'nf', 'emissão', 'serviços a vista', 'serviços a prazo', 'orçamento web', '32', 'comunicado']</t>
  </si>
  <si>
    <t>&lt;p&gt;&lt;img alt="032-2020.png" height="1142" src="https://atendimento.teconline.com.br/hc/article_attachments/360078414731/032-2020.png" width="749"/&gt;&lt;/p&gt;</t>
  </si>
  <si>
    <t>https://wilsonsonstrg.zendesk.com/api/v2/help_center/pt-br/articles/360052322731.json</t>
  </si>
  <si>
    <t>https://atendimento.teconline.com.br/hc/pt-br/articles/360052322731-06-11-20-Envio-de-documentos</t>
  </si>
  <si>
    <t>06/11/20 - Envio de documentos</t>
  </si>
  <si>
    <t>['envio de documentos', 'até as 18', 'agendamento de importação', 'liberação de importação', 'horário limite para envio', 'pagamento de importação', 'pgt importação']</t>
  </si>
  <si>
    <t>&lt;p&gt;&lt;img alt="30-2020.PNG" height="1041" src="https://atendimento.teconline.com.br/hc/article_attachments/360077795592/30-2020.PNG" width="683"/&gt;&lt;/p&gt;</t>
  </si>
  <si>
    <t>https://wilsonsonstrg.zendesk.com/api/v2/help_center/pt-br/articles/360052322631.json</t>
  </si>
  <si>
    <t>https://atendimento.teconline.com.br/hc/pt-br/articles/360052322631-04-11-20-Controle-de-pesagem</t>
  </si>
  <si>
    <t>04/11/20 - Controle de pesagem</t>
  </si>
  <si>
    <t>['receita federal', 'determinação da alfândega', 'srf', 'controle de pesagem', 'pesagem de containers', 'pesagem dos conteineres', 'valor absoluto de 3.000kg', 'diferença de peso', 'divergência de peso', 'impedimento de embarque', 'container de exportação', 'procedimento de pesagem']</t>
  </si>
  <si>
    <t>&lt;p&gt;&lt;img alt="029-2020.PNG" height="958" src="https://atendimento.teconline.com.br/hc/article_attachments/360077958451/029-2020.PNG" width="627"/&gt;&lt;/p&gt;</t>
  </si>
  <si>
    <t>https://wilsonsonstrg.zendesk.com/api/v2/help_center/pt-br/articles/360051868352.json</t>
  </si>
  <si>
    <t>https://atendimento.teconline.com.br/hc/pt-br/articles/360051868352-03-11-20-Evite-acidentes-e-danos-materiais</t>
  </si>
  <si>
    <t>03/11/20 - Evite acidentes e danos materiais</t>
  </si>
  <si>
    <t>['scanner', 'passar pelo scanner', 'escada lateral', 'manutenção']</t>
  </si>
  <si>
    <t>&lt;p&gt;&lt;img alt="027.PNG" height="886" src="https://atendimento.teconline.com.br/hc/article_attachments/360077793452/027.PNG" width="580"/&gt;&lt;/p&gt;</t>
  </si>
  <si>
    <t>https://wilsonsonstrg.zendesk.com/api/v2/help_center/pt-br/articles/360047722531.json</t>
  </si>
  <si>
    <t>https://atendimento.teconline.com.br/hc/pt-br/articles/360047722531-12-08-20-Faturamento-Tecon-Rio-Grande</t>
  </si>
  <si>
    <t>12/08/20 - Faturamento Tecon Rio Grande</t>
  </si>
  <si>
    <t>['nf', 'wilport', 'tecon rio grande', 'nota fiscal', 'cobrança em nome', 'mudança de wilport para tecon', 'mudou de wilport']</t>
  </si>
  <si>
    <t>&lt;p&gt;&lt;img alt="comunicado_faturamento.png" src="https://atendimento.teconline.com.br/hc/article_attachments/360064571632/comunicado_faturamento.png"/&gt;&lt;/p&gt;</t>
  </si>
  <si>
    <t>https://wilsonsonstrg.zendesk.com/api/v2/help_center/pt-br/articles/360044574571.json</t>
  </si>
  <si>
    <t>https://atendimento.teconline.com.br/hc/pt-br/articles/360044574571-04-06-20-Novo-Procedimento-Armaz%C3%A9m-de-Exporta%C3%A7%C3%A3o</t>
  </si>
  <si>
    <t>04/06/20 - Novo Procedimento Armazém de Exportação</t>
  </si>
  <si>
    <t>['nf', 'ade', 'lcl', 'carga avulsa', 'carga geral', 'exportação', 'consolidado', 'entregar carga', 'caminhão', 'notas manuais', 'xml']</t>
  </si>
  <si>
    <t>&lt;p&gt;&lt;img alt="mceclip0.png" height="1053" src="https://atendimento.teconline.com.br/hc/article_attachments/360058844132/mceclip0.png" width="707"/&gt;&lt;/p&gt;</t>
  </si>
  <si>
    <t>https://wilsonsonstrg.zendesk.com/api/v2/help_center/pt-br/articles/360044125672.json</t>
  </si>
  <si>
    <t>https://atendimento.teconline.com.br/hc/pt-br/articles/360044125672-03-06-20-Temperatura-Containers-Reefer-Importa%C3%A7%C3%A3o</t>
  </si>
  <si>
    <t>03/06/20 - Temperatura Containers Reefer Importação</t>
  </si>
  <si>
    <t>['temperatura', 'reefer', 'importação', 'rf', 'rh', '45r1', '42r1', 'container', 'termo']</t>
  </si>
  <si>
    <t>&lt;p&gt;&lt;img alt="mceclip0.png" height="798" src="https://atendimento.teconline.com.br/hc/article_attachments/360058998951/mceclip0.png" width="561"/&gt;&lt;/p&gt;</t>
  </si>
  <si>
    <t>https://wilsonsonstrg.zendesk.com/api/v2/help_center/pt-br/articles/360041450431.json</t>
  </si>
  <si>
    <t>https://atendimento.teconline.com.br/hc/pt-br/articles/360041450431-24-03-20-Documentos-Originais-Importa%C3%A7%C3%A3o-Termo-PDF-edit%C3%A1vel</t>
  </si>
  <si>
    <t>24/03/20 - Documentos Originais - Importação / Termo PDF editável</t>
  </si>
  <si>
    <t>['corona', 'virus', 'coronavirus', 'bl original', 'bl scaneado', 'liberar sem bl', 'guia de recolhimento', 'papel original', 'liberar carga no porto', 'icms', 'covid', '10.278/2020', 'extrato di']</t>
  </si>
  <si>
    <t>&lt;p&gt;&lt;img alt="image.png" src="https://atendimento.teconline.com.br/hc/article_attachments/360053033551/image.png"/&gt;&lt;/p&gt;
&lt;p&gt; &lt;/p&gt;</t>
  </si>
  <si>
    <t>https://wilsonsonstrg.zendesk.com/api/v2/help_center/pt-br/articles/360038940492.json</t>
  </si>
  <si>
    <t>https://atendimento.teconline.com.br/hc/pt-br/articles/360038940492-07-01-20-Comunicado-Mudan%C3%A7as-nos-Endere%C3%A7os-de-E-mails</t>
  </si>
  <si>
    <t>07/01/20 - Comunicado - Mudanças nos Endereços de E-mails</t>
  </si>
  <si>
    <t>['email', 'EXPORTAÇÃO', 'atendimento', 'danfe', 'comercial', 'validação para danfe']</t>
  </si>
  <si>
    <t>&lt;p&gt;&lt;img alt="mceclip1.png" height="888" src="https://atendimento.teconline.com.br/hc/article_attachments/360048493111/mceclip1.png" width="665"/&gt;&lt;/p&gt;</t>
  </si>
  <si>
    <t>https://wilsonsonstrg.zendesk.com/api/v2/help_center/pt-br/articles/360037925072.json</t>
  </si>
  <si>
    <t>https://atendimento.teconline.com.br/hc/pt-br/articles/360037925072-05-01-20-Novas-Nomenclaturas</t>
  </si>
  <si>
    <t>05/01/20 - Novas Nomenclaturas</t>
  </si>
  <si>
    <t>['mudança', 'nome dos serviços', 'nomenclaturas', 'serviços novos']</t>
  </si>
  <si>
    <t>&lt;p&gt;&lt;img alt="mceclip0.png" src="https://atendimento.teconline.com.br/hc/article_attachments/360046094872/mceclip0.png"/&gt;&lt;/p&gt;
&lt;p&gt; &lt;/p&gt;</t>
  </si>
  <si>
    <t>https://wilsonsonstrg.zendesk.com/api/v2/help_center/pt-br/articles/360038284651.json</t>
  </si>
  <si>
    <t>https://atendimento.teconline.com.br/hc/pt-br/articles/360038284651-20-09-19-Comunicado-Ficha-de-Emerg%C3%AAncia</t>
  </si>
  <si>
    <t>20/09/19 - Comunicado Ficha de Emergência</t>
  </si>
  <si>
    <t>['ficha de emergência', 'agendamento', 'entrega de cheio']</t>
  </si>
  <si>
    <t>&lt;p&gt;&lt;span&gt;&lt;strong&gt;*&lt;/strong&gt;&lt;span&gt; &lt;/span&gt;&lt;strong&gt;O endereço de e-mail foi atualizado para&lt;/strong&gt;&lt;/span&gt;&lt;span&gt; &lt;/span&gt;&lt;a href="mailto:fichaemergencia.tcrg@wilsonsons.com.br"&gt;fichaemergencia.tcrg@wilsonsons.com.br&lt;/a&gt;&lt;span&gt;. &lt;/span&gt;&lt;span&gt;&lt;strong&gt;Para mais informações,&lt;/strong&gt;&lt;span&gt; &lt;/span&gt;&lt;/span&gt;&lt;a href="https://atendimento.teconline.com.br/hc/pt-br/articles/360033811191-Ficha-de-Emerg%C3%AAncia-Processo-de-Exporta%C3%A7%C3%A3o-Cabotagem-Embarque" target="_blank"&gt;Clique aqui&lt;/a&gt;&lt;/p&gt;
&lt;p&gt;&lt;img alt="mceclip1.png" height="905" src="https://atendimento.teconline.com.br/hc/article_attachments/360046178131/mceclip1.png" width="638"/&gt;&lt;/p&gt;
&lt;p&gt; &lt;/p&gt;</t>
  </si>
  <si>
    <t>https://wilsonsonstrg.zendesk.com/api/v2/help_center/pt-br/articles/360028822912.json</t>
  </si>
  <si>
    <t>https://atendimento.teconline.com.br/hc/pt-br/articles/360028822912-01-06-19-Processo-Padr%C3%A3o-de-Recebimento-dos-Faturamentos-Wilson-Sons</t>
  </si>
  <si>
    <t>01/06/19 - Processo Padrão de Recebimento dos Faturamentos - Wilson Sons</t>
  </si>
  <si>
    <t>['boleto', 'pgt', 'pagamento', 'orçamento', 'dda']</t>
  </si>
  <si>
    <t>&lt;p&gt;&lt;img alt="mceclip0.png" src="https://atendimento.teconline.com.br/hc/article_attachments/360030200272/mceclip0.png"/&gt;&lt;/p&gt;</t>
  </si>
  <si>
    <t>https://wilsonsonstrg.zendesk.com/api/v2/help_center/pt-br/articles/115013900628.json</t>
  </si>
  <si>
    <t>https://atendimento.teconline.com.br/hc/pt-br/articles/115013900628-30-05-19-Pol%C3%ADtica-de-Cancelamento-de-Nota-Fiscal</t>
  </si>
  <si>
    <t>30/05/19 - Política de Cancelamento de Nota Fiscal</t>
  </si>
  <si>
    <t>['nf', 'nota fiscal', 'cancela nf', 'cancelamento de nota fiscal', 'cancelamento de nota', 'cancelar nota', 'como cancelar nota', 'como cancelar nota fiscal', 'procedimento para cancelar nota fiscal']</t>
  </si>
  <si>
    <t>&lt;p&gt;&lt;img alt="mceclip0.png" src="https://atendimento.teconline.com.br/hc/article_attachments/360030198992/mceclip0.png"/&gt;&lt;/p&gt;
&lt;p&gt; &lt;/p&gt;</t>
  </si>
  <si>
    <t>https://wilsonsonstrg.zendesk.com/api/v2/help_center/pt-br/articles/360029135751.json</t>
  </si>
  <si>
    <t>https://atendimento.teconline.com.br/hc/pt-br/articles/360029135751-27-05-19-Processo-de-Recebimento-de-Pagamentos-Tecon-Rio-Grande</t>
  </si>
  <si>
    <t>27/05/19 - Processo de Recebimento de Pagamentos - Tecon Rio Grande</t>
  </si>
  <si>
    <t>['boleto', 'pgt', 'pagamento', 'dda', 'depósito', 'ted', 'recebimento de pagamentos']</t>
  </si>
  <si>
    <t>&lt;p&gt;&lt;img alt="mceclip0.png" src="https://atendimento.teconline.com.br/hc/article_attachments/360030199632/mceclip0.png"/&gt;&lt;/p&gt;</t>
  </si>
  <si>
    <t>https://wilsonsonstrg.zendesk.com/api/v2/help_center/pt-br/articles/360007056091.json</t>
  </si>
  <si>
    <t>https://atendimento.teconline.com.br/hc/pt-br/articles/360007056091-06-07-18-Comunicado-DUE-WEB</t>
  </si>
  <si>
    <t>06/07/18 - Comunicado DUE - WEB</t>
  </si>
  <si>
    <t>['DUE', 'CCT', 'nf', 'exportação', 'nota fiscal', 'nota fiscal ade']</t>
  </si>
  <si>
    <t>&lt;p&gt;Rio Grande, 06 de Julho de 2018.&lt;/p&gt;
&lt;p&gt;&lt;strong&gt; &lt;/strong&gt;&lt;/p&gt;
&lt;p&gt;&lt;strong&gt;COMUNICADO&lt;/strong&gt;&lt;/p&gt;
&lt;p&gt; &lt;/p&gt;
&lt;p&gt; &lt;/p&gt;
&lt;p&gt;Prezados Clientes,&lt;/p&gt;
&lt;p&gt; &lt;/p&gt;
&lt;p&gt;está disponível no &lt;em&gt;teconline&lt;/em&gt; a nova funcionalidade de Consultar DUE. &lt;/p&gt;
&lt;p&gt; &lt;/p&gt;
&lt;p&gt;Esta funcionalidade permite a visualização dos serviço executados para o seu processo, assim como link para download das notas fiscais. Aparecerão os serviços disponíveis para faturamento e os serviços que já foram faturados.&lt;/p&gt;
&lt;p&gt; &lt;/p&gt;
&lt;p&gt;Favor notar as considerações abaixo:&lt;/p&gt;
&lt;p&gt;- As taxas básicas de exportação serão disponibilizadas após a recepção e entrega das cargas pelo Tecon no Portal CCT.&lt;/p&gt;
&lt;p&gt;- A nota fiscal será disponibilizada somente após emissão/quitação do boleto.&lt;/p&gt;
&lt;p&gt;- Lista de Serviços pode alterar até o embarque da unidade.&lt;/p&gt;
&lt;p&gt; &lt;/p&gt;
&lt;p&gt;Em caso de dúvidas, nossa equipe de atendimento comercial estará disponível para dúvidas.&lt;/p&gt;
&lt;p&gt; &lt;/p&gt;
&lt;p&gt; &lt;/p&gt;
&lt;p&gt;Cordialmente,&lt;/p&gt;
&lt;p&gt; &lt;/p&gt;
&lt;p&gt;TECON Rio Grande S/A&lt;/p&gt;</t>
  </si>
  <si>
    <t>https://wilsonsonstowage.zendesk.com/api/v2/help_center/en-us/articles/15794686007053.json</t>
  </si>
  <si>
    <t>https://wilsonsonstowage.zendesk.com/hc/en-us/articles/15794686007053-When-Mob-Demob-charges-apply-at-the-port-of-Recife</t>
  </si>
  <si>
    <t>Danilo Moura</t>
  </si>
  <si>
    <t>Wilson Sons - Towage</t>
  </si>
  <si>
    <t>Recife</t>
  </si>
  <si>
    <t>When Mob/Demob charges apply at the port of Recife ?</t>
  </si>
  <si>
    <t>en-us</t>
  </si>
  <si>
    <t>&lt;p&gt;&lt;span&gt;The charge is for vessels calling the port with draft over 8,8m, when it’s compulsory  to employ a second azimuthal tug with over 40t BP. In this case, we have to displace this second tug from Suape.&lt;/span&gt;&lt;/p&gt;</t>
  </si>
  <si>
    <t>https://wilsonsonstowage.zendesk.com/api/v2/help_center/en-us/articles/15794675334285.json</t>
  </si>
  <si>
    <t>https://wilsonsonstowage.zendesk.com/hc/en-us/articles/15794675334285-When-Turning-a-vessel-at-Rio-Grande-is-charged</t>
  </si>
  <si>
    <t>Rio Grande</t>
  </si>
  <si>
    <t>When Turning a vessel at Rio Grande is charged?</t>
  </si>
  <si>
    <t>&lt;p&gt;&lt;span&gt;Tug requested to turn the vessel at anchorage as she is pointing upstream and cannot turn by herself to exit the channel/port&lt;/span&gt;&lt;/p&gt;</t>
  </si>
  <si>
    <t>https://wilsonsonstowage.zendesk.com/api/v2/help_center/en-us/articles/15794645210893.json</t>
  </si>
  <si>
    <t>https://wilsonsonstowage.zendesk.com/hc/en-us/articles/15794645210893-When-Turning-a-vessel-at-Paranagua-is-charged</t>
  </si>
  <si>
    <t>Paranaguá</t>
  </si>
  <si>
    <t>When Turning a vessel at Paranagua is charged?</t>
  </si>
  <si>
    <t>&lt;p&gt;&lt;span&gt;Tug requested to turn the vessel at anchorage as she is pointing upstream and cannot turn by herself to exit the channel/port.&lt;/span&gt;&lt;/p&gt;</t>
  </si>
  <si>
    <t>https://wilsonsonstowage.zendesk.com/api/v2/help_center/en-us/articles/15794641932557.json</t>
  </si>
  <si>
    <t>https://wilsonsonstowage.zendesk.com/hc/en-us/articles/15794641932557-Employment-of-the-5th-tug-at-Praia-Mole-Vit%C3%B3ria</t>
  </si>
  <si>
    <t>Vitória</t>
  </si>
  <si>
    <t>Employment of the 5th tug at Praia Mole - Vitória.</t>
  </si>
  <si>
    <t>&lt;p&gt;&lt;span&gt;For vessels over 15,5m draft, the 5th tug is mandatory as per port regulations.&lt;/span&gt;&lt;/p&gt;</t>
  </si>
  <si>
    <t>https://wilsonsonstowage.zendesk.com/api/v2/help_center/en-us/articles/15794606914701.json</t>
  </si>
  <si>
    <t>https://wilsonsonstowage.zendesk.com/hc/en-us/articles/15794606914701-Additional-tug-at-Ponta-Ubu-Vit%C3%B3ria</t>
  </si>
  <si>
    <t>Additional tug at Ponta Ubu - Vitória</t>
  </si>
  <si>
    <t>&lt;p&gt;&lt;span&gt;For vessels ranging from DWT 120,000 to 190,000, over 10,5m draft, turning and berthing on the West side of the píer, it is compulsory to employ a 5th tug.&lt;/span&gt;&lt;/p&gt;
&lt;p&gt;&lt;span&gt;For vessels over DWT 190,000, turning and berthing on the West side of the píer, it is compulsory to employ a 5th tug.&lt;/span&gt;&lt;/p&gt;</t>
  </si>
  <si>
    <t>https://wilsonsonstowage.zendesk.com/api/v2/help_center/en-us/articles/15794578117517.json</t>
  </si>
  <si>
    <t>https://wilsonsonstowage.zendesk.com/hc/en-us/articles/15794578117517-Tug-pushing-the-vessel-against-the-quay-at-Aracaju</t>
  </si>
  <si>
    <t>Barra dos Coqueiros</t>
  </si>
  <si>
    <t>Tug pushing the vessel against the quay at Aracaju</t>
  </si>
  <si>
    <t>&lt;p&gt;&lt;span&gt;Tug pushing the vessel against the quay to keep her berthed due to the bad weather or  other situations.&lt;/span&gt;&lt;/p&gt;</t>
  </si>
  <si>
    <t>https://wilsonsonstowage.zendesk.com/api/v2/help_center/en-us/articles/15794575554829.json</t>
  </si>
  <si>
    <t>https://wilsonsonstowage.zendesk.com/hc/en-us/articles/15794575554829-For-Mooring-on-Buoy-or-anchoring-at-Anchorage</t>
  </si>
  <si>
    <t>Trombetas</t>
  </si>
  <si>
    <t>For Mooring on Buoy or anchoring at Anchorage.</t>
  </si>
  <si>
    <t>&lt;p&gt;&lt;span&gt;Mooring the vessel at the buoy to wait for berthing or turn the vessel at the anchorage after bunkering or documentation, for the vessel's departure down river.&lt;/span&gt;&lt;/p&gt;</t>
  </si>
  <si>
    <t>https://wilsonsonstowage.zendesk.com/api/v2/help_center/en-us/articles/15794522403597.json</t>
  </si>
  <si>
    <t>https://wilsonsonstowage.zendesk.com/hc/en-us/articles/15794522403597-Rates-for-up-to-4-tugs-in-4-tugs-out</t>
  </si>
  <si>
    <t>Porto do Açu (T ORE)</t>
  </si>
  <si>
    <t>Rates for up to 4 tugs in + 4 tugs out:</t>
  </si>
  <si>
    <t>&lt;p&gt;&lt;span&gt;The pilot can request the use of the 5th tugboat , due to the bad weather conditions.&lt;/span&gt;&lt;/p&gt;</t>
  </si>
  <si>
    <t>https://wilsonsonstowage.zendesk.com/api/v2/help_center/en-us/articles/15794519365773.json</t>
  </si>
  <si>
    <t>https://wilsonsonstowage.zendesk.com/hc/en-us/articles/15794519365773-Rates-for-up-to-4-tugs-in-4-tugs-out-for-vessel-up-to-DWT-250-000</t>
  </si>
  <si>
    <t>Porto do Açu (T OIL)</t>
  </si>
  <si>
    <t>Rates for up to 4 tugs in + 4 tugs out for vessel up to DWT 250,000:</t>
  </si>
  <si>
    <t>&lt;p&gt;&lt;span&gt;It is mandatory to use the fifth tugboat , whenever a VLCC berth or unberth at the T Oil Terminal, or whenever a vessel performs a maneuver loaded at T Oil Terminal.&lt;/span&gt;&lt;/p&gt;
&lt;p&gt;&lt;span&gt;The pilot can also request the use of the fifth tugboat , because of the bad weather.&lt;/span&gt;&lt;/p&gt;</t>
  </si>
  <si>
    <t>https://wilsonsonstowage.zendesk.com/api/v2/help_center/en-us/articles/15794541644685.json</t>
  </si>
  <si>
    <t>https://wilsonsonstowage.zendesk.com/hc/en-us/articles/15794541644685-When-do-Escort-Tug-Towing-maneuvers-occur</t>
  </si>
  <si>
    <t>Itajaí</t>
  </si>
  <si>
    <t>When do Escort Tug/Towing  maneuvers occur?</t>
  </si>
  <si>
    <t>&lt;p&gt;&lt;span&gt;Vessel  with LOA over 306m with vessels berthed at the terminal 1 and 2, it is necessary to be escorted until the turning basin, turned 180 degrees and towed backwards until berth at the terminal &lt;/span&gt;&lt;/p&gt;</t>
  </si>
  <si>
    <t>https://wilsonsonstowage.zendesk.com/api/v2/help_center/en-us/articles/15794232790157.json</t>
  </si>
  <si>
    <t>https://wilsonsonstowage.zendesk.com/hc/en-us/articles/15794232790157-When-charges-apply-to-passing-under-the-Bridge-in-Rio-de-Janeiro-Bay</t>
  </si>
  <si>
    <t>Rio de Janeiro</t>
  </si>
  <si>
    <t>When charges  apply to passing under the Bridge in Rio de Janeiro Bay?</t>
  </si>
  <si>
    <t>&lt;p&gt;&lt;span&gt;For vessels carrying any dangerous cargoes or any other type of vessel over DWT 40,000, calling Chemical terminals and/or going to the north Anchorage, it is compulsory to employ  2 tugs to pass under the main span of the Costa e Silva (Rio/Niteroi) bridge.&lt;/span&gt;&lt;/p&gt;</t>
  </si>
  <si>
    <t>https://wilsonsonstowage.zendesk.com/api/v2/help_center/en-us/articles/15794193866381.json</t>
  </si>
  <si>
    <t>https://wilsonsonstowage.zendesk.com/hc/en-us/articles/15794193866381-Why-MARAGOGIPE-ENSEADA-tariff-is-different-from-the-Salvador-and-Aratu-tariff</t>
  </si>
  <si>
    <t>Maragogipe</t>
  </si>
  <si>
    <t>Why MARAGOGIPE/ ENSEADA tariff is different from the Salvador and Aratu tariff?</t>
  </si>
  <si>
    <t>&lt;p&gt;&lt;span&gt;The Salvador port complex has different divisions due to the distance between them, thus the pricing for each one is specific.&lt;/span&gt;&lt;/p&gt;
&lt;p&gt;&lt;span&gt;Enseada do Paraguaçu (Maragogipe) terminal is located 3 hours sailing (each way) from commercial quay, where the tug base is located.&lt;/span&gt;&lt;/p&gt;</t>
  </si>
  <si>
    <t>https://wilsonsonstowage.zendesk.com/api/v2/help_center/en-us/articles/15794190489741.json</t>
  </si>
  <si>
    <t>https://wilsonsonstowage.zendesk.com/hc/en-us/articles/15794190489741-Move-the-vessel-alongside-the-quay-at-IMBITUBA</t>
  </si>
  <si>
    <t>Imbituba</t>
  </si>
  <si>
    <t>Move the vessel alongside the quay at IMBITUBA</t>
  </si>
  <si>
    <t>&lt;p&gt;&lt;span&gt;Tugs pulling the vessel up to 80m along the quay will be charged one value. &lt;/span&gt;&lt;/p&gt;
&lt;p&gt;&lt;span&gt;Distances over 80m or from one berth to another will be classificated as a direct shifting.&lt;/span&gt;&lt;/p&gt;</t>
  </si>
  <si>
    <t>https://wilsonsonsclsa.zendesk.com/api/v2/help_center/pt-br/articles/31974530052237.json</t>
  </si>
  <si>
    <t>https://wilsonsonsclsa.zendesk.com/hc/pt-br/articles/31974530052237-Dados-Cadastrais-e-do-Recinto</t>
  </si>
  <si>
    <t>Priscila Ramos Mota</t>
  </si>
  <si>
    <t>Wilson Sons - CL Santo André</t>
  </si>
  <si>
    <t>Aduaneiro</t>
  </si>
  <si>
    <t>Dados Cadastrais e do Recinto</t>
  </si>
  <si>
    <t>&lt;p&gt;&lt;strong&gt;&lt;span&gt;Razão Social:&lt;/span&gt;&lt;/strong&gt;&lt;span&gt;  Wilson Sons Terminais e Logística Ltda.&lt;/span&gt;&lt;/p&gt;
&lt;p&gt; &lt;/p&gt;
&lt;p&gt;&lt;strong&gt;&lt;span&gt;Endereço: &lt;/span&gt;&lt;/strong&gt;&lt;span&gt;Avenida dos Estados, 4.530 - Utinga - &lt;/span&gt;&lt;span&gt;Santo André - Cep: 09229-570&lt;/span&gt;&lt;/p&gt;
&lt;p&gt;&lt;strong&gt;&lt;span&gt;CNPJ: &lt;/span&gt;&lt;/strong&gt;&lt;span&gt;03.852.972/0006-07&lt;/span&gt;&lt;/p&gt;
&lt;p&gt;&lt;strong&gt;&lt;span&gt;Inscrição estadual: &lt;/span&gt;&lt;/strong&gt;&lt;span&gt;626.702.499.115&lt;/span&gt;&lt;/p&gt;
&lt;p&gt;&lt;strong&gt;&lt;span&gt;Inscrição Municipal: &lt;/span&gt;&lt;/strong&gt;&lt;span&gt;167.892&lt;/span&gt;&lt;/p&gt;
&lt;p&gt; &lt;/p&gt;
&lt;p&gt;&lt;strong&gt;Código do Recinto perante a RFB:&lt;/strong&gt; 8943208&lt;/p&gt;
&lt;p&gt;&lt;strong&gt;Unidade Local:&lt;/strong&gt; 0817900&lt;/p&gt;
&lt;p&gt;&lt;strong&gt;Setor:&lt;/strong&gt; 002&lt;/p&gt;</t>
  </si>
  <si>
    <t>https://wilsonsonsclsa.zendesk.com/api/v2/help_center/pt-br/articles/21546550050701.json</t>
  </si>
  <si>
    <t>https://wilsonsonsclsa.zendesk.com/hc/pt-br/articles/21546550050701-Averba%C3%A7%C3%A3o-de-processo-no-portal-log%C3%ADstica</t>
  </si>
  <si>
    <t>Armazém Alfandegado</t>
  </si>
  <si>
    <t>Averbação de processo no portal logística</t>
  </si>
  <si>
    <t>&lt;p&gt; &lt;/p&gt;
&lt;p&gt;Você pode efetuar essa solicitação em nosso portal.&lt;/p&gt;
&lt;p&gt; &lt;/p&gt;
&lt;p&gt;1. &lt;span&gt;&lt;a href="https://portal.wilsonsonslogistica.com.br/Login.aspx"&gt;Acesse aqui&lt;/a&gt;&lt;/span&gt; o portal logística;&lt;/p&gt;
&lt;p&gt;&lt;span&gt;&lt;br/&gt;2. Faça login com seu usuário e senha;&lt;/span&gt;&lt;/p&gt;
&lt;p&gt;&lt;span&gt;&lt;br/&gt;3. Clique em Averbação&amp;gt; Solicitar Averbação&amp;gt; Unidade: escolha a unidade WS &amp;gt; Comissária: escolha a comissária/despachante que pretende averbar o documento &amp;gt; Clique na lupa para anexar o arquivo XML do processo &amp;gt; Digite o número referência do cliente &amp;gt; Clique em “Processar” para visualizar as informações do documento. &amp;gt; Clique em “Confirmar” para finalizar a Averbação Eletrônica.&lt;/span&gt;&lt;/p&gt;
&lt;p&gt;&lt;span&gt;&lt;br/&gt;4. Anexar os arquivos para liberação: Clique em "Averbação"&amp;gt;"Consultar/Coletar"&amp;gt; Selecione a Comissária &amp;gt; Pesquise pelo número de DI/DA &amp;gt; clique em Pesquisar &amp;gt; Clique no campo "Anexos" para inserir o Conhecimento, Extrato da DI/DA, (e outros documentos se necessário).&lt;/span&gt;&lt;/p&gt;
&lt;p&gt; &lt;/p&gt;</t>
  </si>
  <si>
    <t>https://wilsonsonsclsa.zendesk.com/api/v2/help_center/pt-br/articles/21546200101389.json</t>
  </si>
  <si>
    <t>https://wilsonsonsclsa.zendesk.com/hc/pt-br/articles/21546200101389-Onde-consulto-as-informa%C3%A7%C3%B5es-da-minha-Carga</t>
  </si>
  <si>
    <t>Onde consulto as informações da minha Carga?</t>
  </si>
  <si>
    <t>&lt;p&gt; &lt;/p&gt;
&lt;p&gt;&lt;span&gt;Você pode consultar as informações em nosso portal.&lt;/span&gt;&lt;/p&gt;
&lt;p&gt; &lt;/p&gt;
&lt;p&gt;&lt;span&gt;1. &lt;span&gt;&lt;a href="https://portal.wilsonsonslogistica.com.br/Login.aspx"&gt;Acesse aqui&lt;/a&gt;&lt;/span&gt; o portal logística;&lt;/span&gt;&lt;/p&gt;
&lt;p&gt;&lt;span&gt;&lt;br/&gt;2. Faça login com seu usuário e senha;&lt;/span&gt;&lt;/p&gt;
&lt;p&gt;&lt;span&gt;&lt;br/&gt;3. Clique em:  Aduaneiro &amp;gt; Histórico Lote &amp;gt; Pesquisar por: "DTA" &amp;gt; Conteúdo da Pesquisa: digite o número da DTA &amp;gt; Clique no ícone da lupa para pesquisar. &lt;/span&gt;&lt;/p&gt;
&lt;p&gt;&lt;span&gt;Agora é só selecionar as abas que deseja consultar.&lt;/span&gt;&lt;/p&gt;
&lt;p&gt;&lt;span&gt;&lt;br/&gt;Caso a DTA possua mais de um conhecimento, é necessário selecionar o lote antes de clicar na lupa para pesquisar.&lt;/span&gt;&lt;/p&gt;</t>
  </si>
  <si>
    <t>https://wilsonsonsclsa.zendesk.com/api/v2/help_center/pt-br/articles/21535317991181.json</t>
  </si>
  <si>
    <t>https://wilsonsonsclsa.zendesk.com/hc/pt-br/articles/21535317991181-Como-solicitar-uma-proposta</t>
  </si>
  <si>
    <t>Comercial</t>
  </si>
  <si>
    <t>Como solicitar uma proposta?</t>
  </si>
  <si>
    <t>&lt;p&gt; &lt;/p&gt;
&lt;p&gt;&lt;span&gt;Entre em contato com nossa equipe comercial &lt;a href="https://www.wilsonsons.com.br/pt-br/centro-logistico/#form"&gt;&lt;span&gt;&lt;strong&gt;AQUI&lt;/strong&gt;&lt;/span&gt;&lt;/a&gt; ou envie sua solicitação pelo e-mail: &lt;strong&gt;&lt;span&gt;&lt;a href="mailto:atendimento.sandre@wilsonsons.com.br"&gt;atendimento.sandre@wilsonsons.com.br&lt;/a&gt;&lt;/span&gt;&lt;/strong&gt;&lt;/span&gt;&lt;/p&gt;
&lt;p&gt; &lt;/p&gt;
&lt;p&gt;&lt;span&gt;&lt;strong&gt;&lt;span&gt; &lt;/span&gt;&lt;/strong&gt;&lt;/span&gt;&lt;/p&gt;</t>
  </si>
  <si>
    <t>https://wilsonsonsclsa.zendesk.com/api/v2/help_center/pt-br/articles/21437444874509.json</t>
  </si>
  <si>
    <t>https://wilsonsonsclsa.zendesk.com/hc/pt-br/articles/21437444874509-O-que-s%C3%A3o-os-Regimes-Aduaneiros-Especiais</t>
  </si>
  <si>
    <t>Regimes Aduaneiros Especiais</t>
  </si>
  <si>
    <t>O que são os Regimes Aduaneiros Especiais?</t>
  </si>
  <si>
    <t>&lt;p&gt; &lt;/p&gt;
&lt;p&gt;Os Regimes aduaneiros especiais são conjuntos de normas e procedimentos que estabelecem condições específicas para a importação, exportação, trânsito e armazenamento de mercadorias.&lt;/p&gt;
&lt;p&gt;Esses regimes permitem benefícios ou isenções fiscais temporárias a determinadas categorias de mercadorias ou operadores econômicos.&lt;/p&gt;
&lt;p&gt;Existem diversos tipos de regimes especiais, no &lt;strong&gt;Centro Logístico Santo André&lt;/strong&gt;, além do regime comum trabalhamos com os regimes: &lt;/p&gt;
&lt;p&gt; &lt;/p&gt;
&lt;p&gt;- &lt;a href="https://wilsonsonsclsa.zendesk.com/hc/pt-br/articles/21441225233037"&gt;DAC (Depósito Alfandegado Certificado);&lt;/a&gt;&lt;/p&gt;
&lt;p&gt; &lt;/p&gt;
&lt;p&gt;-  &lt;a href="https://wilsonsonsclsa.zendesk.com/hc/pt-br/articles/21548644503437"&gt;Entreposto Aduaneiro&lt;/a&gt;;&lt;/p&gt;
&lt;p&gt; &lt;/p&gt;
&lt;p&gt;- Admissão Temporária;&lt;/p&gt;
&lt;p&gt; &lt;/p&gt;
&lt;p&gt;- Drawback.&lt;/p&gt;
&lt;p&gt; &lt;/p&gt;
&lt;p&gt; &lt;/p&gt;
&lt;p&gt;&lt;span&gt;&lt;strong&gt;Não encontrou o que buscava? &lt;span&gt;&lt;a href="https://wilsonsonsclsa.zendesk.com/hc/pt-br/requests/new" target="_blank"&gt;CLIQUE AQUI&lt;/a&gt;&lt;/span&gt; e faça sua solicitação! &lt;/strong&gt;&lt;/span&gt;&lt;/p&gt;</t>
  </si>
  <si>
    <t>https://wilsonsonsclsa.zendesk.com/api/v2/help_center/pt-br/articles/21388893615245.json</t>
  </si>
  <si>
    <t>https://wilsonsonsclsa.zendesk.com/hc/pt-br/articles/21388893615245-Hor%C3%A1rios-de-Parametriza%C3%A7%C3%A3o-e-Desembara%C3%A7o-da-Receita-Federal</t>
  </si>
  <si>
    <t>Horários de Parametrização e Desembaraço da Receita Federal</t>
  </si>
  <si>
    <t>&lt;p&gt; &lt;/p&gt;
&lt;p&gt;&lt;span&gt;Abaixo os horários de parametrização e desembaraço da RFB&lt;/span&gt;&lt;/p&gt;
&lt;p&gt; &lt;/p&gt;
&lt;table border="1" cellpadding="0" cellspacing="0"&gt;
&lt;tbody&gt;
&lt;tr&gt;
&lt;td&gt; &lt;/td&gt;
&lt;td&gt;&lt;span&gt;&lt;strong&gt;Parametrização&lt;/strong&gt;&lt;/span&gt;&lt;/td&gt;
&lt;td&gt;&lt;span&gt;&lt;strong&gt;Desembaraço&lt;/strong&gt;&lt;/span&gt;&lt;/td&gt;
&lt;/tr&gt;
&lt;tr&gt;
&lt;td&gt;&lt;span&gt;1º&lt;/span&gt;&lt;/td&gt;
&lt;td&gt;&lt;span&gt;08h20&lt;/span&gt;&lt;/td&gt;
&lt;td&gt;&lt;span&gt;10h20&lt;/span&gt;&lt;/td&gt;
&lt;/tr&gt;
&lt;tr&gt;
&lt;td&gt;&lt;span&gt;2º&lt;/span&gt;&lt;/td&gt;
&lt;td&gt;&lt;span&gt;11h00&lt;/span&gt;&lt;/td&gt;
&lt;td&gt;&lt;span&gt;13h00&lt;/span&gt;&lt;/td&gt;
&lt;/tr&gt;
&lt;tr&gt;
&lt;td&gt;&lt;span&gt;3º&lt;/span&gt;&lt;/td&gt;
&lt;td&gt;&lt;span&gt;13h40&lt;/span&gt;&lt;/td&gt;
&lt;td&gt;&lt;span&gt;15h40&lt;/span&gt;&lt;/td&gt;
&lt;/tr&gt;
&lt;tr&gt;
&lt;td&gt;&lt;span&gt;4º&lt;/span&gt;&lt;/td&gt;
&lt;td&gt;&lt;span&gt;16h20&lt;/span&gt;&lt;/td&gt;
&lt;td&gt;&lt;span&gt;18h20&lt;/span&gt;&lt;/td&gt;
&lt;/tr&gt;
&lt;tr&gt;
&lt;td&gt;&lt;span&gt;5º&lt;/span&gt;&lt;/td&gt;
&lt;td&gt;&lt;span&gt;19h00&lt;/span&gt;&lt;/td&gt;
&lt;td&gt;&lt;span&gt;21h00&lt;/span&gt;&lt;/td&gt;
&lt;/tr&gt;
&lt;/tbody&gt;
&lt;/table&gt;
&lt;p&gt; &lt;/p&gt;</t>
  </si>
  <si>
    <t>https://wilsonsonsclsa.zendesk.com/api/v2/help_center/pt-br/articles/21335802337165.json</t>
  </si>
  <si>
    <t>https://wilsonsonsclsa.zendesk.com/hc/pt-br/articles/21335802337165-Primeiro-acesso-ao-Portal-Log%C3%ADstica</t>
  </si>
  <si>
    <t>Portal Logística</t>
  </si>
  <si>
    <t>Primeiro acesso ao Portal Logística</t>
  </si>
  <si>
    <t>&lt;p&gt;Os acessos devem ser solicitados diretamente pelo Portal Logística, preencha o cadastro e após a sua  solicitação nosso time de atendimento faz a liberação dos acessos.&lt;/p&gt;
&lt;p&gt; &lt;/p&gt;
&lt;p&gt;Acesse o portal logística &lt;strong&gt;&lt;a href="https://portal.wilsonsonslogistica.com.br/Login.aspx" target="_blank"&gt;AQUI&lt;/a&gt;&lt;/strong&gt;.&lt;/p&gt;
&lt;p&gt;&lt;img alt="Apresentação sem título (1).png" src="https://wilsonsonsclsa.zendesk.com/hc/article_attachments/21335832168461"/&gt;&lt;span&gt;Preencha todos os dados solicitados e clique em salvar&lt;/span&gt;&lt;/p&gt;
&lt;p&gt; &lt;/p&gt;
&lt;p&gt;&lt;span&gt;&lt;img src="https://wilsonsonsclsa.zendesk.com/hc/article_attachments/21534854557581"/&gt;&lt;/span&gt;&lt;/p&gt;
&lt;p&gt; &lt;/p&gt;
&lt;p&gt;Em caso de dúvidas, entre em contato conosco pelo e-mail &lt;strong&gt;&lt;span&gt;&lt;a href="mailto:atendimento.sandre@wilsonsons.com.br"&gt;atendimento.sandre@wilsonsons.com.br.&lt;/a&gt;&lt;/span&gt;&lt;/strong&gt;&lt;/p&gt;
&lt;p&gt; &lt;/p&gt;</t>
  </si>
  <si>
    <t>https://wilsonsonsclsa.zendesk.com/api/v2/help_center/pt-br/articles/21321243806605.json</t>
  </si>
  <si>
    <t>https://wilsonsonsclsa.zendesk.com/hc/pt-br/articles/21321243806605-Como-fa%C3%A7o-para-negociar-ou-renegociar-minha-d%C3%ADvida</t>
  </si>
  <si>
    <t>Financeiro</t>
  </si>
  <si>
    <t>Como faço para negociar ou renegociar minha dívida?</t>
  </si>
  <si>
    <t>&lt;p&gt;&lt;span&gt;Envie um e-mail para: &lt;strong&gt;&lt;a href="mailto:atendimento.sandre@wilsonsons.com.br"&gt;atendimento.sandre@wilsonsons.com.br&lt;/a&gt;&lt;/strong&gt; contendo: &lt;/span&gt;&lt;/p&gt;
&lt;p&gt; &lt;/p&gt;
&lt;p&gt;&lt;span&gt;- Razão Social;&lt;/span&gt;&lt;/p&gt;
&lt;p&gt;&lt;span&gt;- CNPJ;&lt;/span&gt;&lt;/p&gt;
&lt;p&gt;&lt;span&gt;- Número de processo específico.&lt;/span&gt;&lt;/p&gt;
&lt;p&gt; &lt;/p&gt;</t>
  </si>
  <si>
    <t>https://wilsonsonsclsa.zendesk.com/api/v2/help_center/pt-br/articles/21321143473549.json</t>
  </si>
  <si>
    <t>https://wilsonsonsclsa.zendesk.com/hc/pt-br/articles/21321143473549-N%C3%A3o-recebi-o-faturamento-ou-boleto-para-pagamento-o-que-eu-fa%C3%A7o</t>
  </si>
  <si>
    <t>Não recebi o faturamento ou boleto para pagamento, o que eu faço?</t>
  </si>
  <si>
    <t>&lt;p&gt;&lt;span&gt;Envie sua solicitação para &lt;strong&gt;&lt;a href="mailto:atendimento.sandre@wilsonsons.com.br"&gt;atendimento.sandre@wilsonsons.com.br&lt;/a&gt;&lt;/strong&gt; informando o o número de processo, DI, DA, DTA ou pedido.&lt;/span&gt;&lt;/p&gt;</t>
  </si>
  <si>
    <t>https://wilsonsonsclsa.zendesk.com/api/v2/help_center/pt-br/articles/21320366235149.json</t>
  </si>
  <si>
    <t>https://wilsonsonsclsa.zendesk.com/hc/pt-br/articles/21320366235149-Informa%C3%A7%C3%B5es-sobre-Faturamento</t>
  </si>
  <si>
    <t>Informações sobre Faturamento</t>
  </si>
  <si>
    <t>&lt;div&gt; &lt;/div&gt;
&lt;div&gt;Abaixo algumas informações importantes sobre nosso faturamento.&lt;/div&gt;
&lt;div&gt; &lt;/div&gt;
&lt;ul&gt;
&lt;li&gt;Prazo de envio de faturamento até 48 horas após saída da carga, com exceção de processos com premissas ou particularidades previamente alinhadas;&lt;/li&gt;
&lt;li&gt;Cargas e descargas solicitadas em horários diferenciados, sofrerão acréscimo de valor da tarifa de movimentação/carga e descarga/baixa container, conforme proposta negociada;&lt;/li&gt;
&lt;li&gt;Processos com pagamento antecipados deverão ser solicitados com antecedência, para identificação de valor em conta e liberação da carga;&lt;/li&gt;
&lt;li&gt;Clientes com data corte financeiro deverão alinhar com Executivo da conta e Atendimento ao cliente.&lt;/li&gt;
&lt;/ul&gt;
&lt;div&gt;
&lt;div&gt; &lt;/div&gt;
&lt;/div&gt;</t>
  </si>
  <si>
    <t>https://wilsonsonsclsa.zendesk.com/api/v2/help_center/pt-br/articles/21194573757837.json</t>
  </si>
  <si>
    <t>https://wilsonsonsclsa.zendesk.com/hc/pt-br/articles/21194573757837-Solicita%C3%A7%C3%A3o-de-Visitas-e-Auditorias-Centro-de-Distribui%C3%A7%C3%A3o</t>
  </si>
  <si>
    <t>Boas Vindas - Centro de Distribuição</t>
  </si>
  <si>
    <t>Solicitação de Visitas e Auditorias - Centro de Distribuição</t>
  </si>
  <si>
    <t>&lt;p&gt; &lt;/p&gt;
&lt;p&gt;&lt;span&gt;Para solicitar uma visita/auditoria basta enviar uma solicitação ao nossa equipe de atendimento ao cliente.&lt;/span&gt;&lt;/p&gt;
&lt;p&gt; &lt;/p&gt;
&lt;p&gt;&lt;span&gt;É necessário nos enviar as informações abaixo para análise e autorização com até 24 horas de antecedência:&lt;/span&gt;&lt;/p&gt;
&lt;p&gt; &lt;/p&gt;
&lt;p&gt;&lt;span&gt;- Nome da Empresa/Cliente;&lt;/span&gt;&lt;/p&gt;
&lt;p&gt;&lt;span&gt;&lt;span&gt;- D&lt;/span&gt;&lt;span&gt;ata prevista para o acesso; &lt;/span&gt;&lt;/span&gt;&lt;/p&gt;
&lt;p&gt;&lt;span&gt;- Nome completo;&lt;/span&gt;&lt;/p&gt;
&lt;p&gt;&lt;span&gt;- CPF; &lt;/span&gt;&lt;/p&gt;
&lt;p&gt;&lt;span&gt;- Cargo;&lt;/span&gt;&lt;/p&gt;
&lt;p&gt;&lt;span&gt;- Motivo do acesso: &lt;/span&gt;&lt;/p&gt;
&lt;p&gt;&lt;span&gt;- Equipamentos (Notebooks, aparelhos de medição, etc.)&lt;/span&gt;&lt;/p&gt;
&lt;p&gt; &lt;/p&gt;
&lt;p&gt;&lt;span&gt;Descrever detalhadamente o motivo da solicitação de acesso.&lt;/span&gt;&lt;/p&gt;
&lt;p&gt;&lt;span&gt; &lt;/span&gt;&lt;/p&gt;
&lt;p&gt;&lt;span&gt;&lt;span&gt;É &lt;/span&gt;&lt;strong&gt;&lt;span&gt;obrigatório&lt;/span&gt;&lt;/strong&gt;&lt;span&gt; o uso de Equipamentos de Proteção Individual, caso não possua, por gentileza informar quantidade e tamanho: &lt;/span&gt;&lt;/span&gt;&lt;/p&gt;
&lt;p&gt; &lt;/p&gt;
&lt;p&gt;&lt;span&gt;Colete: informar tamanho P,M ou G;&lt;/span&gt;&lt;/p&gt;
&lt;p&gt;&lt;span&gt;Bota: Informar numeração;&lt;/span&gt;&lt;/p&gt;
&lt;p&gt;&lt;span&gt;Capacete: informar quantidade;&lt;/span&gt;&lt;/p&gt;
&lt;p&gt;&lt;span&gt; &lt;/span&gt;&lt;/p&gt;
&lt;p&gt;&lt;span&gt;Se houver necessidade da entrada de veículo, informar o modelo e a placa.&lt;/span&gt;&lt;/p&gt;
&lt;p&gt; &lt;/p&gt;</t>
  </si>
  <si>
    <t>https://wilsonsonsclsa.zendesk.com/api/v2/help_center/pt-br/articles/21193197828493.json</t>
  </si>
  <si>
    <t>https://wilsonsonsclsa.zendesk.com/hc/pt-br/articles/21193197828493-Quais-certifica%C3%A7%C3%B5es-que-o-CLSA-possui</t>
  </si>
  <si>
    <t>Qualidade</t>
  </si>
  <si>
    <t>Quais certificações que o CLSA possui?</t>
  </si>
  <si>
    <t>&lt;p&gt;&lt;span&gt;Atualmente o Centro Logístico Santo André é certificado nas normas ISO 9001:2015 e ISO 14001:2015, os certificados estão disponíveis em nosso site&lt;/span&gt;&lt;/p&gt;</t>
  </si>
  <si>
    <t>https://wilsonsonsclsa.zendesk.com/api/v2/help_center/pt-br/articles/21191337151245.json</t>
  </si>
  <si>
    <t>https://wilsonsonsclsa.zendesk.com/hc/pt-br/articles/21191337151245-Onde-posso-consultar-a-Pol%C3%ADtica-de-Gest%C3%A3o-Integrada-definida-para-o-Centro-Log%C3%ADstico-Santo-Andr%C3%A9</t>
  </si>
  <si>
    <t>Onde posso consultar a Política de Gestão Integrada definida para o Centro Logístico Santo André?</t>
  </si>
  <si>
    <t>&lt;p&gt; &lt;/p&gt;
&lt;p&gt;&lt;span&gt;Todos os compromissos estabelecidos para as atividades de Armazém Alfandegado e Centro de Distribuição do Centro Logístico Santo André podem ser consultados em nosso site: &lt;strong&gt;www.wilsonsons.com.br/pt-br/centro-logistico/qualidade/&lt;/strong&gt;&lt;/span&gt;&lt;/p&gt;</t>
  </si>
  <si>
    <t>https://wilsonsonsclsa.zendesk.com/api/v2/help_center/pt-br/articles/21191019931405.json</t>
  </si>
  <si>
    <t>https://wilsonsonsclsa.zendesk.com/hc/pt-br/articles/21191019931405-Onde-posso-consultar-os-certificados-de-Qualidade-e-Meio-Ambiente-do-Centro-Log%C3%ADstico-Santo-Andr%C3%A9</t>
  </si>
  <si>
    <t>Onde posso consultar os certificados de Qualidade e Meio Ambiente do Centro Logístico Santo André?</t>
  </si>
  <si>
    <t>&lt;p&gt; &lt;/p&gt;
&lt;p&gt;&lt;span&gt;O Centro Logístico Santo André é certificado nas normas &lt;strong&gt;ISO 9001:2015 e ISO 14001:2015&lt;/strong&gt; pelo organismo certificador Bureau Veritas. Os certificados estão disponíveis para as partes interessadas em nosso site: &lt;a href="http://www.wilsonsons.com.br/pt-br/centro-logistico/qualidade/"&gt;www.wilsonsons.com.br/pt-br/centro-logistico/qualidade/&lt;/a&gt;&lt;/span&gt;&lt;/p&gt;
&lt;p&gt; &lt;/p&gt;
&lt;p&gt;&lt;strong&gt;&lt;a href="https://www.wilsonsons.com.br/wp-content/uploads/2023/01/Certificados-Centro-Logistico-Santo-Andre.pdf"&gt;&lt;span&gt;Confira aqui nossos certificados! &lt;/span&gt;&lt;/a&gt;&lt;/strong&gt;&lt;/p&gt;
&lt;p&gt; &lt;/p&gt;
&lt;p&gt; &lt;/p&gt;
&lt;p&gt; &lt;/p&gt;
&lt;p&gt; &lt;/p&gt;
&lt;p&gt; &lt;/p&gt;</t>
  </si>
  <si>
    <t>https://wilsonsonsclsa.zendesk.com/api/v2/help_center/pt-br/articles/17576958544269.json</t>
  </si>
  <si>
    <t>https://wilsonsonsclsa.zendesk.com/hc/pt-br/articles/17576958544269-Quais-os-dados-do-Recinto-Alfandegado</t>
  </si>
  <si>
    <t>Quais os dados do Recinto Alfandegado?</t>
  </si>
  <si>
    <t>&lt;p&gt; &lt;/p&gt;
&lt;p&gt;&lt;span&gt;&lt;strong&gt;Recinto Alfandegado:&lt;/strong&gt; 8943208&lt;/span&gt;&lt;/p&gt;
&lt;p&gt; &lt;/p&gt;
&lt;p&gt;&lt;span&gt;&lt;strong&gt;Unidade Local:&lt;/strong&gt; 0817900&lt;/span&gt;&lt;/p&gt;
&lt;p&gt; &lt;/p&gt;
&lt;p&gt;&lt;span&gt;&lt;strong&gt;Setor:&lt;/strong&gt; 002&lt;/span&gt;&lt;/p&gt;</t>
  </si>
  <si>
    <t>https://wilsonsonsclsa.zendesk.com/api/v2/help_center/pt-br/articles/17576949803149.json</t>
  </si>
  <si>
    <t>https://wilsonsonsclsa.zendesk.com/hc/pt-br/articles/17576949803149-Fluxo-Processo-de-Rotulagem-de-Bebidas-MAPA</t>
  </si>
  <si>
    <t>Fluxo - Processo de Rotulagem de Bebidas - MAPA</t>
  </si>
  <si>
    <t>&lt;p&gt;&lt;span&gt;Processo realizado totalmente através do portal único via despachante/cliente x MAPA sendo assim, única participação efetiva do armazém é o ato da rotulagem.&lt;/span&gt;&lt;/p&gt;</t>
  </si>
  <si>
    <t>https://wilsonsonsclsa.zendesk.com/api/v2/help_center/pt-br/articles/17576960767501.json</t>
  </si>
  <si>
    <t>https://wilsonsonsclsa.zendesk.com/hc/pt-br/articles/17576960767501-Orienta%C3%A7%C3%A3o-Geral-na-Retirada-de-Amostras-INMETRO</t>
  </si>
  <si>
    <t>Orientação Geral na Retirada de Amostras - INMETRO</t>
  </si>
  <si>
    <t>&lt;p&gt;1° - O cliente/despachante deverá enviar através do e-mail apoio.sandre@wilsonsons.com.br Procuração e Contrato Social, comprovando que o despachante representa o importador legalmente, bem como a exigência do INMETRO. &lt;/p&gt;
&lt;p&gt; &lt;/p&gt;
&lt;p&gt;2° - Após confirmado a legalidade das informações, o cliente/despachante deverá preencher e assinar o Termo de Retirada das Amostras através do&lt;a href="https://docs.google.com/document/d/1ePlgHspMoeJCxdVKjGnrZMr3mZLR-xUl1dCKqw3FVAw/edit"&gt;&lt;span&gt; link&lt;/span&gt;&lt;/a&gt;.&lt;/p&gt;
&lt;p&gt; &lt;/p&gt;
&lt;p&gt;3° - O cliente/despachante deverá enviar ao recinto através do e-mail, o termo preenchido e assinado para separação da mercadoria, bem como o relatório de amostragem do órgão analisador. &lt;/p&gt;
&lt;p&gt; &lt;/p&gt;
&lt;p&gt;4°- Após confirmação de separação da mercadoria o cliente/despachante deverá informar para o e-mail atendimento.sandre@wilsonsons.com.br data, hora e nome do agente do órgão que fará a coleta das amostras, bem como as placas do veículo caso haja necessidade de acessar a área alfandegada.&lt;/p&gt;</t>
  </si>
  <si>
    <t>https://wilsonsonsclsa.zendesk.com/api/v2/help_center/pt-br/articles/21548989029773.json</t>
  </si>
  <si>
    <t>https://wilsonsonsclsa.zendesk.com/hc/pt-br/articles/21548989029773-Admiss%C3%A3o-Tempor%C3%A1ria</t>
  </si>
  <si>
    <t>Admissão Temporária</t>
  </si>
  <si>
    <t>&lt;p&gt; &lt;/p&gt;
&lt;p&gt;O regime de admissão temporária permite a entrada de mercadorias no país, com finalidade e período de tempo predeterminados, com a suspensão total ou parcial do pagamento de tributos aduaneiros incidentes na importação, sendo esses calculados de acordo com o tempo de permanência do bem no país.&lt;/p&gt;
&lt;p&gt; &lt;/p&gt;
&lt;p&gt;O intuito desse regime é simplificar a importação de produtos que sejam destinados à atividades sociais, culturais, pesquisas científicas, técnicas ou utilidade econômica.&lt;/p&gt;
&lt;p&gt; &lt;/p&gt;
&lt;p&gt;Não encontrou o que buscava? &lt;span&gt;&lt;a href="https://wilsonsonsclsa.zendesk.com/hc/pt-br/requests/new" target="_blank"&gt;&lt;strong&gt;CLIQUE AQUI&lt;/strong&gt;&lt;/a&gt;&lt;/span&gt; e faça sua solicitação! &lt;/p&gt;
&lt;p&gt; &lt;/p&gt;
&lt;p&gt;Outras informações sobre regimes aduaneiros especiais &lt;span&gt;&lt;strong&gt;&lt;a href="https://www.gov.br/receitafederal/pt-br/assuntos/aduana-e-comercio-exterior/manuais/subportais-aduana-e-comercio-exterior/regimes-aduaneiros-especiais" target="_blank"&gt;AQUI.&lt;/a&gt;&lt;/strong&gt;&lt;/span&gt;&lt;/p&gt;</t>
  </si>
  <si>
    <t>https://wilsonsonsclsa.zendesk.com/api/v2/help_center/pt-br/articles/21539182906509.json</t>
  </si>
  <si>
    <t>https://wilsonsonsclsa.zendesk.com/hc/pt-br/articles/21539182906509-Qual-o-hor%C3%A1rio-de-funcionamento-do-armaz%C3%A9m-alfandegado</t>
  </si>
  <si>
    <t>Qual o horário de funcionamento do armazém alfandegado?</t>
  </si>
  <si>
    <t>&lt;p&gt; &lt;/p&gt;
&lt;p&gt;&lt;span&gt;Nosso recinto funciona das 06h00 às 00h52, porém das 08h00 às 17h45 é o horário comercial para retiradas de mercadoria por ordem de chegada. &lt;/span&gt;&lt;/p&gt;
&lt;p&gt; &lt;/p&gt;
&lt;p&gt;&lt;em&gt;Das 17h45 ás 00h52 é o horário com maior fluxo de DTA's.&lt;/em&gt;&lt;/p&gt;</t>
  </si>
  <si>
    <t>https://wilsonsonsclsa.zendesk.com/api/v2/help_center/pt-br/articles/21334091379085.json</t>
  </si>
  <si>
    <t>https://wilsonsonsclsa.zendesk.com/hc/pt-br/articles/21334091379085-Reclama%C3%A7%C3%B5es-e-Elogios</t>
  </si>
  <si>
    <t>Atendimento ao Cliente</t>
  </si>
  <si>
    <t>Reclamações e Elogios</t>
  </si>
  <si>
    <t>&lt;p&gt;Para registrar reclamações e elogios entre em contato com nossa equipe de atendimento no e-mail:&lt;/p&gt;
&lt;p&gt; &lt;/p&gt;
&lt;p&gt;&lt;strong&gt;atendimento.sandre@wilsonsons.com.br&lt;/strong&gt;&lt;/p&gt;
&lt;p&gt; &lt;/p&gt;
&lt;p&gt; &lt;/p&gt;</t>
  </si>
  <si>
    <t>https://wilsonsonsclsa.zendesk.com/api/v2/help_center/pt-br/articles/21330992215437.json</t>
  </si>
  <si>
    <t>https://wilsonsonsclsa.zendesk.com/hc/pt-br/articles/21330992215437-Nossos-Canais-de-Atendimento</t>
  </si>
  <si>
    <t>Boas Vindas -  Armazém Alfandegado</t>
  </si>
  <si>
    <t>Nossos Canais de Atendimento</t>
  </si>
  <si>
    <t>&lt;p&gt; &lt;/p&gt;
&lt;p&gt;&lt;strong&gt;&lt;span&gt;É muito importante que todas as solicitações sejam direcionadas a nossos canais oficiais.&lt;/span&gt;&lt;/strong&gt;&lt;/p&gt;
&lt;p&gt;&lt;span&gt;Nosso time de atendimento está pronto para atendê-lo de segunda a sexta das &lt;strong&gt;8:00 às 17:45&lt;/strong&gt; pelos canais:&lt;/span&gt;&lt;/p&gt;
&lt;p&gt;&lt;strong&gt;&lt;span&gt;Telefone:&lt;/span&gt;&lt;/strong&gt;&lt;span&gt; (11) 4976-9503&lt;/span&gt;&lt;/p&gt;
&lt;p&gt; &lt;/p&gt;
&lt;p&gt;&lt;strong&gt;&lt;span&gt;E-mail:&lt;/span&gt;&lt;/strong&gt; &lt;a href="mailto:atendimento.sandre@wilsonsons.com.br"&gt;&lt;span&gt;atendimento.sandre@wilsonsons.com.br&lt;/span&gt;&lt;/a&gt;&lt;/p&gt;
&lt;p&gt; &lt;/p&gt;
&lt;p&gt;&lt;strong&gt;&lt;span&gt;Por esses canais é possível o envio de solicitações de qualquer tipo, dúvidas, elogios, reclamações, requisição de visitas e auditorias entre outros.&lt;/span&gt;&lt;/strong&gt;&lt;/p&gt;</t>
  </si>
  <si>
    <t>https://wilsonsonsclsa.zendesk.com/api/v2/help_center/pt-br/articles/31977286869773.json</t>
  </si>
  <si>
    <t>https://wilsonsonsclsa.zendesk.com/hc/pt-br/articles/31977286869773-Opera%C3%A7%C3%A3o-Armaz%C3%A9m-Alfandegado</t>
  </si>
  <si>
    <t>Operação - Armazém Alfandegado</t>
  </si>
  <si>
    <t>&lt;p&gt;&lt;span&gt;&lt;span&gt;&lt;strong&gt;&lt;span&gt;Importação&lt;/span&gt;&lt;/strong&gt;&lt;/span&gt;&lt;/span&gt;&lt;/p&gt;
&lt;p&gt; &lt;/p&gt;
&lt;p&gt;&lt;strong&gt;&lt;span&gt;Recepção de DTA &lt;/span&gt;&lt;/strong&gt;&lt;/p&gt;
&lt;p&gt;&lt;strong&gt;&lt;span&gt;&amp;gt; &lt;/span&gt;&lt;/strong&gt;Horário: 24 horas&lt;/p&gt;
&lt;p&gt;&lt;strong&gt;&lt;span&gt;&amp;gt; &lt;/span&gt;&lt;/strong&gt;Documentação: DTA e Conhecimento de Transporte&lt;/p&gt;
&lt;p&gt;&lt;strong&gt;&lt;span&gt;Expedição de Carga &lt;/span&gt;&lt;/strong&gt;&lt;/p&gt;
&lt;p&gt;&lt;strong&gt;&lt;span&gt;&amp;gt; &lt;/span&gt;&lt;/strong&gt;Horário: 06:00 às 20:00 (necessária averbação no portal logística).&lt;/p&gt;
&lt;p&gt;&lt;strong&gt;&lt;span&gt;&amp;gt; &lt;/span&gt;&lt;/strong&gt;Documentação Necessária: Ordem de Coleta e NF para amparo do trânsito. &lt;/p&gt;
&lt;p&gt;&lt;strong&gt;&lt;span&gt;Regime Especial de Entreposto&lt;/span&gt;&lt;/strong&gt;&lt;/p&gt;
&lt;p&gt;&lt;strong&gt;&lt;span&gt;&amp;gt; &lt;/span&gt;&lt;/strong&gt;Para nacionalizações, solicitamos o envio da DI para separação com até 48 horas de antecedência.&lt;/p&gt;
&lt;p&gt; &lt;/p&gt;
&lt;p&gt;&lt;span&gt;&lt;span&gt;&lt;strong&gt;&lt;span&gt;Exportação&lt;/span&gt;&lt;/strong&gt;&lt;/span&gt;&lt;/span&gt;&lt;/p&gt;
&lt;p&gt; &lt;/p&gt;
&lt;p&gt;&lt;strong&gt;&lt;span&gt;Recepção de Carga&lt;/span&gt;&lt;/strong&gt;&lt;/p&gt;
&lt;p&gt;&lt;strong&gt;&lt;span&gt;&amp;gt; &lt;/span&gt;&lt;/strong&gt;Horário: 06:00 às 20:00&lt;/p&gt;
&lt;p&gt;&lt;strong&gt;&lt;span&gt;&amp;gt; &lt;/span&gt;&lt;/strong&gt;Documentação Necessária: Ordem de entrega e NF. É necessário agendamento com 48 horas de antecedência.&lt;/p&gt;
&lt;p&gt;&lt;strong&gt;&lt;span&gt;Expedição de Carga&lt;/span&gt;&lt;/strong&gt;&lt;/p&gt;
&lt;p&gt;&lt;strong&gt;&lt;span&gt;&amp;gt; &lt;/span&gt;&lt;/strong&gt;Horário: 06:00 às 20:00&lt;/p&gt;
&lt;p&gt;&lt;strong&gt;&lt;span&gt;&amp;gt; &lt;/span&gt;&lt;/strong&gt;Documentação Necessária: &lt;/p&gt;
&lt;p&gt;&lt;strong&gt;&lt;span&gt;&amp;gt; &lt;/span&gt;&lt;/strong&gt;Ordem de coleta, DU-e, Fatura, Packing List e NF. &lt;/p&gt;
&lt;p&gt; &lt;/p&gt;
&lt;p&gt;&lt;strong&gt;&lt;span&gt;&amp;gt; &lt;/span&gt;&lt;/strong&gt;Lacre do Transportador&lt;/p&gt;
&lt;p&gt;&lt;strong&gt;&lt;span&gt;&amp;gt; &lt;/span&gt;&lt;/strong&gt;DAT para entrega da carga&lt;/p&gt;
&lt;p&gt;&lt;strong&gt;&lt;span&gt;&amp;gt; &lt;/span&gt;&lt;/strong&gt;DAT iniciado para liberação do veículo&lt;/p&gt;
&lt;p&gt; &lt;/p&gt;</t>
  </si>
  <si>
    <t>https://wilsonsonsclsa.zendesk.com/api/v2/help_center/pt-br/articles/21548644503437.json</t>
  </si>
  <si>
    <t>https://wilsonsonsclsa.zendesk.com/hc/pt-br/articles/21548644503437-Entreposto-Aduaneiro</t>
  </si>
  <si>
    <t>Entreposto Aduaneiro</t>
  </si>
  <si>
    <t>&lt;p&gt; &lt;/p&gt;
&lt;p&gt;O regime aduaneiro especial de Entreposto Aduaneiro na importação ou exportação é o que permite a armazenagem de mercadoria estrangeira em recinto alfandegado de uso público, com suspensão do pagamento de tributos.&lt;/p&gt;
&lt;p&gt; &lt;/p&gt;
&lt;p&gt;Há inúmeros benéficos para esse regime dentre eles:&lt;/p&gt;
&lt;p&gt; &lt;/p&gt;
&lt;p&gt;- Postergação no pagamento dos tributos até a data de nacionalização das mercadorias;&lt;/p&gt;
&lt;p&gt;- Possibilidade de desdobramento dos produtos em lote, permitindo a nacionalização de mercadorias por etapas;&lt;/p&gt;
&lt;p&gt;- Disponibilidade imediata dos produtos;&lt;/p&gt;
&lt;p&gt; &lt;/p&gt;
&lt;p&gt;Não encontrou o que buscava? &lt;span&gt;&lt;a href="https://wilsonsonsclsa.zendesk.com/hc/pt-br/requests/new" target="_blank"&gt;&lt;strong&gt;CLIQUE AQUI&lt;/strong&gt;&lt;/a&gt;&lt;/span&gt; e faça sua solicitação! &lt;/p&gt;
&lt;p&gt; &lt;/p&gt;
&lt;p&gt;Outras informações sobre regimes aduaneiros especiais &lt;span&gt;&lt;strong&gt;&lt;a href="https://www.gov.br/receitafederal/pt-br/assuntos/aduana-e-comercio-exterior/manuais/subportais-aduana-e-comercio-exterior/regimes-aduaneiros-especiais" target="_blank"&gt;AQUI.&lt;/a&gt;&lt;/strong&gt;&lt;/span&gt;&lt;/p&gt;
&lt;p&gt; &lt;/p&gt;
&lt;p&gt; &lt;/p&gt;
&lt;p&gt; &lt;/p&gt;</t>
  </si>
  <si>
    <t>https://wilsonsonsclsa.zendesk.com/api/v2/help_center/pt-br/articles/21538404709901.json</t>
  </si>
  <si>
    <t>https://wilsonsonsclsa.zendesk.com/hc/pt-br/articles/21538404709901-Como-posso-fazer-uma-retirada-de-carga-no-Armaz%C3%A9m-Alfandegado</t>
  </si>
  <si>
    <t>Como posso fazer uma retirada de carga no Armazém Alfandegado?</t>
  </si>
  <si>
    <t>['01HFS53CQSEDGAMKAGFNZ8QBWP']</t>
  </si>
  <si>
    <t>&lt;p&gt; &lt;/p&gt;
&lt;p&gt;&lt;span&gt;O carregamento é realizado por ordem de chegada de Segunda a Sexta-feira das 08h00 as 17h45. &lt;/span&gt;&lt;/p&gt;
&lt;p&gt;&lt;span&gt;Não há necessidade de agendamento, apenas o envio da Ordem de coleta contendo: &lt;br/&gt;&lt;br/&gt;- Dados do motorista (Nome, RG ou CPF);&lt;br/&gt;- Dados do veículo (modelo, placa);&lt;br/&gt;- Número da DI e NF;&lt;br/&gt;- Nome do cliente;&lt;/span&gt;&lt;/p&gt;
&lt;p&gt;&lt;span&gt;- Nome da transportadora.&lt;/span&gt;&lt;/p&gt;
&lt;p&gt; &lt;/p&gt;
&lt;p&gt;&lt;span&gt;Não encontrou o que buscava? &lt;span&gt;&lt;a href="https://wilsonsonsclsa.zendesk.com/hc/pt-br/requests/new" target="_blank"&gt;CLIQUE AQUI&lt;/a&gt;&lt;/span&gt; e faça sua solicitação! &lt;/span&gt;&lt;/p&gt;</t>
  </si>
  <si>
    <t>https://wilsonsonsclsa.zendesk.com/api/v2/help_center/pt-br/articles/21335033812621.json</t>
  </si>
  <si>
    <t>https://wilsonsonsclsa.zendesk.com/hc/pt-br/articles/21335033812621-Esqueci-a-senha-do-Portal-WS-o-que-eu-fa%C3%A7o</t>
  </si>
  <si>
    <t>Esqueci a senha do Portal WS, o que eu faço?</t>
  </si>
  <si>
    <t>&lt;p&gt; &lt;/p&gt;
&lt;p&gt;&lt;span&gt;Solicite um novo acesso para nosso time de atendimento pelo e-mail: &lt;a href="mailto:atendimento.sandre@wilsonsons.com.br"&gt;atendimento.sandre@wilsonsons.com.br&lt;/a&gt; informando seu nome e e-mail de acesso.&lt;/span&gt;&lt;/p&gt;
&lt;p&gt; &lt;/p&gt;
&lt;p&gt;&lt;span&gt; &lt;/span&gt;&lt;/p&gt;</t>
  </si>
  <si>
    <t>https://wilsonsonsclsa.zendesk.com/api/v2/help_center/pt-br/articles/31975424122253.json</t>
  </si>
  <si>
    <t>https://wilsonsonsclsa.zendesk.com/hc/pt-br/articles/31975424122253-Remo%C3%A7%C3%A3o-das-Mercadorias-Tr%C3%A2nsito-Aduaneiro</t>
  </si>
  <si>
    <t>Remoção das Mercadorias - Trânsito Aduaneiro</t>
  </si>
  <si>
    <t>&lt;p&gt;&lt;strong&gt;&lt;span&gt;&amp;gt; &lt;/span&gt;&lt;/strong&gt;&lt;span&gt;Para garantia da remoção das mercadorias dentro do prazo acordado, é &lt;strong&gt;indispensável &lt;/strong&gt;o envio correto das informações solicitadas.&lt;/span&gt;&lt;/p&gt;
&lt;p&gt; &lt;/p&gt;
&lt;p&gt;&lt;strong&gt;&lt;span&gt;&amp;gt; &lt;/span&gt;&lt;/strong&gt;&lt;span&gt;É necessário a habilitação no Siscomex e para isso, solicitamos que o CNPJ da Wilson Sons n° 03.852.972/0001-00 seja incluído como BENEFICIÁRIO e TRANSPORTADOR no siscomex trânsito.&lt;/span&gt;&lt;/p&gt;
&lt;p&gt; &lt;/p&gt;
&lt;p&gt;&lt;strong&gt;&lt;span&gt;&amp;gt; &lt;/span&gt;&lt;/strong&gt;&lt;span&gt;&lt;strong&gt;Documentos necessários para a elaboração da DTA:&lt;/strong&gt;&lt;/span&gt;&lt;/p&gt;
&lt;p&gt; &lt;/p&gt;
&lt;p&gt;&lt;strong&gt;&lt;span&gt;&amp;gt;&lt;/span&gt;&lt;/strong&gt; Porto ou Aeroporto brasileiro de destino; &lt;/p&gt;
&lt;p&gt;&lt;strong&gt;&lt;span&gt;&amp;gt; &lt;/span&gt;&lt;/strong&gt;Número do MBL ou AWB (enviar uma cópia);&lt;/p&gt;
&lt;p&gt;&lt;strong&gt;&lt;span&gt;&amp;gt;&lt;/span&gt;&lt;/strong&gt; Número do HBL, se for o caso (enviar uma cópia);&lt;/p&gt;
&lt;p&gt;&lt;strong&gt;&lt;span&gt;&amp;gt; &lt;/span&gt;&lt;/strong&gt;Packing list completo e Invoice (enviar uma cópia);&lt;/p&gt;
&lt;p&gt;&lt;strong&gt;&lt;span&gt;&amp;gt; &lt;/span&gt;&lt;/strong&gt;Previsão de chegada no porto brasileiro de destino;&lt;/p&gt;
&lt;p&gt;&lt;strong&gt;&lt;span&gt;&amp;gt; &lt;/span&gt;&lt;/strong&gt;Recinto que será direcionado ( neste caso, Wilson Sons);&lt;/p&gt;
&lt;p&gt;&lt;strong&gt;&lt;span&gt;&amp;gt; &lt;/span&gt;&lt;/strong&gt;Valor a ser declarado na DTA;&lt;/p&gt;
&lt;p&gt;&lt;strong&gt;&lt;span&gt;&amp;gt; &lt;/span&gt;&lt;/strong&gt;Informar o CNPJ do tomador do frete rodoviário, (responsável pelo pagamento do frete contratado);&lt;/p&gt;
&lt;p&gt;&lt;strong&gt;&lt;span&gt;&amp;gt; &lt;/span&gt;&lt;/strong&gt;Informar se há necessidade de controle de temperatura da mercadoria durante o transporte; &lt;/p&gt;
&lt;p&gt;&lt;strong&gt;&lt;span&gt;&amp;gt; &lt;/span&gt;&lt;/strong&gt;Descrição detalhada da mercadoria; &lt;/p&gt;
&lt;p&gt;&lt;strong&gt;&lt;span&gt;&amp;gt; &lt;/span&gt;&lt;/strong&gt;Informar se a mercadoria estará sujeita à anuência prévia à concessão do regime de trânsito aduaneiro, nos termos do artigo 328 do regulamento aduaneiro. Em caso positivo, encaminhar a documentação pertinente para anexarmos à DTA; &lt;/p&gt;
&lt;p&gt;&lt;strong&gt;&lt;span&gt;&amp;gt;&lt;/span&gt;&lt;/strong&gt; Extrato do conhecimento eletrônico;&lt;/p&gt;
&lt;p&gt;&lt;strong&gt;&lt;span&gt;&amp;gt; &lt;/span&gt;&lt;/strong&gt;Telas do sistema da Marinha Mercante CE;&lt;/p&gt;
&lt;p&gt;&lt;strong&gt;&lt;span&gt;&amp;gt; &lt;/span&gt;&lt;/strong&gt;Informar o prazo de permanência do contêiner e depot para devolução do vazio;&lt;/p&gt;
&lt;p&gt;&lt;strong&gt;&lt;span&gt;&amp;gt; &lt;/span&gt;&lt;/strong&gt;Informar o free time.&lt;/p&gt;
&lt;p&gt; &lt;/p&gt;
&lt;p&gt; &lt;/p&gt;
&lt;p&gt;&lt;span&gt;&lt;strong&gt;&lt;span&gt;&amp;gt; &lt;/span&gt;&lt;span&gt;&lt;span&gt;T&lt;/span&gt;oda documentação deve ser enviada com, no mínimo, 48 horas de antecedência para:&lt;/span&gt;&lt;/strong&gt; &lt;a href="mailto:apoio.sandre@wilsonsons.com.br"&gt;&lt;span&gt;apoio.sandre@wilsonsons.com.br&lt;/span&gt;&lt;/a&gt;&lt;span&gt; e &lt;/span&gt;&lt;a href="mailto:atendimento.sandre@wilsonsons.com.br"&gt;&lt;span&gt;atendimento.sandre@wilsonsons.com.br&lt;/span&gt;&lt;/a&gt;&lt;span&gt; &lt;/span&gt;&lt;/span&gt;&lt;/p&gt;
&lt;p&gt; &lt;/p&gt;
&lt;p&gt; &lt;/p&gt;
&lt;p&gt; &lt;/p&gt;</t>
  </si>
  <si>
    <t>https://wilsonsonsclsa.zendesk.com/api/v2/help_center/pt-br/articles/21441225233037.json</t>
  </si>
  <si>
    <t>https://wilsonsonsclsa.zendesk.com/hc/pt-br/articles/21441225233037-DAC-Dep%C3%B3sito-Alfandegado-Certificado</t>
  </si>
  <si>
    <t>DAC - Depósito Alfandegado Certificado</t>
  </si>
  <si>
    <t>&lt;p&gt; &lt;/p&gt;
&lt;p&gt;Este regime permite considerar como exportada para todos os efeitos a mercadoria nacional depositada em recinto alfandegado, permanecendo no país por conta e ordem do comprador estrangeiro.&lt;/p&gt;
&lt;p&gt;Há uma série de vantagens para os exportadores e importadores, no que diz respeito aos custos e também em relação as facilidades operacionais, trazendo mais flexibilidade as exportações.&lt;/p&gt;
&lt;p&gt; &lt;/p&gt;
&lt;p&gt;&lt;strong&gt;Como funciona?&lt;/strong&gt;&lt;/p&gt;
&lt;p&gt;&lt;img height="339" src="https://wilsonsonsclsa.zendesk.com/hc/article_attachments/21548261527309" width="602"/&gt;&lt;/p&gt;
&lt;p&gt; &lt;/p&gt;
&lt;p&gt;Não encontrou o que buscava? &lt;span&gt;&lt;a href="https://wilsonsonsclsa.zendesk.com/hc/pt-br/requests/new" target="_blank"&gt;&lt;strong&gt;CLIQUE AQUI&lt;/strong&gt;&lt;/a&gt;&lt;/span&gt; e faça sua solicitação! &lt;/p&gt;
&lt;p&gt; &lt;/p&gt;
&lt;p&gt;Outras informações sobre regimes aduaneiros especiais &lt;span&gt;&lt;strong&gt;&lt;a href="https://www.gov.br/receitafederal/pt-br/assuntos/aduana-e-comercio-exterior/manuais/subportais-aduana-e-comercio-exterior/regimes-aduaneiros-especiais" target="_blank"&gt;AQUI.&lt;/a&gt;&lt;/strong&gt;&lt;/span&gt;&lt;/p&gt;
&lt;p&gt; &lt;/p&gt;</t>
  </si>
  <si>
    <t>https://wilsonsonsclsa.zendesk.com/api/v2/help_center/pt-br/articles/21550086559245.json</t>
  </si>
  <si>
    <t>https://wilsonsonsclsa.zendesk.com/hc/pt-br/articles/21550086559245-Drawback</t>
  </si>
  <si>
    <t>Drawback</t>
  </si>
  <si>
    <t>&lt;p&gt; &lt;/p&gt;
&lt;p&gt;O regime aduaneiro especial de drawback, consiste na suspensão ou eliminação de tributos incidentes sobre insumos importados para utilização em produto exportado.&lt;/p&gt;
&lt;p&gt; &lt;/p&gt;
&lt;p&gt;Sobre as modalidades drawback:&lt;/p&gt;
&lt;p&gt; &lt;/p&gt;
&lt;p&gt;&lt;strong&gt;De isenção:&lt;/strong&gt; Consiste na isenção dos tributos incidentes na importação de mercadoria, destinada à reposição de outra importada anteriormente com pagamento de tributos e utilizada na industrialização de produto exportado.&lt;/p&gt;
&lt;p&gt; &lt;/p&gt;
&lt;p&gt;&lt;strong&gt;De suspensão: &lt;/strong&gt;Suspende os tributos incidentes na importação de mercadoria a ser utilizada na industrialização de produto que deve ser exportado. &lt;/p&gt;
&lt;p&gt; &lt;/p&gt;
&lt;p&gt;Não encontrou o que buscava? &lt;span&gt;&lt;a href="https://wilsonsonsclsa.zendesk.com/hc/pt-br/requests/new" target="_blank"&gt;&lt;strong&gt;CLIQUE AQUI&lt;/strong&gt;&lt;/a&gt;&lt;/span&gt; e faça sua solicitação! &lt;/p&gt;
&lt;p&gt; &lt;/p&gt;
&lt;p&gt;Outras informações sobre regimes aduaneiros especiais &lt;span&gt;&lt;strong&gt;&lt;a href="https://www.gov.br/receitafederal/pt-br/assuntos/aduana-e-comercio-exterior/manuais/subportais-aduana-e-comercio-exterior/regimes-aduaneiros-especiais" target="_blank"&gt;AQUI.&lt;/a&gt;&lt;/strong&gt;&lt;/span&gt;&lt;/p&gt;
&lt;p&gt; &lt;/p&gt;
&lt;p&gt; &lt;/p&gt;</t>
  </si>
  <si>
    <t>https://wilsonsonsclsa.zendesk.com/api/v2/help_center/pt-br/articles/21538774959373.json</t>
  </si>
  <si>
    <t>https://wilsonsonsclsa.zendesk.com/hc/pt-br/articles/21538774959373-Solicita%C3%A7%C3%A3o-de-Visitas-e-Auditorias-Armaz%C3%A9m-Alfandegado</t>
  </si>
  <si>
    <t>Solicitação de Visitas e Auditorias - Armazém Alfandegado</t>
  </si>
  <si>
    <t>&lt;p&gt; &lt;/p&gt;
&lt;p&gt;&lt;span&gt;As visitas ocorrem mediante agendamento e autorização da Fiscalização do Recinto. É necessário nos enviar as informações abaixo para análise e autorização:&lt;br/&gt;&lt;br/&gt;- Nome da Empresa/Cliente;&lt;br/&gt;- Data prevista para o acesso;&lt;br/&gt;- Nome completo;&lt;br/&gt;- CPF;&lt;br/&gt;- Cargo;&lt;br/&gt;- Motivo do acesso : Descrever detalhadamente o motivo da solicitação de acesso, s&lt;/span&gt;&lt;span&gt;e houver verificação de carga informar o número de DTA, DA, DU-E ou DI;&lt;/span&gt;&lt;/p&gt;
&lt;p&gt;&lt;span&gt;- &lt;/span&gt;&lt;span&gt;Se houver necessidade da entrada de veículo, informar modelo e placa.&lt;/span&gt;&lt;/p&gt;
&lt;p&gt;&lt;span&gt;&lt;br/&gt;É obrigatório do uso de Equipamentos de Proteção Individual, caso não possua por gentileza informar quantidade e tamanho:&lt;/span&gt;&lt;/p&gt;
&lt;p&gt;&lt;span&gt;&lt;br/&gt;- Colete: informar tamanho P,M,G &lt;br/&gt;- Bota: informar numeração &lt;br/&gt;- Capacete: informar quantidade&lt;br/&gt;&lt;/span&gt;&lt;/p&gt;
&lt;p&gt;&lt;span&gt; &lt;/span&gt;&lt;/p&gt;
&lt;p&gt; &lt;/p&gt;</t>
  </si>
  <si>
    <t>https://wilsonsonsclsa.zendesk.com/api/v2/help_center/pt-br/articles/21192934251021.json</t>
  </si>
  <si>
    <t>https://wilsonsonsclsa.zendesk.com/hc/pt-br/articles/21192934251021-Visitas-e-Auditorias</t>
  </si>
  <si>
    <t>Visitas e Auditorias</t>
  </si>
  <si>
    <t>&lt;p&gt;&lt;span&gt;As visitas ocorrem mediante agendamento e autorização da Fiscalização do Recinto.  &lt;/span&gt;&lt;span&gt;A solicitação deve ser feita via e-mail para&lt;span&gt; &lt;strong&gt;&lt;a href="mailto:atendimento.sandre@wilsonsons.com.br"&gt;atendimento.sandre@wilsonsons.com.br&lt;/a&gt; &lt;/strong&gt;&lt;/span&gt;&lt;/span&gt;&lt;/p&gt;
&lt;p&gt;&lt;span&gt;Solicitamos o envio das informações abaixo para análise e autorização com até 24 horas de antecedência:&lt;/span&gt;&lt;/p&gt;
&lt;p&gt; &lt;/p&gt;
&lt;p&gt;&lt;span&gt;- Nome da Empresa/Cliente;&lt;/span&gt;&lt;/p&gt;
&lt;p&gt;&lt;span&gt;- Data prevista para o acesso; &lt;/span&gt;&lt;/p&gt;
&lt;p&gt;&lt;span&gt;- Nome completo;&lt;/span&gt;&lt;/p&gt;
&lt;p&gt;&lt;span&gt;- CPF; &lt;/span&gt;&lt;/p&gt;
&lt;p&gt;&lt;span&gt;- Cargo;&lt;/span&gt;&lt;/p&gt;
&lt;p&gt;&lt;span&gt;- Motivo do acesso: &lt;/span&gt;&lt;/p&gt;
&lt;p&gt;&lt;span&gt;&lt;span&gt;- &lt;/span&gt;Equipamentos (Notebooks, aparelhos de medição, etc)&lt;/span&gt;&lt;/p&gt;
&lt;p&gt; &lt;/p&gt;
&lt;p&gt;&lt;span&gt;Descrever detalhadamente o motivo da solicitação de acesso. Se houver verificação de carga informar o número de DTA, DA, DU-E ou DI.&lt;/span&gt;&lt;/p&gt;
&lt;p&gt; &lt;/p&gt;
&lt;p&gt;&lt;span&gt;É &lt;/span&gt;&lt;strong&gt;&lt;span&gt;obrigatório&lt;/span&gt;&lt;/strong&gt;&lt;span&gt; o uso de Equipamentos de Proteção Individual, caso não possua, por gentileza informar quantidade e tamanho:&lt;/span&gt;&lt;/p&gt;
&lt;p&gt; &lt;/p&gt;
&lt;p&gt;&lt;em&gt;&lt;span&gt;Colete: informar tamanho P,M ou G &lt;/span&gt;&lt;/em&gt;&lt;/p&gt;
&lt;p&gt;&lt;em&gt;&lt;span&gt;Bota: Informar numeração &lt;/span&gt;&lt;/em&gt;&lt;/p&gt;
&lt;p&gt;&lt;em&gt;&lt;span&gt;Capacete: informar quantidade &lt;/span&gt;&lt;/em&gt;&lt;/p&gt;
&lt;p&gt; &lt;/p&gt;
&lt;p&gt;&lt;span&gt;Se houver necessidade da entrada de veículo, informar o modelo e a placa.&lt;/span&gt;&lt;/p&gt;
&lt;p&gt;&lt;br/&gt;&lt;br/&gt;&lt;/p&gt;
&lt;p&gt; &lt;/p&gt;</t>
  </si>
  <si>
    <t>https://wilsonsonsclsa.zendesk.com/api/v2/help_center/pt-br/articles/21545561544973.json</t>
  </si>
  <si>
    <t>https://wilsonsonsclsa.zendesk.com/hc/pt-br/articles/21545561544973-Como-solicitar-um-agendamento-de-remo%C3%A7%C3%A3o-de-DTA</t>
  </si>
  <si>
    <t>Como solicitar um agendamento de remoção de DTA?</t>
  </si>
  <si>
    <t>&lt;p&gt; &lt;/p&gt;
&lt;p&gt;&lt;span&gt;Envie um e-mail para &lt;strong&gt;atendimentotransporte.santos@wilsonsons.com.br&lt;/strong&gt; com dados e documentos instrutivos da DTA.&lt;/span&gt;&lt;/p&gt;</t>
  </si>
  <si>
    <t>https://wilsonsonsclsa.zendesk.com/api/v2/help_center/pt-br/articles/21539429059725.json</t>
  </si>
  <si>
    <t>https://wilsonsonsclsa.zendesk.com/hc/pt-br/articles/21539429059725-Informa%C3%A7%C3%B5es-sobre-a-carga-presen%C3%A7a-de-carga-armazenagem</t>
  </si>
  <si>
    <t>Informações sobre a carga (presença de carga/armazenagem)</t>
  </si>
  <si>
    <t>&lt;p&gt; &lt;/p&gt;
&lt;p&gt;&lt;span&gt;Envie um e-mail solicitando a informação desejada para &lt;strong&gt;atendimento.sandre@wilsonsons.com.br&lt;/strong&gt; informando o número de processo, DI, DA, DTA e quais os e-mails que devem receber a notificação.&lt;/span&gt;&lt;/p&gt;</t>
  </si>
  <si>
    <t>https://wilsonsonsclsa.zendesk.com/api/v2/help_center/pt-br/articles/21539267227661.json</t>
  </si>
  <si>
    <t>https://wilsonsonsclsa.zendesk.com/hc/pt-br/articles/21539267227661-Quanto-tempo-posso-aguardar-para-nacionalizar-a-minha-carga</t>
  </si>
  <si>
    <t>Quanto tempo posso aguardar para nacionalizar a minha carga?</t>
  </si>
  <si>
    <t>&lt;p&gt; &lt;/p&gt;
&lt;p&gt;&lt;span&gt;Após a entrada da DTA no recinto a carga tem o prazo de 120 dias para registro de despacho aduaneiro de DA ou DI.&lt;/span&gt;&lt;/p&gt;</t>
  </si>
  <si>
    <t>https://wilsonsonsclsa.zendesk.com/api/v2/help_center/pt-br/articles/21538565680269.json</t>
  </si>
  <si>
    <t>https://wilsonsonsclsa.zendesk.com/hc/pt-br/articles/21538565680269-Como-posso-saber-se-uma-carga-est%C3%A1-liberada-para-carregar</t>
  </si>
  <si>
    <t>Como posso saber se uma carga está liberada para carregar?</t>
  </si>
  <si>
    <t>&lt;p&gt; &lt;/p&gt;
&lt;p&gt;&lt;span&gt;É possível consultar o status da carga com o time de atendimento ao cliente através do e-mail: &lt;strong&gt;&lt;a href="mailto:atendimento.sandre@wilsonsons.com.br"&gt;atendimento.sandre@wilsonsons.com.br&lt;/a&gt;&lt;/strong&gt;&lt;/span&gt;&lt;/p&gt;
&lt;p&gt; &lt;/p&gt;</t>
  </si>
  <si>
    <t>id</t>
  </si>
  <si>
    <t>secao_name</t>
  </si>
  <si>
    <t>Atendimento</t>
  </si>
  <si>
    <t>Boas Vindas</t>
  </si>
  <si>
    <t>Operational</t>
  </si>
  <si>
    <t>Commercial</t>
  </si>
  <si>
    <t>Comunicados</t>
  </si>
  <si>
    <t>EXPORTAÇÃO - CABOTAGEM</t>
  </si>
  <si>
    <t>Dúvidas Gerais</t>
  </si>
  <si>
    <t>RECLAMAÇÃO</t>
  </si>
  <si>
    <t>BETA</t>
  </si>
  <si>
    <t>APOIO ATENDIMENTO</t>
  </si>
  <si>
    <t>Canais de Atendimento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</si>
</sst>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
    <numFmt numFmtId="165" formatCode="d/m/yyyy hh:mm"/>
  </numFmts>
  <fonts count="5">
    <font>
      <sz val="10.0"/>
      <color rgb="FF000000"/>
      <name val="Arial"/>
      <scheme val="minor"/>
    </font>
    <font>
      <color theme="1"/>
      <name val="Arial"/>
      <scheme val="minor"/>
    </font>
    <font>
      <u/>
      <color rgb="FF0000FF"/>
    </font>
    <font>
      <u/>
      <color rgb="FF0000FF"/>
    </font>
    <font>
      <u/>
      <color rgb="FF0000FF"/>
    </font>
  </fonts>
  <fills count="4">
    <fill>
      <patternFill patternType="none"/>
    </fill>
    <fill>
      <patternFill patternType="lightGray"/>
    </fill>
    <fill>
      <patternFill patternType="solid">
        <fgColor rgb="FFEA9999"/>
        <bgColor rgb="FFEA9999"/>
      </patternFill>
    </fill>
    <fill>
      <patternFill patternType="solid">
        <fgColor rgb="FFFFE599"/>
        <bgColor rgb="FFFFE599"/>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2" fontId="1" numFmtId="0" xfId="0" applyAlignment="1" applyFill="1" applyFont="1">
      <alignment readingOrder="0"/>
    </xf>
    <xf borderId="0" fillId="2" fontId="3" numFmtId="0" xfId="0" applyAlignment="1" applyFont="1">
      <alignment readingOrder="0"/>
    </xf>
    <xf borderId="0" fillId="2" fontId="1" numFmtId="165" xfId="0" applyAlignment="1" applyFont="1" applyNumberFormat="1">
      <alignment readingOrder="0"/>
    </xf>
    <xf borderId="0" fillId="2" fontId="1" numFmtId="0" xfId="0" applyFont="1"/>
    <xf borderId="0" fillId="3" fontId="1" numFmtId="0" xfId="0" applyAlignment="1" applyFill="1" applyFont="1">
      <alignment readingOrder="0"/>
    </xf>
    <xf borderId="0" fillId="3" fontId="4" numFmtId="0" xfId="0" applyAlignment="1" applyFont="1">
      <alignment readingOrder="0"/>
    </xf>
    <xf borderId="0" fillId="3" fontId="1" numFmtId="165" xfId="0" applyAlignment="1" applyFont="1" applyNumberFormat="1">
      <alignment readingOrder="0"/>
    </xf>
    <xf borderId="0" fillId="3" fontId="1" numFmtId="0" xfId="0" applyFont="1"/>
    <xf borderId="0" fillId="0" fontId="1" numFmtId="165" xfId="0" applyAlignment="1" applyFont="1" applyNumberFormat="1">
      <alignment readingOrder="0"/>
    </xf>
  </cellXfs>
  <cellStyles count="1">
    <cellStyle xfId="0" name="Normal" builtinId="0"/>
  </cellStyles>
  <dxfs count="2">
    <dxf>
      <font/>
      <fill>
        <patternFill patternType="solid">
          <fgColor rgb="FFB7E1CD"/>
          <bgColor rgb="FFB7E1CD"/>
        </patternFill>
      </fill>
      <border/>
    </dxf>
    <dxf>
      <font/>
      <fill>
        <patternFill patternType="solid">
          <fgColor rgb="FFFFE599"/>
          <bgColor rgb="FFFFE599"/>
        </patternFill>
      </fill>
      <border/>
    </dxf>
  </dxfs>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13"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worksheet" Target="worksheets/sheet3.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11" Type="http://schemas.openxmlformats.org/officeDocument/2006/relationships/customXml" Target="../customXml/item1.xml"/><Relationship Id="rId5" Type="http://schemas.openxmlformats.org/officeDocument/2006/relationships/worksheet" Target="worksheets/sheet1.xml"/><Relationship Id="rId10" Type="http://schemas.openxmlformats.org/officeDocument/2006/relationships/worksheet" Target="worksheets/sheet6.xml"/><Relationship Id="rId4" Type="http://schemas.microsoft.com/office/2017/10/relationships/person" Target="persons/person.xml"/><Relationship Id="rId9" Type="http://schemas.openxmlformats.org/officeDocument/2006/relationships/worksheet" Target="worksheets/sheet5.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afaela.migowski@wilsonsons.com.br" id="{be1c5239-57c3-4cdb-84a5-48269d4638a3}" userId="rafaela.migowski@wilsonsons.com.br" providerId="google-sheets"/>
  <x18tc:person displayName="Rafaela Migowski" id="{18d0da52-e505-476d-8783-b8c85b219f23}" providerId="google-sheets"/>
  <x18tc:person displayName="Pedro Chaves" id="{52903cec-d387-46d8-ba9a-ac6eb4a9cd4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6-07-08T13:17:08.00" personId="{18d0da52-e505-476d-8783-b8c85b219f23}" id="{c27000d3-6628-456f-a294-301d2e1bdd2f}" done="0">
    <x18tc:text xml:space="preserve">turning vessel all ports considered</x18tc:text>
  </x18tc:threadedComment>
  <x18tc:threadedComment ref="H2" dT="2026-07-08T17:07:18.00" personId="{52903cec-d387-46d8-ba9a-ac6eb4a9cd42}" id="{1f35cc07-cc0f-4946-ab9b-b647463fd0a0}" parentId="{c27000d3-6628-456f-a294-301d2e1bdd2f}">
    <x18tc:text xml:space="preserve">@rafaela.migowski@wilsonsons.com.br , não entendi seu comentário ! Pode me explicar se muda algo ?</x18tc:text>
    <x18tc:mentions>
      <x18tc:mention mentionpersonId="{be1c5239-57c3-4cdb-84a5-48269d4638a3}" mentionId="{08877a37-f7c7-45fe-af8b-e14669209429}" startIndex="0" length="35"/>
    </x18tc:mentions>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atendimento.teconsvonline.com.br/hc/pt-br/articles/24415735639053-UNIDADE-COM-LACRE-AVARIADO" TargetMode="External"/><Relationship Id="rId194" Type="http://schemas.openxmlformats.org/officeDocument/2006/relationships/hyperlink" Target="https://atendimento.teconsvonline.com.br/hc/pt-br/articles/24369015719949-RETIRADA-DE-CARGA-DTA-RECINTO" TargetMode="External"/><Relationship Id="rId193" Type="http://schemas.openxmlformats.org/officeDocument/2006/relationships/hyperlink" Target="https://wilsonsons.zendesk.com/api/v2/help_center/pt-br/articles/24369015719949.json" TargetMode="External"/><Relationship Id="rId192" Type="http://schemas.openxmlformats.org/officeDocument/2006/relationships/hyperlink" Target="https://atendimento.teconsvonline.com.br/hc/pt-br/articles/24415359538957-O-que-fazer-quando-receber-uma-contesta%C3%A7%C3%A3o-de-fatura" TargetMode="External"/><Relationship Id="rId191" Type="http://schemas.openxmlformats.org/officeDocument/2006/relationships/hyperlink" Target="https://wilsonsons.zendesk.com/api/v2/help_center/pt-br/articles/24415359538957.json" TargetMode="External"/><Relationship Id="rId187" Type="http://schemas.openxmlformats.org/officeDocument/2006/relationships/hyperlink" Target="https://wilsonsons.zendesk.com/api/v2/help_center/pt-br/articles/24416965172109.json" TargetMode="External"/><Relationship Id="rId186" Type="http://schemas.openxmlformats.org/officeDocument/2006/relationships/hyperlink" Target="https://atendimento.teconsvonline.com.br/hc/pt-br/articles/24466294676109-DIRECIONAMENTO-DA-CARGA" TargetMode="External"/><Relationship Id="rId185" Type="http://schemas.openxmlformats.org/officeDocument/2006/relationships/hyperlink" Target="https://wilsonsons.zendesk.com/api/v2/help_center/pt-br/articles/24466294676109.json" TargetMode="External"/><Relationship Id="rId184" Type="http://schemas.openxmlformats.org/officeDocument/2006/relationships/hyperlink" Target="https://atendimento.teconsvonline.com.br/hc/pt-br/articles/24499751348109-Como-negar-entrada-antecipada" TargetMode="External"/><Relationship Id="rId189" Type="http://schemas.openxmlformats.org/officeDocument/2006/relationships/hyperlink" Target="https://wilsonsons.zendesk.com/api/v2/help_center/pt-br/articles/24415735639053.json" TargetMode="External"/><Relationship Id="rId188" Type="http://schemas.openxmlformats.org/officeDocument/2006/relationships/hyperlink" Target="https://atendimento.teconsvonline.com.br/hc/pt-br/articles/24416965172109-Como-seguir-com-desist%C3%AAncia-de-Embarque-Exporta%C3%A7%C3%A3o" TargetMode="External"/><Relationship Id="rId183" Type="http://schemas.openxmlformats.org/officeDocument/2006/relationships/hyperlink" Target="https://wilsonsons.zendesk.com/api/v2/help_center/pt-br/articles/24499751348109.json" TargetMode="External"/><Relationship Id="rId182" Type="http://schemas.openxmlformats.org/officeDocument/2006/relationships/hyperlink" Target="https://atendimento.teconsvonline.com.br/hc/pt-br/articles/24500060040333-SOBRE-ABERTURA-DE-GATE" TargetMode="External"/><Relationship Id="rId181" Type="http://schemas.openxmlformats.org/officeDocument/2006/relationships/hyperlink" Target="https://wilsonsons.zendesk.com/api/v2/help_center/pt-br/articles/24500060040333.json" TargetMode="External"/><Relationship Id="rId180" Type="http://schemas.openxmlformats.org/officeDocument/2006/relationships/hyperlink" Target="https://atendimento.teconsvonline.com.br/hc/pt-br/articles/24500388349325-AGENDAMENTOS-ARMAZ%C3%89M-DESOVA-ACOMPANHADA" TargetMode="External"/><Relationship Id="rId176" Type="http://schemas.openxmlformats.org/officeDocument/2006/relationships/hyperlink" Target="https://atendimento.teconsvonline.com.br/hc/pt-br/articles/24503739866381-CSC-fornecedores-tratativas" TargetMode="External"/><Relationship Id="rId175" Type="http://schemas.openxmlformats.org/officeDocument/2006/relationships/hyperlink" Target="https://wilsonsons.zendesk.com/api/v2/help_center/pt-br/articles/24503739866381.json" TargetMode="External"/><Relationship Id="rId174" Type="http://schemas.openxmlformats.org/officeDocument/2006/relationships/hyperlink" Target="https://atendimento.teconsvonline.com.br/hc/pt-br/articles/24503817095821-CONTATOS-DEPOT" TargetMode="External"/><Relationship Id="rId173" Type="http://schemas.openxmlformats.org/officeDocument/2006/relationships/hyperlink" Target="https://wilsonsons.zendesk.com/api/v2/help_center/pt-br/articles/24503817095821.json" TargetMode="External"/><Relationship Id="rId179" Type="http://schemas.openxmlformats.org/officeDocument/2006/relationships/hyperlink" Target="https://wilsonsons.zendesk.com/api/v2/help_center/pt-br/articles/24500388349325.json" TargetMode="External"/><Relationship Id="rId178" Type="http://schemas.openxmlformats.org/officeDocument/2006/relationships/hyperlink" Target="https://atendimento.teconsvonline.com.br/hc/pt-br/articles/24503660244237-E-MAILS-INTERNOS" TargetMode="External"/><Relationship Id="rId177" Type="http://schemas.openxmlformats.org/officeDocument/2006/relationships/hyperlink" Target="https://wilsonsons.zendesk.com/api/v2/help_center/pt-br/articles/24503660244237.json" TargetMode="External"/><Relationship Id="rId198" Type="http://schemas.openxmlformats.org/officeDocument/2006/relationships/hyperlink" Target="https://atendimento.teconsvonline.com.br/hc/pt-br/articles/24364089757965-COMO-LIBERAR-AGENDAMENTO-SEM-OBRIGATORIEDADE-DE-NF" TargetMode="External"/><Relationship Id="rId197" Type="http://schemas.openxmlformats.org/officeDocument/2006/relationships/hyperlink" Target="https://wilsonsons.zendesk.com/api/v2/help_center/pt-br/articles/24364089757965.json" TargetMode="External"/><Relationship Id="rId196" Type="http://schemas.openxmlformats.org/officeDocument/2006/relationships/hyperlink" Target="https://atendimento.teconsvonline.com.br/hc/pt-br/articles/24364194894989-SERVI%C3%87O-DE-EXPORTA%C3%87%C3%83O" TargetMode="External"/><Relationship Id="rId195" Type="http://schemas.openxmlformats.org/officeDocument/2006/relationships/hyperlink" Target="https://wilsonsons.zendesk.com/api/v2/help_center/pt-br/articles/24364194894989.json" TargetMode="External"/><Relationship Id="rId199" Type="http://schemas.openxmlformats.org/officeDocument/2006/relationships/hyperlink" Target="https://wilsonsons.zendesk.com/api/v2/help_center/pt-br/articles/24329379792397.json" TargetMode="External"/><Relationship Id="rId150" Type="http://schemas.openxmlformats.org/officeDocument/2006/relationships/hyperlink" Target="https://atendimento.teconsvonline.com.br/hc/pt-br/articles/25867376725517-Marca%C3%A7%C3%A3o-ANP-para-containers-Killing" TargetMode="External"/><Relationship Id="rId392" Type="http://schemas.openxmlformats.org/officeDocument/2006/relationships/hyperlink" Target="https://atendimento.teconline.com.br/hc/pt-br/articles/43079305437069-Guia-de-Esclarecimentos-sobre-a-Emiss%C3%A3o-de-Faturas-na-Nova-Reforma-Tribut%C3%A1ria" TargetMode="External"/><Relationship Id="rId391" Type="http://schemas.openxmlformats.org/officeDocument/2006/relationships/hyperlink" Target="https://wilsonsonstrg.zendesk.com/api/v2/help_center/pt-br/articles/43079305437069.json" TargetMode="External"/><Relationship Id="rId390" Type="http://schemas.openxmlformats.org/officeDocument/2006/relationships/hyperlink" Target="https://atendimento.teconline.com.br/hc/pt-br/articles/43287279721485-05-02-2026-Comunicado-Importante-Feriado-de-Carnaval" TargetMode="External"/><Relationship Id="rId1" Type="http://schemas.openxmlformats.org/officeDocument/2006/relationships/hyperlink" Target="https://wilsonsons.zendesk.com/api/v2/help_center/pt-br/articles/44508084248973.json" TargetMode="External"/><Relationship Id="rId2" Type="http://schemas.openxmlformats.org/officeDocument/2006/relationships/hyperlink" Target="https://atendimento.teconsvonline.com.br/hc/pt-br/articles/44508084248973-DUIMP-ENTREPOSTO" TargetMode="External"/><Relationship Id="rId3" Type="http://schemas.openxmlformats.org/officeDocument/2006/relationships/hyperlink" Target="https://wilsonsons.zendesk.com/api/v2/help_center/pt-br/articles/44507889059469.json" TargetMode="External"/><Relationship Id="rId149" Type="http://schemas.openxmlformats.org/officeDocument/2006/relationships/hyperlink" Target="https://wilsonsons.zendesk.com/api/v2/help_center/pt-br/articles/25867376725517.json" TargetMode="External"/><Relationship Id="rId4" Type="http://schemas.openxmlformats.org/officeDocument/2006/relationships/hyperlink" Target="https://atendimento.teconsvonline.com.br/hc/pt-br/articles/44507889059469-DUIMP-ENTREPOSTO" TargetMode="External"/><Relationship Id="rId148" Type="http://schemas.openxmlformats.org/officeDocument/2006/relationships/hyperlink" Target="https://atendimento.teconsvonline.com.br/hc/pt-br/articles/26098271911693-Comunicado-Novo-sistema-OCR" TargetMode="External"/><Relationship Id="rId9" Type="http://schemas.openxmlformats.org/officeDocument/2006/relationships/hyperlink" Target="https://wilsonsons.zendesk.com/api/v2/help_center/pt-br/articles/41454970746765.json" TargetMode="External"/><Relationship Id="rId143" Type="http://schemas.openxmlformats.org/officeDocument/2006/relationships/hyperlink" Target="https://wilsonsons.zendesk.com/api/v2/help_center/pt-br/articles/26238146165645.json" TargetMode="External"/><Relationship Id="rId385" Type="http://schemas.openxmlformats.org/officeDocument/2006/relationships/hyperlink" Target="https://wilsonsonstrg.zendesk.com/api/v2/help_center/pt-br/articles/45175124069133.json" TargetMode="External"/><Relationship Id="rId142" Type="http://schemas.openxmlformats.org/officeDocument/2006/relationships/hyperlink" Target="https://atendimento.teconsvonline.com.br/hc/pt-br/articles/26832096452621-SOLICITA%C3%87%C3%83O-DE-AMPLIA%C3%87%C3%83O-DE-JANELAS" TargetMode="External"/><Relationship Id="rId384" Type="http://schemas.openxmlformats.org/officeDocument/2006/relationships/hyperlink" Target="https://atendimento.teconline.com.br/hc/pt-br/articles/45398674305549--Novo-Procedimento-Novo-Fluxo-de-Entrega-de-Lacres" TargetMode="External"/><Relationship Id="rId141" Type="http://schemas.openxmlformats.org/officeDocument/2006/relationships/hyperlink" Target="https://wilsonsons.zendesk.com/api/v2/help_center/pt-br/articles/26832096452621.json" TargetMode="External"/><Relationship Id="rId383" Type="http://schemas.openxmlformats.org/officeDocument/2006/relationships/hyperlink" Target="https://wilsonsonstrg.zendesk.com/api/v2/help_center/pt-br/articles/45398674305549.json" TargetMode="External"/><Relationship Id="rId140" Type="http://schemas.openxmlformats.org/officeDocument/2006/relationships/hyperlink" Target="https://atendimento.teconsvonline.com.br/hc/pt-br/articles/26833115189645-Script-de-Boas-Pr%C3%A1ticas-para-Atendimento-por-Telefone" TargetMode="External"/><Relationship Id="rId382" Type="http://schemas.openxmlformats.org/officeDocument/2006/relationships/hyperlink" Target="https://atendimento.teconline.com.br/hc/pt-br/articles/45445136445709--Hor%C3%A1rio-Especial-Tecon-Rio-Grande-Comunica" TargetMode="External"/><Relationship Id="rId5" Type="http://schemas.openxmlformats.org/officeDocument/2006/relationships/hyperlink" Target="https://wilsonsons.zendesk.com/api/v2/help_center/pt-br/articles/41600964186509.json" TargetMode="External"/><Relationship Id="rId147" Type="http://schemas.openxmlformats.org/officeDocument/2006/relationships/hyperlink" Target="https://wilsonsons.zendesk.com/api/v2/help_center/pt-br/articles/26098271911693.json" TargetMode="External"/><Relationship Id="rId389" Type="http://schemas.openxmlformats.org/officeDocument/2006/relationships/hyperlink" Target="https://wilsonsonstrg.zendesk.com/api/v2/help_center/pt-br/articles/43287279721485.json" TargetMode="External"/><Relationship Id="rId6" Type="http://schemas.openxmlformats.org/officeDocument/2006/relationships/hyperlink" Target="https://atendimento.teconsvonline.com.br/hc/pt-br/articles/41600964186509-Onboarding" TargetMode="External"/><Relationship Id="rId146" Type="http://schemas.openxmlformats.org/officeDocument/2006/relationships/hyperlink" Target="https://atendimento.teconsvonline.com.br/hc/pt-br/articles/26116851130893-RESOLU%C3%87%C3%83O-ANTAQ-N%C2%BA-112-DE-12-DE-MAR%C3%87O-DE-2024-Direcionamento-de-custos-de-armazenagem" TargetMode="External"/><Relationship Id="rId388" Type="http://schemas.openxmlformats.org/officeDocument/2006/relationships/hyperlink" Target="https://atendimento.teconline.com.br/hc/pt-br/articles/43417777244557-10-02-2026-Comunicado-Importante-Reten%C3%A7%C3%A3o-ISS-ISPS-Code" TargetMode="External"/><Relationship Id="rId7" Type="http://schemas.openxmlformats.org/officeDocument/2006/relationships/hyperlink" Target="https://wilsonsons.zendesk.com/api/v2/help_center/pt-br/articles/41483147497613.json" TargetMode="External"/><Relationship Id="rId145" Type="http://schemas.openxmlformats.org/officeDocument/2006/relationships/hyperlink" Target="https://wilsonsons.zendesk.com/api/v2/help_center/pt-br/articles/26116851130893.json" TargetMode="External"/><Relationship Id="rId387" Type="http://schemas.openxmlformats.org/officeDocument/2006/relationships/hyperlink" Target="https://wilsonsonstrg.zendesk.com/api/v2/help_center/pt-br/articles/43417777244557.json" TargetMode="External"/><Relationship Id="rId8" Type="http://schemas.openxmlformats.org/officeDocument/2006/relationships/hyperlink" Target="https://atendimento.teconsvonline.com.br/hc/pt-br/articles/41483147497613-Sem-t%C3%ADtulo" TargetMode="External"/><Relationship Id="rId144" Type="http://schemas.openxmlformats.org/officeDocument/2006/relationships/hyperlink" Target="https://atendimento.teconsvonline.com.br/hc/pt-br/articles/26238146165645-Instru%C3%A7%C3%B5es-para-cadastro-de-clientes" TargetMode="External"/><Relationship Id="rId386" Type="http://schemas.openxmlformats.org/officeDocument/2006/relationships/hyperlink" Target="https://atendimento.teconline.com.br/hc/pt-br/articles/45175124069133-Feriados-M%C3%AAs-de-Abril" TargetMode="External"/><Relationship Id="rId381" Type="http://schemas.openxmlformats.org/officeDocument/2006/relationships/hyperlink" Target="https://wilsonsonstrg.zendesk.com/api/v2/help_center/pt-br/articles/45445136445709.json" TargetMode="External"/><Relationship Id="rId380" Type="http://schemas.openxmlformats.org/officeDocument/2006/relationships/hyperlink" Target="https://atendimento.teconline.com.br/hc/pt-br/articles/45640367424525-VOC%C3%8A-PEDIU-Novo-prazo-para-certificados-de-aera%C3%A7%C3%A3o" TargetMode="External"/><Relationship Id="rId139" Type="http://schemas.openxmlformats.org/officeDocument/2006/relationships/hyperlink" Target="https://wilsonsons.zendesk.com/api/v2/help_center/pt-br/articles/26833115189645.json" TargetMode="External"/><Relationship Id="rId138" Type="http://schemas.openxmlformats.org/officeDocument/2006/relationships/hyperlink" Target="https://atendimento.teconsvonline.com.br/hc/pt-br/articles/26862583438733-Fluxo-Libera%C3%A7%C3%A3o-Processos-Leil%C3%A3o-RFB" TargetMode="External"/><Relationship Id="rId137" Type="http://schemas.openxmlformats.org/officeDocument/2006/relationships/hyperlink" Target="https://wilsonsons.zendesk.com/api/v2/help_center/pt-br/articles/26862583438733.json" TargetMode="External"/><Relationship Id="rId379" Type="http://schemas.openxmlformats.org/officeDocument/2006/relationships/hyperlink" Target="https://wilsonsonstrg.zendesk.com/api/v2/help_center/pt-br/articles/45640367424525.json" TargetMode="External"/><Relationship Id="rId132" Type="http://schemas.openxmlformats.org/officeDocument/2006/relationships/hyperlink" Target="https://atendimento.teconsvonline.com.br/hc/pt-br/articles/27519478089613-Preciso-de-um-boleto-para-pagamento-e-ele-n%C3%A3o-est%C3%A1-dispon%C3%ADvel-no-portal" TargetMode="External"/><Relationship Id="rId374" Type="http://schemas.openxmlformats.org/officeDocument/2006/relationships/hyperlink" Target="https://atendimento.teconline.com.br/hc/pt-br/articles/46580151525773-N%C3%A3o-perca-nossos-comunicados-Mantenha-os-contatos-da-sua-equipe-atualizados" TargetMode="External"/><Relationship Id="rId131" Type="http://schemas.openxmlformats.org/officeDocument/2006/relationships/hyperlink" Target="https://wilsonsons.zendesk.com/api/v2/help_center/pt-br/articles/27519478089613.json" TargetMode="External"/><Relationship Id="rId373" Type="http://schemas.openxmlformats.org/officeDocument/2006/relationships/hyperlink" Target="https://wilsonsonstrg.zendesk.com/api/v2/help_center/pt-br/articles/46580151525773.json" TargetMode="External"/><Relationship Id="rId130" Type="http://schemas.openxmlformats.org/officeDocument/2006/relationships/hyperlink" Target="https://atendimento.teconsvonline.com.br/hc/pt-br/articles/27637289639309-Como-consultar-averba%C3%A7%C3%A3o-de-processo" TargetMode="External"/><Relationship Id="rId372" Type="http://schemas.openxmlformats.org/officeDocument/2006/relationships/hyperlink" Target="https://atendimento.teconsvonline.com.br/hc/pt-br/articles/115012866147-Como-solicitar-meu-acesso-ao-Portal-do-Cliente" TargetMode="External"/><Relationship Id="rId371" Type="http://schemas.openxmlformats.org/officeDocument/2006/relationships/hyperlink" Target="https://wilsonsons.zendesk.com/api/v2/help_center/pt-br/articles/115012866147.json" TargetMode="External"/><Relationship Id="rId136" Type="http://schemas.openxmlformats.org/officeDocument/2006/relationships/hyperlink" Target="https://atendimento.teconsvonline.com.br/hc/pt-br/articles/26874963139085-Inspe%C3%A7%C3%A3o-N%C3%A3o-Invasiva-Processos-de-Transbordo" TargetMode="External"/><Relationship Id="rId378" Type="http://schemas.openxmlformats.org/officeDocument/2006/relationships/hyperlink" Target="https://atendimento.teconline.com.br/hc/pt-br/articles/45969542413965-Reprograma%C3%A7%C3%A3o-Agendamento-SMS" TargetMode="External"/><Relationship Id="rId135" Type="http://schemas.openxmlformats.org/officeDocument/2006/relationships/hyperlink" Target="https://wilsonsons.zendesk.com/api/v2/help_center/pt-br/articles/26874963139085.json" TargetMode="External"/><Relationship Id="rId377" Type="http://schemas.openxmlformats.org/officeDocument/2006/relationships/hyperlink" Target="https://wilsonsonstrg.zendesk.com/api/v2/help_center/pt-br/articles/45969542413965.json" TargetMode="External"/><Relationship Id="rId134" Type="http://schemas.openxmlformats.org/officeDocument/2006/relationships/hyperlink" Target="https://atendimento.teconsvonline.com.br/hc/pt-br/articles/27100081298445-Calculadora-de-Servi%C3%A7os-e-Pre%C3%A7os-Wilson-Sons-Tecon-Salvador" TargetMode="External"/><Relationship Id="rId376" Type="http://schemas.openxmlformats.org/officeDocument/2006/relationships/hyperlink" Target="https://atendimento.teconline.com.br/hc/pt-br/articles/45969746240653-19-05-2026-Comunicado-Importante-Reprograma%C3%A7%C3%A3o-Agendamento-SMS" TargetMode="External"/><Relationship Id="rId133" Type="http://schemas.openxmlformats.org/officeDocument/2006/relationships/hyperlink" Target="https://wilsonsons.zendesk.com/api/v2/help_center/pt-br/articles/27100081298445.json" TargetMode="External"/><Relationship Id="rId375" Type="http://schemas.openxmlformats.org/officeDocument/2006/relationships/hyperlink" Target="https://wilsonsonstrg.zendesk.com/api/v2/help_center/pt-br/articles/45969746240653.json" TargetMode="External"/><Relationship Id="rId172" Type="http://schemas.openxmlformats.org/officeDocument/2006/relationships/hyperlink" Target="https://atendimento.teconsvonline.com.br/hc/pt-br/articles/24503908210701-Telefones-Atendimento" TargetMode="External"/><Relationship Id="rId171" Type="http://schemas.openxmlformats.org/officeDocument/2006/relationships/hyperlink" Target="https://wilsonsons.zendesk.com/api/v2/help_center/pt-br/articles/24503908210701.json" TargetMode="External"/><Relationship Id="rId170" Type="http://schemas.openxmlformats.org/officeDocument/2006/relationships/hyperlink" Target="https://atendimento.teconsvonline.com.br/hc/pt-br/articles/24503978193677-COMERCIAL" TargetMode="External"/><Relationship Id="rId165" Type="http://schemas.openxmlformats.org/officeDocument/2006/relationships/hyperlink" Target="https://wilsonsons.zendesk.com/api/v2/help_center/pt-br/articles/24629332843661.json" TargetMode="External"/><Relationship Id="rId164" Type="http://schemas.openxmlformats.org/officeDocument/2006/relationships/hyperlink" Target="https://atendimento.teconsvonline.com.br/hc/pt-br/articles/24630553363725-COBRAN%C3%87A-DE-ARMAZENAGEM" TargetMode="External"/><Relationship Id="rId163" Type="http://schemas.openxmlformats.org/officeDocument/2006/relationships/hyperlink" Target="https://wilsonsons.zendesk.com/api/v2/help_center/pt-br/articles/24630553363725.json" TargetMode="External"/><Relationship Id="rId162" Type="http://schemas.openxmlformats.org/officeDocument/2006/relationships/hyperlink" Target="https://atendimento.teconsvonline.com.br/hc/pt-br/articles/24678305656077-Como-realizar-a-vincula%C3%A7%C3%A3o-de-despachante-a-BL-no-Tecsys" TargetMode="External"/><Relationship Id="rId169" Type="http://schemas.openxmlformats.org/officeDocument/2006/relationships/hyperlink" Target="https://wilsonsons.zendesk.com/api/v2/help_center/pt-br/articles/24503978193677.json" TargetMode="External"/><Relationship Id="rId168" Type="http://schemas.openxmlformats.org/officeDocument/2006/relationships/hyperlink" Target="https://atendimento.teconsvonline.com.br/hc/pt-br/articles/24627515210381-Cadastro-de-booking" TargetMode="External"/><Relationship Id="rId167" Type="http://schemas.openxmlformats.org/officeDocument/2006/relationships/hyperlink" Target="https://wilsonsons.zendesk.com/api/v2/help_center/pt-br/articles/24627515210381.json" TargetMode="External"/><Relationship Id="rId166" Type="http://schemas.openxmlformats.org/officeDocument/2006/relationships/hyperlink" Target="https://atendimento.teconsvonline.com.br/hc/pt-br/articles/24629332843661-O-que-fazer-quando-o-CNTR-estiver-com-Minuta-Expirada-para-devolu%C3%A7%C3%A3o" TargetMode="External"/><Relationship Id="rId161" Type="http://schemas.openxmlformats.org/officeDocument/2006/relationships/hyperlink" Target="https://wilsonsons.zendesk.com/api/v2/help_center/pt-br/articles/24678305656077.json" TargetMode="External"/><Relationship Id="rId160" Type="http://schemas.openxmlformats.org/officeDocument/2006/relationships/hyperlink" Target="https://atendimento.teconsvonline.com.br/hc/pt-br/articles/24708327125517-Tabela-Publica-Impostos-ISS-PIS-e-COFINS" TargetMode="External"/><Relationship Id="rId159" Type="http://schemas.openxmlformats.org/officeDocument/2006/relationships/hyperlink" Target="https://wilsonsons.zendesk.com/api/v2/help_center/pt-br/articles/24708327125517.json" TargetMode="External"/><Relationship Id="rId154" Type="http://schemas.openxmlformats.org/officeDocument/2006/relationships/hyperlink" Target="https://atendimento.teconsvonline.com.br/hc/pt-br/articles/25558774085005-Instru%C3%A7%C3%B5es-de-uso-do-portal-Consultas-Movimenta%C3%A7%C3%A3o-de-Containers" TargetMode="External"/><Relationship Id="rId396" Type="http://schemas.openxmlformats.org/officeDocument/2006/relationships/hyperlink" Target="https://atendimento.teconline.com.br/hc/pt-br/articles/41200958123533-Reforma-Tribut%C3%A1ria-Nota-fiscal-e-Pre%C3%A7o-L%C3%ADquido" TargetMode="External"/><Relationship Id="rId153" Type="http://schemas.openxmlformats.org/officeDocument/2006/relationships/hyperlink" Target="https://wilsonsons.zendesk.com/api/v2/help_center/pt-br/articles/25558774085005.json" TargetMode="External"/><Relationship Id="rId395" Type="http://schemas.openxmlformats.org/officeDocument/2006/relationships/hyperlink" Target="https://wilsonsonstrg.zendesk.com/api/v2/help_center/pt-br/articles/41200958123533.json" TargetMode="External"/><Relationship Id="rId152" Type="http://schemas.openxmlformats.org/officeDocument/2006/relationships/hyperlink" Target="https://atendimento.teconsvonline.com.br/hc/pt-br/articles/25711257715981-Como-solicita-Boleto-Avulso" TargetMode="External"/><Relationship Id="rId394" Type="http://schemas.openxmlformats.org/officeDocument/2006/relationships/hyperlink" Target="https://atendimento.teconline.com.br/hc/pt-br/articles/41548829098765-Feriados-de-Natal-e-Ano-Novo" TargetMode="External"/><Relationship Id="rId151" Type="http://schemas.openxmlformats.org/officeDocument/2006/relationships/hyperlink" Target="https://wilsonsons.zendesk.com/api/v2/help_center/pt-br/articles/25711257715981.json" TargetMode="External"/><Relationship Id="rId393" Type="http://schemas.openxmlformats.org/officeDocument/2006/relationships/hyperlink" Target="https://wilsonsonstrg.zendesk.com/api/v2/help_center/pt-br/articles/41548829098765.json" TargetMode="External"/><Relationship Id="rId158" Type="http://schemas.openxmlformats.org/officeDocument/2006/relationships/hyperlink" Target="https://atendimento.teconsvonline.com.br/hc/pt-br/articles/24923243522061-O-que-fazer-quando-uma-unidade-for-avariada" TargetMode="External"/><Relationship Id="rId157" Type="http://schemas.openxmlformats.org/officeDocument/2006/relationships/hyperlink" Target="https://wilsonsons.zendesk.com/api/v2/help_center/pt-br/articles/24923243522061.json" TargetMode="External"/><Relationship Id="rId399" Type="http://schemas.openxmlformats.org/officeDocument/2006/relationships/hyperlink" Target="https://wilsonsonstrg.zendesk.com/api/v2/help_center/pt-br/articles/41200449568653.json" TargetMode="External"/><Relationship Id="rId156" Type="http://schemas.openxmlformats.org/officeDocument/2006/relationships/hyperlink" Target="https://atendimento.teconsvonline.com.br/hc/pt-br/articles/25041149577869-Alinhamento-Entrada-de-reefer" TargetMode="External"/><Relationship Id="rId398" Type="http://schemas.openxmlformats.org/officeDocument/2006/relationships/hyperlink" Target="https://atendimento.teconline.com.br/hc/pt-br/articles/41200676487309-Regramento-de-Agendamento-para-Recebimento-de-Container-Cheio" TargetMode="External"/><Relationship Id="rId155" Type="http://schemas.openxmlformats.org/officeDocument/2006/relationships/hyperlink" Target="https://wilsonsons.zendesk.com/api/v2/help_center/pt-br/articles/25041149577869.json" TargetMode="External"/><Relationship Id="rId397" Type="http://schemas.openxmlformats.org/officeDocument/2006/relationships/hyperlink" Target="https://wilsonsonstrg.zendesk.com/api/v2/help_center/pt-br/articles/41200676487309.json" TargetMode="External"/><Relationship Id="rId808" Type="http://schemas.openxmlformats.org/officeDocument/2006/relationships/hyperlink" Target="https://atendimento.teconline.com.br/hc/pt-br/articles/360051868352-03-11-20-Evite-acidentes-e-danos-materiais" TargetMode="External"/><Relationship Id="rId807" Type="http://schemas.openxmlformats.org/officeDocument/2006/relationships/hyperlink" Target="https://wilsonsonstrg.zendesk.com/api/v2/help_center/pt-br/articles/360051868352.json" TargetMode="External"/><Relationship Id="rId806" Type="http://schemas.openxmlformats.org/officeDocument/2006/relationships/hyperlink" Target="https://atendimento.teconline.com.br/hc/pt-br/articles/360052322631-04-11-20-Controle-de-pesagem" TargetMode="External"/><Relationship Id="rId805" Type="http://schemas.openxmlformats.org/officeDocument/2006/relationships/hyperlink" Target="https://wilsonsonstrg.zendesk.com/api/v2/help_center/pt-br/articles/360052322631.json" TargetMode="External"/><Relationship Id="rId809" Type="http://schemas.openxmlformats.org/officeDocument/2006/relationships/hyperlink" Target="https://wilsonsonstrg.zendesk.com/api/v2/help_center/pt-br/articles/360047722531.json" TargetMode="External"/><Relationship Id="rId800" Type="http://schemas.openxmlformats.org/officeDocument/2006/relationships/hyperlink" Target="https://atendimento.teconline.com.br/hc/pt-br/articles/360053114852-10-12-20-Carga-P%C3%A1tio-e-DTC" TargetMode="External"/><Relationship Id="rId804" Type="http://schemas.openxmlformats.org/officeDocument/2006/relationships/hyperlink" Target="https://atendimento.teconline.com.br/hc/pt-br/articles/360052322731-06-11-20-Envio-de-documentos" TargetMode="External"/><Relationship Id="rId803" Type="http://schemas.openxmlformats.org/officeDocument/2006/relationships/hyperlink" Target="https://wilsonsonstrg.zendesk.com/api/v2/help_center/pt-br/articles/360052322731.json" TargetMode="External"/><Relationship Id="rId802" Type="http://schemas.openxmlformats.org/officeDocument/2006/relationships/hyperlink" Target="https://atendimento.teconline.com.br/hc/pt-br/articles/360053183451-02-12-20-Emiss%C3%A3o-de-Notas-Fiscais-e-Faturamento" TargetMode="External"/><Relationship Id="rId801" Type="http://schemas.openxmlformats.org/officeDocument/2006/relationships/hyperlink" Target="https://wilsonsonstrg.zendesk.com/api/v2/help_center/pt-br/articles/360053183451.json" TargetMode="External"/><Relationship Id="rId40" Type="http://schemas.openxmlformats.org/officeDocument/2006/relationships/hyperlink" Target="https://atendimento.teconsvonline.com.br/hc/pt-br/articles/38589735513741-CONTATOS-DA-SUPERVIS%C3%83O-OPERACIONAL" TargetMode="External"/><Relationship Id="rId42" Type="http://schemas.openxmlformats.org/officeDocument/2006/relationships/hyperlink" Target="https://atendimento.teconsvonline.com.br/hc/pt-br/articles/38589596521357-CONTATOS-DA-SUPERVIS%C3%83O-OPERACIONAL" TargetMode="External"/><Relationship Id="rId41" Type="http://schemas.openxmlformats.org/officeDocument/2006/relationships/hyperlink" Target="https://wilsonsons.zendesk.com/api/v2/help_center/pt-br/articles/38589596521357.json" TargetMode="External"/><Relationship Id="rId44" Type="http://schemas.openxmlformats.org/officeDocument/2006/relationships/hyperlink" Target="https://atendimento.teconsvonline.com.br/hc/pt-br/articles/38589581068685-CONTATOS-DA-SUPERVIS%C3%83O-OPERACIONAL" TargetMode="External"/><Relationship Id="rId43" Type="http://schemas.openxmlformats.org/officeDocument/2006/relationships/hyperlink" Target="https://wilsonsons.zendesk.com/api/v2/help_center/pt-br/articles/38589581068685.json" TargetMode="External"/><Relationship Id="rId46" Type="http://schemas.openxmlformats.org/officeDocument/2006/relationships/hyperlink" Target="https://atendimento.teconsvonline.com.br/hc/pt-br/articles/38351856848781-Fluxograma-Allink" TargetMode="External"/><Relationship Id="rId45" Type="http://schemas.openxmlformats.org/officeDocument/2006/relationships/hyperlink" Target="https://wilsonsons.zendesk.com/api/v2/help_center/pt-br/articles/38351856848781.json" TargetMode="External"/><Relationship Id="rId509" Type="http://schemas.openxmlformats.org/officeDocument/2006/relationships/hyperlink" Target="https://wilsonsonstrg.zendesk.com/api/v2/help_center/pt-br/articles/18983478092813.json" TargetMode="External"/><Relationship Id="rId508" Type="http://schemas.openxmlformats.org/officeDocument/2006/relationships/hyperlink" Target="https://atendimento.teconline.com.br/hc/pt-br/articles/19208038855565-Desova-direto-para-o-caminh%C3%A3o" TargetMode="External"/><Relationship Id="rId503" Type="http://schemas.openxmlformats.org/officeDocument/2006/relationships/hyperlink" Target="https://wilsonsonstrg.zendesk.com/api/v2/help_center/pt-br/articles/19750990892173.json" TargetMode="External"/><Relationship Id="rId745" Type="http://schemas.openxmlformats.org/officeDocument/2006/relationships/hyperlink" Target="https://wilsonsonstrg.zendesk.com/api/v2/help_center/pt-br/articles/9717845832205.json" TargetMode="External"/><Relationship Id="rId502" Type="http://schemas.openxmlformats.org/officeDocument/2006/relationships/hyperlink" Target="https://atendimento.teconline.com.br/hc/pt-br/articles/20169865795085-06-10-2023-Hor%C3%A1rio-Especial-Tecon-Rio-Grande-Comunica" TargetMode="External"/><Relationship Id="rId744" Type="http://schemas.openxmlformats.org/officeDocument/2006/relationships/hyperlink" Target="https://atendimento.teconline.com.br/hc/pt-br/articles/360058953071-25-03-21-Feriado-de-P%C3%A1scoa" TargetMode="External"/><Relationship Id="rId501" Type="http://schemas.openxmlformats.org/officeDocument/2006/relationships/hyperlink" Target="https://wilsonsonstrg.zendesk.com/api/v2/help_center/pt-br/articles/20169865795085.json" TargetMode="External"/><Relationship Id="rId743" Type="http://schemas.openxmlformats.org/officeDocument/2006/relationships/hyperlink" Target="https://wilsonsonstrg.zendesk.com/api/v2/help_center/pt-br/articles/360058953071.json" TargetMode="External"/><Relationship Id="rId500" Type="http://schemas.openxmlformats.org/officeDocument/2006/relationships/hyperlink" Target="https://atendimento.teconline.com.br/hc/pt-br/articles/20472573985293-Libera%C3%A7%C3%A3o-Documental-Barca%C3%A7a" TargetMode="External"/><Relationship Id="rId742" Type="http://schemas.openxmlformats.org/officeDocument/2006/relationships/hyperlink" Target="https://atendimento.teconline.com.br/hc/pt-br/articles/10106414825613-24-10-22-Vem-a%C3%AD-Uma-grande-melhoria-em-nosso-terminal-para-voc%C3%AA" TargetMode="External"/><Relationship Id="rId507" Type="http://schemas.openxmlformats.org/officeDocument/2006/relationships/hyperlink" Target="https://wilsonsonstrg.zendesk.com/api/v2/help_center/pt-br/articles/19208038855565.json" TargetMode="External"/><Relationship Id="rId749" Type="http://schemas.openxmlformats.org/officeDocument/2006/relationships/hyperlink" Target="https://wilsonsonstrg.zendesk.com/api/v2/help_center/pt-br/articles/9467579676941.json" TargetMode="External"/><Relationship Id="rId506" Type="http://schemas.openxmlformats.org/officeDocument/2006/relationships/hyperlink" Target="https://atendimento.teconline.com.br/hc/pt-br/articles/19539846987149-15-09-2023-Comunicado-Importante-Opera%C3%A7%C3%A3o-de-Gate-e-Teconline" TargetMode="External"/><Relationship Id="rId748" Type="http://schemas.openxmlformats.org/officeDocument/2006/relationships/hyperlink" Target="https://atendimento.teconline.com.br/hc/pt-br/articles/360056022232-11-02-21-Feriado-de-Carnaval" TargetMode="External"/><Relationship Id="rId505" Type="http://schemas.openxmlformats.org/officeDocument/2006/relationships/hyperlink" Target="https://wilsonsonstrg.zendesk.com/api/v2/help_center/pt-br/articles/19539846987149.json" TargetMode="External"/><Relationship Id="rId747" Type="http://schemas.openxmlformats.org/officeDocument/2006/relationships/hyperlink" Target="https://wilsonsonstrg.zendesk.com/api/v2/help_center/pt-br/articles/360056022232.json" TargetMode="External"/><Relationship Id="rId504" Type="http://schemas.openxmlformats.org/officeDocument/2006/relationships/hyperlink" Target="https://atendimento.teconline.com.br/hc/pt-br/articles/19750990892173-22-09-2023-Novo-Procedimento-Solicita%C3%A7%C3%A3o-de-Desova-Direto-para-Caminh%C3%A3o" TargetMode="External"/><Relationship Id="rId746" Type="http://schemas.openxmlformats.org/officeDocument/2006/relationships/hyperlink" Target="https://atendimento.teconline.com.br/hc/pt-br/articles/9717845832205-07-10-22-Placa-Ileg%C3%ADvel-Acesso-ao-terminal" TargetMode="External"/><Relationship Id="rId48" Type="http://schemas.openxmlformats.org/officeDocument/2006/relationships/hyperlink" Target="https://atendimento.teconsvonline.com.br/hc/pt-br/articles/37399282484493-BLOQUEIOS-HOLDS-E-A%C3%87%C3%95ES-PT-1" TargetMode="External"/><Relationship Id="rId47" Type="http://schemas.openxmlformats.org/officeDocument/2006/relationships/hyperlink" Target="https://wilsonsons.zendesk.com/api/v2/help_center/pt-br/articles/37399282484493.json" TargetMode="External"/><Relationship Id="rId49" Type="http://schemas.openxmlformats.org/officeDocument/2006/relationships/hyperlink" Target="https://wilsonsons.zendesk.com/api/v2/help_center/pt-br/articles/37399135154189.json" TargetMode="External"/><Relationship Id="rId741" Type="http://schemas.openxmlformats.org/officeDocument/2006/relationships/hyperlink" Target="https://wilsonsonstrg.zendesk.com/api/v2/help_center/pt-br/articles/10106414825613.json" TargetMode="External"/><Relationship Id="rId740" Type="http://schemas.openxmlformats.org/officeDocument/2006/relationships/hyperlink" Target="https://atendimento.teconline.com.br/hc/pt-br/articles/360059102152-07-04-21-Feriado-de-Tiradentes" TargetMode="External"/><Relationship Id="rId31" Type="http://schemas.openxmlformats.org/officeDocument/2006/relationships/hyperlink" Target="https://wilsonsons.zendesk.com/api/v2/help_center/pt-br/articles/39440345586957.json" TargetMode="External"/><Relationship Id="rId30" Type="http://schemas.openxmlformats.org/officeDocument/2006/relationships/hyperlink" Target="https://atendimento.teconsvonline.com.br/hc/pt-br/articles/39441101772813-Informa%C3%A7%C3%B5es-sobre-cargas-de-Projetos-Break-Bulk" TargetMode="External"/><Relationship Id="rId33" Type="http://schemas.openxmlformats.org/officeDocument/2006/relationships/hyperlink" Target="https://wilsonsons.zendesk.com/api/v2/help_center/pt-br/articles/38750663731597.json" TargetMode="External"/><Relationship Id="rId32" Type="http://schemas.openxmlformats.org/officeDocument/2006/relationships/hyperlink" Target="https://atendimento.teconsvonline.com.br/hc/pt-br/articles/39440345586957-Quais-s%C3%A3o-os-custos-aplicados-para-os-processos-de-Importa%C3%A7%C3%A3o" TargetMode="External"/><Relationship Id="rId35" Type="http://schemas.openxmlformats.org/officeDocument/2006/relationships/hyperlink" Target="https://wilsonsons.zendesk.com/api/v2/help_center/pt-br/articles/38750474751501.json" TargetMode="External"/><Relationship Id="rId34" Type="http://schemas.openxmlformats.org/officeDocument/2006/relationships/hyperlink" Target="https://atendimento.teconsvonline.com.br/hc/pt-br/articles/38750663731597-INFORMA%C3%87%C3%95ES-GERAIS-FATURAMENTO" TargetMode="External"/><Relationship Id="rId739" Type="http://schemas.openxmlformats.org/officeDocument/2006/relationships/hyperlink" Target="https://wilsonsonstrg.zendesk.com/api/v2/help_center/pt-br/articles/360059102152.json" TargetMode="External"/><Relationship Id="rId734" Type="http://schemas.openxmlformats.org/officeDocument/2006/relationships/hyperlink" Target="https://atendimento.teconline.com.br/hc/pt-br/articles/10474798909965-08-11-22-Canais-de-Atendimento-Tecon-Rio-Grande" TargetMode="External"/><Relationship Id="rId733" Type="http://schemas.openxmlformats.org/officeDocument/2006/relationships/hyperlink" Target="https://wilsonsonstrg.zendesk.com/api/v2/help_center/pt-br/articles/10474798909965.json" TargetMode="External"/><Relationship Id="rId732" Type="http://schemas.openxmlformats.org/officeDocument/2006/relationships/hyperlink" Target="https://atendimento.teconline.com.br/hc/pt-br/articles/360061589751-21-05-21-Feriado-de-Corpus-Christi" TargetMode="External"/><Relationship Id="rId731" Type="http://schemas.openxmlformats.org/officeDocument/2006/relationships/hyperlink" Target="https://wilsonsonstrg.zendesk.com/api/v2/help_center/pt-br/articles/360061589751.json" TargetMode="External"/><Relationship Id="rId738" Type="http://schemas.openxmlformats.org/officeDocument/2006/relationships/hyperlink" Target="https://atendimento.teconline.com.br/hc/pt-br/articles/10281175928077-31-10-22-SEIS-ANOS-de-um-triunfo-que-merece-ser-comemorado" TargetMode="External"/><Relationship Id="rId737" Type="http://schemas.openxmlformats.org/officeDocument/2006/relationships/hyperlink" Target="https://wilsonsonstrg.zendesk.com/api/v2/help_center/pt-br/articles/10281175928077.json" TargetMode="External"/><Relationship Id="rId736" Type="http://schemas.openxmlformats.org/officeDocument/2006/relationships/hyperlink" Target="https://atendimento.teconline.com.br/hc/pt-br/articles/360060393971-26-04-21-Feriado-do-Dia-do-Trabalho" TargetMode="External"/><Relationship Id="rId735" Type="http://schemas.openxmlformats.org/officeDocument/2006/relationships/hyperlink" Target="https://wilsonsonstrg.zendesk.com/api/v2/help_center/pt-br/articles/360060393971.json" TargetMode="External"/><Relationship Id="rId37" Type="http://schemas.openxmlformats.org/officeDocument/2006/relationships/hyperlink" Target="https://wilsonsons.zendesk.com/api/v2/help_center/pt-br/articles/38750034735245.json" TargetMode="External"/><Relationship Id="rId36" Type="http://schemas.openxmlformats.org/officeDocument/2006/relationships/hyperlink" Target="https://atendimento.teconsvonline.com.br/hc/pt-br/articles/38750474751501-INFORMA%C3%87%C3%95ES-GERAIS-CLS" TargetMode="External"/><Relationship Id="rId39" Type="http://schemas.openxmlformats.org/officeDocument/2006/relationships/hyperlink" Target="https://wilsonsons.zendesk.com/api/v2/help_center/pt-br/articles/38589735513741.json" TargetMode="External"/><Relationship Id="rId38" Type="http://schemas.openxmlformats.org/officeDocument/2006/relationships/hyperlink" Target="https://atendimento.teconsvonline.com.br/hc/pt-br/articles/38750034735245-INFORMA%C3%87%C3%95ES-GERAIS-PROJETOS-BREAK-BULK" TargetMode="External"/><Relationship Id="rId730" Type="http://schemas.openxmlformats.org/officeDocument/2006/relationships/hyperlink" Target="https://atendimento.teconline.com.br/hc/pt-br/articles/11032670727821-30-11-22-Nomenclatura-de-Servi%C3%A7os" TargetMode="External"/><Relationship Id="rId20" Type="http://schemas.openxmlformats.org/officeDocument/2006/relationships/hyperlink" Target="https://atendimento.teconsvonline.com.br/hc/pt-br/articles/39493737922701-CONTATOS-INTERNOS-WS" TargetMode="External"/><Relationship Id="rId22" Type="http://schemas.openxmlformats.org/officeDocument/2006/relationships/hyperlink" Target="https://atendimento.teconsvonline.com.br/hc/pt-br/articles/39441645259661-Informa%C3%A7%C3%B5es-sobre-a-Tabela-de-Pre%C3%A7os" TargetMode="External"/><Relationship Id="rId21" Type="http://schemas.openxmlformats.org/officeDocument/2006/relationships/hyperlink" Target="https://wilsonsons.zendesk.com/api/v2/help_center/pt-br/articles/39441645259661.json" TargetMode="External"/><Relationship Id="rId24" Type="http://schemas.openxmlformats.org/officeDocument/2006/relationships/hyperlink" Target="https://atendimento.teconsvonline.com.br/hc/pt-br/articles/39441546144909-Informa%C3%A7%C3%B5es-de-Agendamento-e-Atendimento-para-processos-de-Exporta%C3%A7%C3%A3o" TargetMode="External"/><Relationship Id="rId23" Type="http://schemas.openxmlformats.org/officeDocument/2006/relationships/hyperlink" Target="https://wilsonsons.zendesk.com/api/v2/help_center/pt-br/articles/39441546144909.json" TargetMode="External"/><Relationship Id="rId525" Type="http://schemas.openxmlformats.org/officeDocument/2006/relationships/hyperlink" Target="https://wilsonsonstrg.zendesk.com/api/v2/help_center/pt-br/articles/13100388154637.json" TargetMode="External"/><Relationship Id="rId767" Type="http://schemas.openxmlformats.org/officeDocument/2006/relationships/hyperlink" Target="https://wilsonsonstrg.zendesk.com/api/v2/help_center/pt-br/articles/360049012551.json" TargetMode="External"/><Relationship Id="rId524" Type="http://schemas.openxmlformats.org/officeDocument/2006/relationships/hyperlink" Target="https://atendimento.teconline.com.br/hc/pt-br/articles/14387162947725-28-03-23-Hor%C3%A1rio-Especial-Tecon-Rio-Grande-Comunica" TargetMode="External"/><Relationship Id="rId766" Type="http://schemas.openxmlformats.org/officeDocument/2006/relationships/hyperlink" Target="https://atendimento.teconline.com.br/hc/pt-br/articles/9143835844749-15-07-22-Volume-extra-no-caminh%C3%A3o" TargetMode="External"/><Relationship Id="rId523" Type="http://schemas.openxmlformats.org/officeDocument/2006/relationships/hyperlink" Target="https://wilsonsonstrg.zendesk.com/api/v2/help_center/pt-br/articles/14387162947725.json" TargetMode="External"/><Relationship Id="rId765" Type="http://schemas.openxmlformats.org/officeDocument/2006/relationships/hyperlink" Target="https://wilsonsonstrg.zendesk.com/api/v2/help_center/pt-br/articles/9143835844749.json" TargetMode="External"/><Relationship Id="rId522" Type="http://schemas.openxmlformats.org/officeDocument/2006/relationships/hyperlink" Target="https://atendimento.teconline.com.br/hc/pt-br/articles/15237788044045-24-04-2023-Hor%C3%A1rio-Especial-Tecon-Rio-Grande-Comunica" TargetMode="External"/><Relationship Id="rId764" Type="http://schemas.openxmlformats.org/officeDocument/2006/relationships/hyperlink" Target="https://atendimento.teconline.com.br/hc/pt-br/articles/360050291092-12-10-20-Feriado-de-Nossa-Senhora-Aparecida" TargetMode="External"/><Relationship Id="rId529" Type="http://schemas.openxmlformats.org/officeDocument/2006/relationships/hyperlink" Target="https://wilsonsonstrg.zendesk.com/api/v2/help_center/pt-br/articles/11848928325901.json" TargetMode="External"/><Relationship Id="rId528" Type="http://schemas.openxmlformats.org/officeDocument/2006/relationships/hyperlink" Target="https://atendimento.teconline.com.br/hc/pt-br/articles/12573680069389-26-01-23-Feriados-M%C3%AAs-de-Fevereiro" TargetMode="External"/><Relationship Id="rId527" Type="http://schemas.openxmlformats.org/officeDocument/2006/relationships/hyperlink" Target="https://wilsonsonstrg.zendesk.com/api/v2/help_center/pt-br/articles/12573680069389.json" TargetMode="External"/><Relationship Id="rId769" Type="http://schemas.openxmlformats.org/officeDocument/2006/relationships/hyperlink" Target="https://wilsonsonstrg.zendesk.com/api/v2/help_center/pt-br/articles/8315342664973.json" TargetMode="External"/><Relationship Id="rId526" Type="http://schemas.openxmlformats.org/officeDocument/2006/relationships/hyperlink" Target="https://atendimento.teconline.com.br/hc/pt-br/articles/13100388154637-13-02-23-Feriados-M%C3%AAs-de-Fevereiro" TargetMode="External"/><Relationship Id="rId768" Type="http://schemas.openxmlformats.org/officeDocument/2006/relationships/hyperlink" Target="https://atendimento.teconline.com.br/hc/pt-br/articles/360049012551-07-09-20-Feriado-da-Independ%C3%AAncia-do-Brasil" TargetMode="External"/><Relationship Id="rId26" Type="http://schemas.openxmlformats.org/officeDocument/2006/relationships/hyperlink" Target="https://atendimento.teconsvonline.com.br/hc/pt-br/articles/39441453704461-Informa%C3%A7%C3%B5es-sobre-servi%C3%A7os-realizados-no-Centro-Log%C3%ADstico-de-Salvador" TargetMode="External"/><Relationship Id="rId25" Type="http://schemas.openxmlformats.org/officeDocument/2006/relationships/hyperlink" Target="https://wilsonsons.zendesk.com/api/v2/help_center/pt-br/articles/39441453704461.json" TargetMode="External"/><Relationship Id="rId28" Type="http://schemas.openxmlformats.org/officeDocument/2006/relationships/hyperlink" Target="https://atendimento.teconsvonline.com.br/hc/pt-br/articles/39441330577549-Informa%C3%A7%C3%B5es-Gerais-sobre-o-processo-de-Cabotagem" TargetMode="External"/><Relationship Id="rId27" Type="http://schemas.openxmlformats.org/officeDocument/2006/relationships/hyperlink" Target="https://wilsonsons.zendesk.com/api/v2/help_center/pt-br/articles/39441330577549.json" TargetMode="External"/><Relationship Id="rId521" Type="http://schemas.openxmlformats.org/officeDocument/2006/relationships/hyperlink" Target="https://wilsonsonstrg.zendesk.com/api/v2/help_center/pt-br/articles/15237788044045.json" TargetMode="External"/><Relationship Id="rId763" Type="http://schemas.openxmlformats.org/officeDocument/2006/relationships/hyperlink" Target="https://wilsonsonstrg.zendesk.com/api/v2/help_center/pt-br/articles/360050291092.json" TargetMode="External"/><Relationship Id="rId29" Type="http://schemas.openxmlformats.org/officeDocument/2006/relationships/hyperlink" Target="https://wilsonsons.zendesk.com/api/v2/help_center/pt-br/articles/39441101772813.json" TargetMode="External"/><Relationship Id="rId520" Type="http://schemas.openxmlformats.org/officeDocument/2006/relationships/hyperlink" Target="https://atendimento.teconline.com.br/hc/pt-br/articles/15611721936013-Estufagem-Armaz%C3%A9m" TargetMode="External"/><Relationship Id="rId762" Type="http://schemas.openxmlformats.org/officeDocument/2006/relationships/hyperlink" Target="https://atendimento.teconline.com.br/hc/pt-br/articles/8466998498957-16-08-22-Novo-Procedimento-Containers-em-bundle" TargetMode="External"/><Relationship Id="rId761" Type="http://schemas.openxmlformats.org/officeDocument/2006/relationships/hyperlink" Target="https://wilsonsonstrg.zendesk.com/api/v2/help_center/pt-br/articles/8466998498957.json" TargetMode="External"/><Relationship Id="rId760" Type="http://schemas.openxmlformats.org/officeDocument/2006/relationships/hyperlink" Target="https://atendimento.teconline.com.br/hc/pt-br/articles/360050927732-02-11-20-Feriado-de-Nossa-Senhora-Aparecida" TargetMode="External"/><Relationship Id="rId11" Type="http://schemas.openxmlformats.org/officeDocument/2006/relationships/hyperlink" Target="https://wilsonsons.zendesk.com/api/v2/help_center/pt-br/articles/41421370993293.json" TargetMode="External"/><Relationship Id="rId10" Type="http://schemas.openxmlformats.org/officeDocument/2006/relationships/hyperlink" Target="https://atendimento.teconsvonline.com.br/hc/pt-br/articles/41454970746765-Acompanhamento-de-processos" TargetMode="External"/><Relationship Id="rId13" Type="http://schemas.openxmlformats.org/officeDocument/2006/relationships/hyperlink" Target="https://wilsonsons.zendesk.com/api/v2/help_center/pt-br/articles/41414964107277.json" TargetMode="External"/><Relationship Id="rId12" Type="http://schemas.openxmlformats.org/officeDocument/2006/relationships/hyperlink" Target="https://atendimento.teconsvonline.com.br/hc/pt-br/articles/41421370993293-Como-Realizar-uma-Libera%C3%A7%C3%A3o-de-Cabotagem" TargetMode="External"/><Relationship Id="rId519" Type="http://schemas.openxmlformats.org/officeDocument/2006/relationships/hyperlink" Target="https://wilsonsonstrg.zendesk.com/api/v2/help_center/pt-br/articles/15611721936013.json" TargetMode="External"/><Relationship Id="rId514" Type="http://schemas.openxmlformats.org/officeDocument/2006/relationships/hyperlink" Target="https://atendimento.teconline.com.br/hc/pt-br/articles/17149292259213-28-06-2023-Comunicado-Importante-Hor%C3%A1rio-Especial" TargetMode="External"/><Relationship Id="rId756" Type="http://schemas.openxmlformats.org/officeDocument/2006/relationships/hyperlink" Target="https://atendimento.teconline.com.br/hc/pt-br/articles/360053518051-09-12-20-Hor%C3%A1rios-Natal-e-Ano-Novo" TargetMode="External"/><Relationship Id="rId513" Type="http://schemas.openxmlformats.org/officeDocument/2006/relationships/hyperlink" Target="https://wilsonsonstrg.zendesk.com/api/v2/help_center/pt-br/articles/17149292259213.json" TargetMode="External"/><Relationship Id="rId755" Type="http://schemas.openxmlformats.org/officeDocument/2006/relationships/hyperlink" Target="https://wilsonsonstrg.zendesk.com/api/v2/help_center/pt-br/articles/360053518051.json" TargetMode="External"/><Relationship Id="rId512" Type="http://schemas.openxmlformats.org/officeDocument/2006/relationships/hyperlink" Target="https://atendimento.teconline.com.br/hc/pt-br/articles/17605571493901-06-07-2023-Comunicado-Importante-Scanner-02-Tecon-Rio-Grande" TargetMode="External"/><Relationship Id="rId754" Type="http://schemas.openxmlformats.org/officeDocument/2006/relationships/hyperlink" Target="https://atendimento.teconline.com.br/hc/pt-br/articles/9185581677197-15-09-22-Dia-do-cliente" TargetMode="External"/><Relationship Id="rId511" Type="http://schemas.openxmlformats.org/officeDocument/2006/relationships/hyperlink" Target="https://wilsonsonstrg.zendesk.com/api/v2/help_center/pt-br/articles/17605571493901.json" TargetMode="External"/><Relationship Id="rId753" Type="http://schemas.openxmlformats.org/officeDocument/2006/relationships/hyperlink" Target="https://wilsonsonstrg.zendesk.com/api/v2/help_center/pt-br/articles/9185581677197.json" TargetMode="External"/><Relationship Id="rId518" Type="http://schemas.openxmlformats.org/officeDocument/2006/relationships/hyperlink" Target="https://atendimento.teconline.com.br/hc/pt-br/articles/16417342917901-31-05-23-Comunicado-Importante-Hor%C3%A1rio-Especial" TargetMode="External"/><Relationship Id="rId517" Type="http://schemas.openxmlformats.org/officeDocument/2006/relationships/hyperlink" Target="https://wilsonsonstrg.zendesk.com/api/v2/help_center/pt-br/articles/16417342917901.json" TargetMode="External"/><Relationship Id="rId759" Type="http://schemas.openxmlformats.org/officeDocument/2006/relationships/hyperlink" Target="https://wilsonsonstrg.zendesk.com/api/v2/help_center/pt-br/articles/360050927732.json" TargetMode="External"/><Relationship Id="rId516" Type="http://schemas.openxmlformats.org/officeDocument/2006/relationships/hyperlink" Target="https://atendimento.teconline.com.br/hc/pt-br/articles/16818095609869-16-06-2023-Comunicado-Importante-Hor%C3%A1rio-Especial" TargetMode="External"/><Relationship Id="rId758" Type="http://schemas.openxmlformats.org/officeDocument/2006/relationships/hyperlink" Target="https://atendimento.teconline.com.br/hc/pt-br/articles/8705793155469-25-08-22-Novo-Procedimento-Estufagem-Altera%C3%A7%C3%A3o-e-mail" TargetMode="External"/><Relationship Id="rId515" Type="http://schemas.openxmlformats.org/officeDocument/2006/relationships/hyperlink" Target="https://wilsonsonstrg.zendesk.com/api/v2/help_center/pt-br/articles/16818095609869.json" TargetMode="External"/><Relationship Id="rId757" Type="http://schemas.openxmlformats.org/officeDocument/2006/relationships/hyperlink" Target="https://wilsonsonstrg.zendesk.com/api/v2/help_center/pt-br/articles/8705793155469.json" TargetMode="External"/><Relationship Id="rId15" Type="http://schemas.openxmlformats.org/officeDocument/2006/relationships/hyperlink" Target="https://wilsonsons.zendesk.com/api/v2/help_center/pt-br/articles/39796803468557.json" TargetMode="External"/><Relationship Id="rId14" Type="http://schemas.openxmlformats.org/officeDocument/2006/relationships/hyperlink" Target="https://atendimento.teconsvonline.com.br/hc/pt-br/articles/41414964107277-Capit%C3%A3o-Oracle" TargetMode="External"/><Relationship Id="rId17" Type="http://schemas.openxmlformats.org/officeDocument/2006/relationships/hyperlink" Target="https://wilsonsons.zendesk.com/api/v2/help_center/pt-br/articles/39605716395661.json" TargetMode="External"/><Relationship Id="rId16" Type="http://schemas.openxmlformats.org/officeDocument/2006/relationships/hyperlink" Target="https://atendimento.teconsvonline.com.br/hc/pt-br/articles/39796803468557-Damages-Espec%C3%ADficos-enviados-atrav%C3%A9s-do-time-de-Opera%C3%A7%C3%B5es" TargetMode="External"/><Relationship Id="rId19" Type="http://schemas.openxmlformats.org/officeDocument/2006/relationships/hyperlink" Target="https://wilsonsons.zendesk.com/api/v2/help_center/pt-br/articles/39493737922701.json" TargetMode="External"/><Relationship Id="rId510" Type="http://schemas.openxmlformats.org/officeDocument/2006/relationships/hyperlink" Target="https://atendimento.teconline.com.br/hc/pt-br/articles/18983478092813-29-08-2023-Comunicado-Importante-Hor%C3%A1rio-Especial" TargetMode="External"/><Relationship Id="rId752" Type="http://schemas.openxmlformats.org/officeDocument/2006/relationships/hyperlink" Target="https://atendimento.teconline.com.br/hc/pt-br/articles/360055863831-22-01-21-Feriado-de-Nossa-Senhora-dos-Navegantes" TargetMode="External"/><Relationship Id="rId18" Type="http://schemas.openxmlformats.org/officeDocument/2006/relationships/hyperlink" Target="https://atendimento.teconsvonline.com.br/hc/pt-br/articles/39605716395661-Libera%C3%A7%C3%A3o-autom%C3%A1tica-de-nota-fiscal" TargetMode="External"/><Relationship Id="rId751" Type="http://schemas.openxmlformats.org/officeDocument/2006/relationships/hyperlink" Target="https://wilsonsonstrg.zendesk.com/api/v2/help_center/pt-br/articles/360055863831.json" TargetMode="External"/><Relationship Id="rId750" Type="http://schemas.openxmlformats.org/officeDocument/2006/relationships/hyperlink" Target="https://atendimento.teconline.com.br/hc/pt-br/articles/9467579676941-27-09-22-Substitui%C3%A7%C3%A3o-NF-Carga-no-Armaz%C3%A9m-de-Exporta%C3%A7%C3%A3o" TargetMode="External"/><Relationship Id="rId84" Type="http://schemas.openxmlformats.org/officeDocument/2006/relationships/hyperlink" Target="https://atendimento.teconsvonline.com.br/hc/pt-br/articles/34775675603213-Informa%C3%A7%C3%B5es-sobre-Despacho-Aduaneiro" TargetMode="External"/><Relationship Id="rId83" Type="http://schemas.openxmlformats.org/officeDocument/2006/relationships/hyperlink" Target="https://wilsonsons.zendesk.com/api/v2/help_center/pt-br/articles/34775675603213.json" TargetMode="External"/><Relationship Id="rId86" Type="http://schemas.openxmlformats.org/officeDocument/2006/relationships/hyperlink" Target="https://atendimento.teconsvonline.com.br/hc/pt-br/articles/34753844548493-COMO-CONSULTAR-DU-E-ATRAVEZ-DO-CONTAINER" TargetMode="External"/><Relationship Id="rId85" Type="http://schemas.openxmlformats.org/officeDocument/2006/relationships/hyperlink" Target="https://wilsonsons.zendesk.com/api/v2/help_center/pt-br/articles/34753844548493.json" TargetMode="External"/><Relationship Id="rId88" Type="http://schemas.openxmlformats.org/officeDocument/2006/relationships/hyperlink" Target="https://atendimento.teconsvonline.com.br/hc/pt-br/articles/34753608699533-FAINA-ENTRADA-DE-CNTR-DEADLINE" TargetMode="External"/><Relationship Id="rId87" Type="http://schemas.openxmlformats.org/officeDocument/2006/relationships/hyperlink" Target="https://wilsonsons.zendesk.com/api/v2/help_center/pt-br/articles/34753608699533.json" TargetMode="External"/><Relationship Id="rId89" Type="http://schemas.openxmlformats.org/officeDocument/2006/relationships/hyperlink" Target="https://wilsonsons.zendesk.com/api/v2/help_center/pt-br/articles/34752710223245.json" TargetMode="External"/><Relationship Id="rId709" Type="http://schemas.openxmlformats.org/officeDocument/2006/relationships/hyperlink" Target="https://wilsonsonstrg.zendesk.com/api/v2/help_center/pt-br/articles/12296696702221.json" TargetMode="External"/><Relationship Id="rId708" Type="http://schemas.openxmlformats.org/officeDocument/2006/relationships/hyperlink" Target="https://atendimento.teconline.com.br/hc/pt-br/articles/4412732747917-04-11-21-Feriado-da-Proclama%C3%A7%C3%A3o-da-Rep%C3%BAblica" TargetMode="External"/><Relationship Id="rId707" Type="http://schemas.openxmlformats.org/officeDocument/2006/relationships/hyperlink" Target="https://wilsonsonstrg.zendesk.com/api/v2/help_center/pt-br/articles/4412732747917.json" TargetMode="External"/><Relationship Id="rId706" Type="http://schemas.openxmlformats.org/officeDocument/2006/relationships/hyperlink" Target="https://atendimento.teconline.com.br/hc/pt-br/articles/12664438646797-30-01-23-Novo-Procedimento-Libera%C3%A7%C3%A3o-Documental-da-Importa%C3%A7%C3%A3o" TargetMode="External"/><Relationship Id="rId80" Type="http://schemas.openxmlformats.org/officeDocument/2006/relationships/hyperlink" Target="https://atendimento.teconsvonline.com.br/hc/pt-br/articles/34785884296717-FLUXO-VISTORIA-RFB" TargetMode="External"/><Relationship Id="rId82" Type="http://schemas.openxmlformats.org/officeDocument/2006/relationships/hyperlink" Target="https://atendimento.teconsvonline.com.br/hc/pt-br/articles/34785442835469-COMO-SOLICITAR-CADASTRO-DE-PR%C3%89VIA-AO-DEPOT" TargetMode="External"/><Relationship Id="rId81" Type="http://schemas.openxmlformats.org/officeDocument/2006/relationships/hyperlink" Target="https://wilsonsons.zendesk.com/api/v2/help_center/pt-br/articles/34785442835469.json" TargetMode="External"/><Relationship Id="rId701" Type="http://schemas.openxmlformats.org/officeDocument/2006/relationships/hyperlink" Target="https://wilsonsonstrg.zendesk.com/api/v2/help_center/pt-br/articles/18167986236301.json" TargetMode="External"/><Relationship Id="rId700" Type="http://schemas.openxmlformats.org/officeDocument/2006/relationships/hyperlink" Target="https://atendimento.teconline.com.br/hc/pt-br/articles/4422723563405-24-01-22-Feriado-de-Nossa-Senhora-dos-Navegantes" TargetMode="External"/><Relationship Id="rId705" Type="http://schemas.openxmlformats.org/officeDocument/2006/relationships/hyperlink" Target="https://wilsonsonstrg.zendesk.com/api/v2/help_center/pt-br/articles/12664438646797.json" TargetMode="External"/><Relationship Id="rId704" Type="http://schemas.openxmlformats.org/officeDocument/2006/relationships/hyperlink" Target="https://atendimento.teconline.com.br/hc/pt-br/articles/4415975176461-08-12-21-Feriado-de-Natal-e-Ano-Novo" TargetMode="External"/><Relationship Id="rId703" Type="http://schemas.openxmlformats.org/officeDocument/2006/relationships/hyperlink" Target="https://wilsonsonstrg.zendesk.com/api/v2/help_center/pt-br/articles/4415975176461.json" TargetMode="External"/><Relationship Id="rId702" Type="http://schemas.openxmlformats.org/officeDocument/2006/relationships/hyperlink" Target="https://atendimento.teconline.com.br/hc/pt-br/articles/18167986236301-09-02-2023-Novo-Procedimento-Lista-de-Embarque" TargetMode="External"/><Relationship Id="rId73" Type="http://schemas.openxmlformats.org/officeDocument/2006/relationships/hyperlink" Target="https://wilsonsons.zendesk.com/api/v2/help_center/pt-br/articles/35218213469069.json" TargetMode="External"/><Relationship Id="rId72" Type="http://schemas.openxmlformats.org/officeDocument/2006/relationships/hyperlink" Target="https://atendimento.teconsvonline.com.br/hc/pt-br/articles/35520846588173-CONTATOS-ATUALIZADOS-DIVERG%C3%8ANCIA-DE-VOLUME-REISTAR" TargetMode="External"/><Relationship Id="rId75" Type="http://schemas.openxmlformats.org/officeDocument/2006/relationships/hyperlink" Target="https://wilsonsons.zendesk.com/api/v2/help_center/pt-br/articles/35175755935373.json" TargetMode="External"/><Relationship Id="rId74" Type="http://schemas.openxmlformats.org/officeDocument/2006/relationships/hyperlink" Target="https://atendimento.teconsvonline.com.br/hc/pt-br/articles/35218213469069-Comunicado-Indisponibilidade-Tempor%C3%A1ria-de-Boletos" TargetMode="External"/><Relationship Id="rId77" Type="http://schemas.openxmlformats.org/officeDocument/2006/relationships/hyperlink" Target="https://wilsonsons.zendesk.com/api/v2/help_center/pt-br/articles/34794054641165.json" TargetMode="External"/><Relationship Id="rId76" Type="http://schemas.openxmlformats.org/officeDocument/2006/relationships/hyperlink" Target="https://atendimento.teconsvonline.com.br/hc/pt-br/articles/35175755935373-Contatos-diverg%C3%AAncia-de-volume-Reistar" TargetMode="External"/><Relationship Id="rId79" Type="http://schemas.openxmlformats.org/officeDocument/2006/relationships/hyperlink" Target="https://wilsonsons.zendesk.com/api/v2/help_center/pt-br/articles/34785884296717.json" TargetMode="External"/><Relationship Id="rId78" Type="http://schemas.openxmlformats.org/officeDocument/2006/relationships/hyperlink" Target="https://atendimento.teconsvonline.com.br/hc/pt-br/articles/34794054641165-DIFEREN%C3%87A-ENTRE-ENTRADA-ANTECIPADA-E-LIBERA%C3%87%C3%83O-ESPECIAL" TargetMode="External"/><Relationship Id="rId71" Type="http://schemas.openxmlformats.org/officeDocument/2006/relationships/hyperlink" Target="https://wilsonsons.zendesk.com/api/v2/help_center/pt-br/articles/35520846588173.json" TargetMode="External"/><Relationship Id="rId70" Type="http://schemas.openxmlformats.org/officeDocument/2006/relationships/hyperlink" Target="https://atendimento.teconsvonline.com.br/hc/pt-br/articles/36546556060813-Diverg%C3%AAncia-De-Volume-Reistar-Contatos-Atualizados" TargetMode="External"/><Relationship Id="rId62" Type="http://schemas.openxmlformats.org/officeDocument/2006/relationships/hyperlink" Target="https://atendimento.teconsvonline.com.br/hc/pt-br/articles/37396243677069-O-que-os-status-dos-agendamentos-significam" TargetMode="External"/><Relationship Id="rId61" Type="http://schemas.openxmlformats.org/officeDocument/2006/relationships/hyperlink" Target="https://wilsonsons.zendesk.com/api/v2/help_center/pt-br/articles/37396243677069.json" TargetMode="External"/><Relationship Id="rId64" Type="http://schemas.openxmlformats.org/officeDocument/2006/relationships/hyperlink" Target="https://atendimento.teconsvonline.com.br/hc/pt-br/articles/37172030444813-Reten%C3%A7%C3%A3o-SISCARGA-e-SISCOMEX" TargetMode="External"/><Relationship Id="rId63" Type="http://schemas.openxmlformats.org/officeDocument/2006/relationships/hyperlink" Target="https://wilsonsons.zendesk.com/api/v2/help_center/pt-br/articles/37172030444813.json" TargetMode="External"/><Relationship Id="rId66" Type="http://schemas.openxmlformats.org/officeDocument/2006/relationships/hyperlink" Target="https://atendimento.teconsvonline.com.br/hc/pt-br/articles/37068658033805-CONTATOS-REISTAR-ATUALIZADOS-DIVERG%C3%8ANCIA-DE-VOLUME" TargetMode="External"/><Relationship Id="rId65" Type="http://schemas.openxmlformats.org/officeDocument/2006/relationships/hyperlink" Target="https://wilsonsons.zendesk.com/api/v2/help_center/pt-br/articles/37068658033805.json" TargetMode="External"/><Relationship Id="rId68" Type="http://schemas.openxmlformats.org/officeDocument/2006/relationships/hyperlink" Target="https://atendimento.teconsvonline.com.br/hc/pt-br/articles/36675349937549-OCR-OCR-Optical-Character-Recognition-Reconhecimento-%C3%93tico-de-Carac" TargetMode="External"/><Relationship Id="rId67" Type="http://schemas.openxmlformats.org/officeDocument/2006/relationships/hyperlink" Target="https://wilsonsons.zendesk.com/api/v2/help_center/pt-br/articles/36675349937549.json" TargetMode="External"/><Relationship Id="rId729" Type="http://schemas.openxmlformats.org/officeDocument/2006/relationships/hyperlink" Target="https://wilsonsonstrg.zendesk.com/api/v2/help_center/pt-br/articles/11032670727821.json" TargetMode="External"/><Relationship Id="rId728" Type="http://schemas.openxmlformats.org/officeDocument/2006/relationships/hyperlink" Target="https://atendimento.teconline.com.br/hc/pt-br/articles/4402788262541-10-06-21-Feriado-de-S%C3%A3o-Pedro" TargetMode="External"/><Relationship Id="rId60" Type="http://schemas.openxmlformats.org/officeDocument/2006/relationships/hyperlink" Target="https://atendimento.teconsvonline.com.br/hc/pt-br/articles/37396408254861-Como-solicitar-uma-desova-crossdocking" TargetMode="External"/><Relationship Id="rId723" Type="http://schemas.openxmlformats.org/officeDocument/2006/relationships/hyperlink" Target="https://wilsonsonstrg.zendesk.com/api/v2/help_center/pt-br/articles/4408192338701.json" TargetMode="External"/><Relationship Id="rId722" Type="http://schemas.openxmlformats.org/officeDocument/2006/relationships/hyperlink" Target="https://atendimento.teconline.com.br/hc/pt-br/articles/11427775089933-13-12-22-M%C3%8AS-NO-TECON-RG-Chegou-sua-atualiza%C3%A7%C3%A3o" TargetMode="External"/><Relationship Id="rId721" Type="http://schemas.openxmlformats.org/officeDocument/2006/relationships/hyperlink" Target="https://wilsonsonstrg.zendesk.com/api/v2/help_center/pt-br/articles/11427775089933.json" TargetMode="External"/><Relationship Id="rId720" Type="http://schemas.openxmlformats.org/officeDocument/2006/relationships/hyperlink" Target="https://atendimento.teconline.com.br/hc/pt-br/articles/4408935937165-10-09-21-Feriado-da-Revolu%C3%A7%C3%A3o-Farroupilha" TargetMode="External"/><Relationship Id="rId727" Type="http://schemas.openxmlformats.org/officeDocument/2006/relationships/hyperlink" Target="https://wilsonsonstrg.zendesk.com/api/v2/help_center/pt-br/articles/4402788262541.json" TargetMode="External"/><Relationship Id="rId726" Type="http://schemas.openxmlformats.org/officeDocument/2006/relationships/hyperlink" Target="https://atendimento.teconline.com.br/hc/pt-br/articles/11184405951885-05-12-22-Comunicado-Importante-Servi%C3%A7o-de-Utiliza%C3%A7%C3%A3o-%C3%81rea-Especial" TargetMode="External"/><Relationship Id="rId725" Type="http://schemas.openxmlformats.org/officeDocument/2006/relationships/hyperlink" Target="https://wilsonsonstrg.zendesk.com/api/v2/help_center/pt-br/articles/11184405951885.json" TargetMode="External"/><Relationship Id="rId724" Type="http://schemas.openxmlformats.org/officeDocument/2006/relationships/hyperlink" Target="https://atendimento.teconline.com.br/hc/pt-br/articles/4408192338701-30-08-21-Feriado-de-Independ%C3%AAncia-do-Brasil" TargetMode="External"/><Relationship Id="rId69" Type="http://schemas.openxmlformats.org/officeDocument/2006/relationships/hyperlink" Target="https://wilsonsons.zendesk.com/api/v2/help_center/pt-br/articles/36546556060813.json" TargetMode="External"/><Relationship Id="rId51" Type="http://schemas.openxmlformats.org/officeDocument/2006/relationships/hyperlink" Target="https://wilsonsons.zendesk.com/api/v2/help_center/pt-br/articles/37398719932685.json" TargetMode="External"/><Relationship Id="rId50" Type="http://schemas.openxmlformats.org/officeDocument/2006/relationships/hyperlink" Target="https://atendimento.teconsvonline.com.br/hc/pt-br/articles/37399135154189-LIBERA%C3%87%C3%83O-DOCUMENTAL-PAC-PROCESSO-ADMINISTRATIVO" TargetMode="External"/><Relationship Id="rId53" Type="http://schemas.openxmlformats.org/officeDocument/2006/relationships/hyperlink" Target="https://wilsonsons.zendesk.com/api/v2/help_center/pt-br/articles/37398529659277.json" TargetMode="External"/><Relationship Id="rId52" Type="http://schemas.openxmlformats.org/officeDocument/2006/relationships/hyperlink" Target="https://atendimento.teconsvonline.com.br/hc/pt-br/articles/37398719932685-LIBERA%C3%87%C3%83O-DOCUMENTAL-DUIMP-DECLARA%C3%87%C3%83O-%C3%9ANICA-DE-IMPORTA%C3%87%C3%83O" TargetMode="External"/><Relationship Id="rId55" Type="http://schemas.openxmlformats.org/officeDocument/2006/relationships/hyperlink" Target="https://wilsonsons.zendesk.com/api/v2/help_center/pt-br/articles/37398134287757.json" TargetMode="External"/><Relationship Id="rId54" Type="http://schemas.openxmlformats.org/officeDocument/2006/relationships/hyperlink" Target="https://atendimento.teconsvonline.com.br/hc/pt-br/articles/37398529659277-LIBERA%C3%87%C3%83O-DOCUMENTAL-DSA-DESPACHO-SOBRE-%C3%81GUAS" TargetMode="External"/><Relationship Id="rId57" Type="http://schemas.openxmlformats.org/officeDocument/2006/relationships/hyperlink" Target="https://wilsonsons.zendesk.com/api/v2/help_center/pt-br/articles/37396586698509.json" TargetMode="External"/><Relationship Id="rId56" Type="http://schemas.openxmlformats.org/officeDocument/2006/relationships/hyperlink" Target="https://atendimento.teconsvonline.com.br/hc/pt-br/articles/37398134287757-LIBERA%C3%87%C3%83O-DOCUMENTAL-DI-Declara%C3%A7%C3%A3o-de-Importa%C3%A7%C3%A3o" TargetMode="External"/><Relationship Id="rId719" Type="http://schemas.openxmlformats.org/officeDocument/2006/relationships/hyperlink" Target="https://wilsonsonstrg.zendesk.com/api/v2/help_center/pt-br/articles/4408935937165.json" TargetMode="External"/><Relationship Id="rId718" Type="http://schemas.openxmlformats.org/officeDocument/2006/relationships/hyperlink" Target="https://atendimento.teconline.com.br/hc/pt-br/articles/11615891740941-20-12-22-Nomenclatura-de-Servi%C3%A7os-Armazenagem" TargetMode="External"/><Relationship Id="rId717" Type="http://schemas.openxmlformats.org/officeDocument/2006/relationships/hyperlink" Target="https://wilsonsonstrg.zendesk.com/api/v2/help_center/pt-br/articles/11615891740941.json" TargetMode="External"/><Relationship Id="rId712" Type="http://schemas.openxmlformats.org/officeDocument/2006/relationships/hyperlink" Target="https://atendimento.teconline.com.br/hc/pt-br/articles/4411841376909-22-10-21-Feriado-de-Finados" TargetMode="External"/><Relationship Id="rId711" Type="http://schemas.openxmlformats.org/officeDocument/2006/relationships/hyperlink" Target="https://wilsonsonstrg.zendesk.com/api/v2/help_center/pt-br/articles/4411841376909.json" TargetMode="External"/><Relationship Id="rId710" Type="http://schemas.openxmlformats.org/officeDocument/2006/relationships/hyperlink" Target="https://atendimento.teconline.com.br/hc/pt-br/articles/12296696702221-16-01-23-Ficha-de-Emerg%C3%AAncia-Exporta%C3%A7%C3%A3o-e-Cabotagem" TargetMode="External"/><Relationship Id="rId716" Type="http://schemas.openxmlformats.org/officeDocument/2006/relationships/hyperlink" Target="https://atendimento.teconline.com.br/hc/pt-br/articles/4410747132941-05-10-21-Feriado-da-Nossa-Senhora-Aparecida" TargetMode="External"/><Relationship Id="rId715" Type="http://schemas.openxmlformats.org/officeDocument/2006/relationships/hyperlink" Target="https://wilsonsonstrg.zendesk.com/api/v2/help_center/pt-br/articles/4410747132941.json" TargetMode="External"/><Relationship Id="rId714" Type="http://schemas.openxmlformats.org/officeDocument/2006/relationships/hyperlink" Target="https://atendimento.teconline.com.br/hc/pt-br/articles/11817143199245-28-12-22-Libera%C3%A7%C3%A3o-Documental-Cabotagem" TargetMode="External"/><Relationship Id="rId713" Type="http://schemas.openxmlformats.org/officeDocument/2006/relationships/hyperlink" Target="https://wilsonsonstrg.zendesk.com/api/v2/help_center/pt-br/articles/11817143199245.json" TargetMode="External"/><Relationship Id="rId59" Type="http://schemas.openxmlformats.org/officeDocument/2006/relationships/hyperlink" Target="https://wilsonsons.zendesk.com/api/v2/help_center/pt-br/articles/37396408254861.json" TargetMode="External"/><Relationship Id="rId58" Type="http://schemas.openxmlformats.org/officeDocument/2006/relationships/hyperlink" Target="https://atendimento.teconsvonline.com.br/hc/pt-br/articles/37396586698509-Como-solicitar-um-carregamento-de-carga-solta" TargetMode="External"/><Relationship Id="rId590" Type="http://schemas.openxmlformats.org/officeDocument/2006/relationships/hyperlink" Target="https://atendimento.teconline.com.br/hc/pt-br/articles/360039125992-M%C3%B3dulo-Faturamento-Nota-Fiscal-Tecon" TargetMode="External"/><Relationship Id="rId107" Type="http://schemas.openxmlformats.org/officeDocument/2006/relationships/hyperlink" Target="https://wilsonsons.zendesk.com/api/v2/help_center/pt-br/articles/30609408808973.json" TargetMode="External"/><Relationship Id="rId349" Type="http://schemas.openxmlformats.org/officeDocument/2006/relationships/hyperlink" Target="https://wilsonsons.zendesk.com/api/v2/help_center/pt-br/articles/360058295252.json" TargetMode="External"/><Relationship Id="rId106" Type="http://schemas.openxmlformats.org/officeDocument/2006/relationships/hyperlink" Target="https://atendimento.teconsvonline.com.br/hc/pt-br/articles/31609567057421-Cancelamento-de-placa" TargetMode="External"/><Relationship Id="rId348" Type="http://schemas.openxmlformats.org/officeDocument/2006/relationships/hyperlink" Target="https://atendimento.teconsvonline.com.br/hc/pt-br/articles/360059915672-Como-solicitar-acesso-ao-Terminal" TargetMode="External"/><Relationship Id="rId105" Type="http://schemas.openxmlformats.org/officeDocument/2006/relationships/hyperlink" Target="https://wilsonsons.zendesk.com/api/v2/help_center/pt-br/articles/31609567057421.json" TargetMode="External"/><Relationship Id="rId347" Type="http://schemas.openxmlformats.org/officeDocument/2006/relationships/hyperlink" Target="https://wilsonsons.zendesk.com/api/v2/help_center/pt-br/articles/360059915672.json" TargetMode="External"/><Relationship Id="rId589" Type="http://schemas.openxmlformats.org/officeDocument/2006/relationships/hyperlink" Target="https://wilsonsonstrg.zendesk.com/api/v2/help_center/pt-br/articles/360039125992.json" TargetMode="External"/><Relationship Id="rId104" Type="http://schemas.openxmlformats.org/officeDocument/2006/relationships/hyperlink" Target="https://atendimento.teconsvonline.com.br/hc/pt-br/articles/32752013473421-Minha-unidade-deu-scanner-suspeito-E-agora" TargetMode="External"/><Relationship Id="rId346" Type="http://schemas.openxmlformats.org/officeDocument/2006/relationships/hyperlink" Target="https://atendimento.teconsvonline.com.br/hc/pt-br/articles/360060357051-Onde-posso-verificar-a-tabela-de-servi%C3%A7os" TargetMode="External"/><Relationship Id="rId588" Type="http://schemas.openxmlformats.org/officeDocument/2006/relationships/hyperlink" Target="https://atendimento.teconline.com.br/hc/pt-br/articles/360039866151-Criar-Or%C3%A7amento-de-Importa%C3%A7%C3%A3o" TargetMode="External"/><Relationship Id="rId109" Type="http://schemas.openxmlformats.org/officeDocument/2006/relationships/hyperlink" Target="https://wilsonsons.zendesk.com/api/v2/help_center/pt-br/articles/29462863199501.json" TargetMode="External"/><Relationship Id="rId108" Type="http://schemas.openxmlformats.org/officeDocument/2006/relationships/hyperlink" Target="https://atendimento.teconsvonline.com.br/hc/pt-br/articles/30609408808973-E-mails" TargetMode="External"/><Relationship Id="rId341" Type="http://schemas.openxmlformats.org/officeDocument/2006/relationships/hyperlink" Target="https://wilsonsons.zendesk.com/api/v2/help_center/pt-br/articles/360059917112.json" TargetMode="External"/><Relationship Id="rId583" Type="http://schemas.openxmlformats.org/officeDocument/2006/relationships/hyperlink" Target="https://wilsonsonstrg.zendesk.com/api/v2/help_center/pt-br/articles/360039467172.json" TargetMode="External"/><Relationship Id="rId340" Type="http://schemas.openxmlformats.org/officeDocument/2006/relationships/hyperlink" Target="https://atendimento.teconsvonline.com.br/hc/pt-br/articles/360059917132-Perdi-a-janela-por-aus%C3%AAncia-ou-atraso-quanto-tempo-depois-posso-realizar-um-novo-agendamento" TargetMode="External"/><Relationship Id="rId582" Type="http://schemas.openxmlformats.org/officeDocument/2006/relationships/hyperlink" Target="https://atendimento.teconline.com.br/hc/pt-br/articles/360039870291-Consultar-Or%C3%A7amento-Importa%C3%A7%C3%A3o" TargetMode="External"/><Relationship Id="rId581" Type="http://schemas.openxmlformats.org/officeDocument/2006/relationships/hyperlink" Target="https://wilsonsonstrg.zendesk.com/api/v2/help_center/pt-br/articles/360039870291.json" TargetMode="External"/><Relationship Id="rId580" Type="http://schemas.openxmlformats.org/officeDocument/2006/relationships/hyperlink" Target="https://atendimento.teconline.com.br/hc/pt-br/articles/360040097051-Consulta-Containers" TargetMode="External"/><Relationship Id="rId103" Type="http://schemas.openxmlformats.org/officeDocument/2006/relationships/hyperlink" Target="https://wilsonsons.zendesk.com/api/v2/help_center/pt-br/articles/32752013473421.json" TargetMode="External"/><Relationship Id="rId345" Type="http://schemas.openxmlformats.org/officeDocument/2006/relationships/hyperlink" Target="https://wilsonsons.zendesk.com/api/v2/help_center/pt-br/articles/360060357051.json" TargetMode="External"/><Relationship Id="rId587" Type="http://schemas.openxmlformats.org/officeDocument/2006/relationships/hyperlink" Target="https://wilsonsonstrg.zendesk.com/api/v2/help_center/pt-br/articles/360039866151.json" TargetMode="External"/><Relationship Id="rId102" Type="http://schemas.openxmlformats.org/officeDocument/2006/relationships/hyperlink" Target="https://atendimento.teconsvonline.com.br/hc/pt-br/articles/33908704901645-Cobran%C3%A7as-de-transporte-Modal-mar%C3%ADtimo" TargetMode="External"/><Relationship Id="rId344" Type="http://schemas.openxmlformats.org/officeDocument/2006/relationships/hyperlink" Target="https://atendimento.teconsvonline.com.br/hc/pt-br/articles/360059917092-Quais-s%C3%A3o-os-procedimentos-para-pagamento-%C3%A0-vista" TargetMode="External"/><Relationship Id="rId586" Type="http://schemas.openxmlformats.org/officeDocument/2006/relationships/hyperlink" Target="https://atendimento.teconline.com.br/hc/pt-br/articles/360039870111-Acompanhamento-de-Processo-Exporta%C3%A7%C3%A3o" TargetMode="External"/><Relationship Id="rId101" Type="http://schemas.openxmlformats.org/officeDocument/2006/relationships/hyperlink" Target="https://wilsonsons.zendesk.com/api/v2/help_center/pt-br/articles/33908704901645.json" TargetMode="External"/><Relationship Id="rId343" Type="http://schemas.openxmlformats.org/officeDocument/2006/relationships/hyperlink" Target="https://wilsonsons.zendesk.com/api/v2/help_center/pt-br/articles/360059917092.json" TargetMode="External"/><Relationship Id="rId585" Type="http://schemas.openxmlformats.org/officeDocument/2006/relationships/hyperlink" Target="https://wilsonsonstrg.zendesk.com/api/v2/help_center/pt-br/articles/360039870111.json" TargetMode="External"/><Relationship Id="rId100" Type="http://schemas.openxmlformats.org/officeDocument/2006/relationships/hyperlink" Target="https://atendimento.teconsvonline.com.br/hc/pt-br/articles/34282873411469-Programa%C3%A7%C3%A3o-de-funcionamento-Carnaval-2025" TargetMode="External"/><Relationship Id="rId342" Type="http://schemas.openxmlformats.org/officeDocument/2006/relationships/hyperlink" Target="https://atendimento.teconsvonline.com.br/hc/pt-br/articles/360059917112-N%C3%A3o-recebi-minha-fatura-por-e-mail-O-que-devo-fazer" TargetMode="External"/><Relationship Id="rId584" Type="http://schemas.openxmlformats.org/officeDocument/2006/relationships/hyperlink" Target="https://atendimento.teconline.com.br/hc/pt-br/articles/360039467172-Or%C3%A7amento-de-Exporta%C3%A7%C3%A3o" TargetMode="External"/><Relationship Id="rId338" Type="http://schemas.openxmlformats.org/officeDocument/2006/relationships/hyperlink" Target="https://atendimento.teconsvonline.com.br/hc/pt-br/articles/360060357131-Como-devo-consultar-a-recep%C3%A7%C3%A3o-da-carga-e-ou-o-desembara%C3%A7o-da-DUE" TargetMode="External"/><Relationship Id="rId337" Type="http://schemas.openxmlformats.org/officeDocument/2006/relationships/hyperlink" Target="https://wilsonsons.zendesk.com/api/v2/help_center/pt-br/articles/360060357131.json" TargetMode="External"/><Relationship Id="rId579" Type="http://schemas.openxmlformats.org/officeDocument/2006/relationships/hyperlink" Target="https://wilsonsonstrg.zendesk.com/api/v2/help_center/pt-br/articles/360040097051.json" TargetMode="External"/><Relationship Id="rId336" Type="http://schemas.openxmlformats.org/officeDocument/2006/relationships/hyperlink" Target="https://atendimento.teconsvonline.com.br/hc/pt-br/articles/360059917152--Como-posso-consultar-detalhes-de-um-container" TargetMode="External"/><Relationship Id="rId578" Type="http://schemas.openxmlformats.org/officeDocument/2006/relationships/hyperlink" Target="https://atendimento.teconline.com.br/hc/pt-br/articles/360040837671-Agendamento-de-Container-Alugado" TargetMode="External"/><Relationship Id="rId335" Type="http://schemas.openxmlformats.org/officeDocument/2006/relationships/hyperlink" Target="https://wilsonsons.zendesk.com/api/v2/help_center/pt-br/articles/360059917152.json" TargetMode="External"/><Relationship Id="rId577" Type="http://schemas.openxmlformats.org/officeDocument/2006/relationships/hyperlink" Target="https://wilsonsonstrg.zendesk.com/api/v2/help_center/pt-br/articles/360040837671.json" TargetMode="External"/><Relationship Id="rId339" Type="http://schemas.openxmlformats.org/officeDocument/2006/relationships/hyperlink" Target="https://wilsonsons.zendesk.com/api/v2/help_center/pt-br/articles/360059917132.json" TargetMode="External"/><Relationship Id="rId330" Type="http://schemas.openxmlformats.org/officeDocument/2006/relationships/hyperlink" Target="https://atendimento.teconsvonline.com.br/hc/pt-br/articles/360059917192-Como-solicitar-a-pesagem-VGM" TargetMode="External"/><Relationship Id="rId572" Type="http://schemas.openxmlformats.org/officeDocument/2006/relationships/hyperlink" Target="https://atendimento.teconline.com.br/hc/pt-br/articles/360040428672-Agendamento-de-Retirada-de-Devolu%C3%A7%C3%A3o-Exporta%C3%A7%C3%A3o-Cabotagem" TargetMode="External"/><Relationship Id="rId571" Type="http://schemas.openxmlformats.org/officeDocument/2006/relationships/hyperlink" Target="https://wilsonsonstrg.zendesk.com/api/v2/help_center/pt-br/articles/360040428672.json" TargetMode="External"/><Relationship Id="rId570" Type="http://schemas.openxmlformats.org/officeDocument/2006/relationships/hyperlink" Target="https://atendimento.teconline.com.br/hc/pt-br/articles/360043898131-Atualiza%C3%A7%C3%A3o-de-senha" TargetMode="External"/><Relationship Id="rId334" Type="http://schemas.openxmlformats.org/officeDocument/2006/relationships/hyperlink" Target="https://atendimento.teconsvonline.com.br/hc/pt-br/articles/360059917172-Quando-devo-incluir-a-informa%C3%A7%C3%A3o-de-DAT-Documento-de-Acompanhamento-de-Tr%C3%A2nsito" TargetMode="External"/><Relationship Id="rId576" Type="http://schemas.openxmlformats.org/officeDocument/2006/relationships/hyperlink" Target="https://atendimento.teconline.com.br/hc/pt-br/articles/360040840231-Agendamento-de-Exporta%C3%A7%C3%A3o-Cheio" TargetMode="External"/><Relationship Id="rId333" Type="http://schemas.openxmlformats.org/officeDocument/2006/relationships/hyperlink" Target="https://wilsonsons.zendesk.com/api/v2/help_center/pt-br/articles/360059917172.json" TargetMode="External"/><Relationship Id="rId575" Type="http://schemas.openxmlformats.org/officeDocument/2006/relationships/hyperlink" Target="https://wilsonsonstrg.zendesk.com/api/v2/help_center/pt-br/articles/360040840231.json" TargetMode="External"/><Relationship Id="rId332" Type="http://schemas.openxmlformats.org/officeDocument/2006/relationships/hyperlink" Target="https://atendimento.teconsvonline.com.br/hc/pt-br/articles/360060357151-Como-cancelar-ou-editar-um-agendamento-de-container" TargetMode="External"/><Relationship Id="rId574" Type="http://schemas.openxmlformats.org/officeDocument/2006/relationships/hyperlink" Target="https://atendimento.teconline.com.br/hc/pt-br/articles/360040410632-Agendamento-de-Exporta%C3%A7%C3%A3o-Cheio-MAPA" TargetMode="External"/><Relationship Id="rId331" Type="http://schemas.openxmlformats.org/officeDocument/2006/relationships/hyperlink" Target="https://wilsonsons.zendesk.com/api/v2/help_center/pt-br/articles/360060357151.json" TargetMode="External"/><Relationship Id="rId573" Type="http://schemas.openxmlformats.org/officeDocument/2006/relationships/hyperlink" Target="https://wilsonsonstrg.zendesk.com/api/v2/help_center/pt-br/articles/360040410632.json" TargetMode="External"/><Relationship Id="rId370" Type="http://schemas.openxmlformats.org/officeDocument/2006/relationships/hyperlink" Target="https://atendimento.teconsvonline.com.br/hc/pt-br/articles/360039477092-Como-incluir-documentos-para-libera%C3%A7%C3%A3o-de-carga-de-importa%C3%A7%C3%A3o" TargetMode="External"/><Relationship Id="rId129" Type="http://schemas.openxmlformats.org/officeDocument/2006/relationships/hyperlink" Target="https://wilsonsons.zendesk.com/api/v2/help_center/pt-br/articles/27637289639309.json" TargetMode="External"/><Relationship Id="rId128" Type="http://schemas.openxmlformats.org/officeDocument/2006/relationships/hyperlink" Target="https://atendimento.teconsvonline.com.br/hc/pt-br/articles/27696971298701-Minha-unidade-j%C3%A1-foi-posicionada" TargetMode="External"/><Relationship Id="rId127" Type="http://schemas.openxmlformats.org/officeDocument/2006/relationships/hyperlink" Target="https://wilsonsons.zendesk.com/api/v2/help_center/pt-br/articles/27696971298701.json" TargetMode="External"/><Relationship Id="rId369" Type="http://schemas.openxmlformats.org/officeDocument/2006/relationships/hyperlink" Target="https://wilsonsons.zendesk.com/api/v2/help_center/pt-br/articles/360039477092.json" TargetMode="External"/><Relationship Id="rId126" Type="http://schemas.openxmlformats.org/officeDocument/2006/relationships/hyperlink" Target="https://atendimento.teconsvonline.com.br/hc/pt-br/articles/27707345547405-Agendamento-de-carga-solta-manual-ou-mecanizado" TargetMode="External"/><Relationship Id="rId368" Type="http://schemas.openxmlformats.org/officeDocument/2006/relationships/hyperlink" Target="https://atendimento.teconsvonline.com.br/hc/pt-br/articles/360039477132-Como-consultar-meu-faturamento-2-via-de-nota" TargetMode="External"/><Relationship Id="rId121" Type="http://schemas.openxmlformats.org/officeDocument/2006/relationships/hyperlink" Target="https://wilsonsons.zendesk.com/api/v2/help_center/pt-br/articles/27948299859213.json" TargetMode="External"/><Relationship Id="rId363" Type="http://schemas.openxmlformats.org/officeDocument/2006/relationships/hyperlink" Target="https://wilsonsons.zendesk.com/api/v2/help_center/pt-br/articles/360039880171.json" TargetMode="External"/><Relationship Id="rId120" Type="http://schemas.openxmlformats.org/officeDocument/2006/relationships/hyperlink" Target="https://atendimento.teconsvonline.com.br/hc/pt-br/articles/28123310185997-Como-solicitar-An%C3%A1lise-Cr%C3%ADtica" TargetMode="External"/><Relationship Id="rId362" Type="http://schemas.openxmlformats.org/officeDocument/2006/relationships/hyperlink" Target="https://atendimento.teconsvonline.com.br/hc/pt-br/articles/360047652432-WhatsApp-Novo-canal-de-Atendimento" TargetMode="External"/><Relationship Id="rId361" Type="http://schemas.openxmlformats.org/officeDocument/2006/relationships/hyperlink" Target="https://wilsonsons.zendesk.com/api/v2/help_center/pt-br/articles/360047652432.json" TargetMode="External"/><Relationship Id="rId360" Type="http://schemas.openxmlformats.org/officeDocument/2006/relationships/hyperlink" Target="https://atendimento.teconsvonline.com.br/hc/pt-br/articles/360048127531-Como-posso-entrar-em-contato-com-a-equipe-de-Atendimento" TargetMode="External"/><Relationship Id="rId125" Type="http://schemas.openxmlformats.org/officeDocument/2006/relationships/hyperlink" Target="https://wilsonsons.zendesk.com/api/v2/help_center/pt-br/articles/27707345547405.json" TargetMode="External"/><Relationship Id="rId367" Type="http://schemas.openxmlformats.org/officeDocument/2006/relationships/hyperlink" Target="https://wilsonsons.zendesk.com/api/v2/help_center/pt-br/articles/360039477132.json" TargetMode="External"/><Relationship Id="rId124" Type="http://schemas.openxmlformats.org/officeDocument/2006/relationships/hyperlink" Target="https://atendimento.teconsvonline.com.br/hc/pt-br/articles/27772709459853-Como-solicitar-um-boleto-avulso" TargetMode="External"/><Relationship Id="rId366" Type="http://schemas.openxmlformats.org/officeDocument/2006/relationships/hyperlink" Target="https://atendimento.teconsvonline.com.br/hc/pt-br/articles/360039880091-Como-solicitar-estimativa-de-c%C3%A1lculo-ou-boleto" TargetMode="External"/><Relationship Id="rId123" Type="http://schemas.openxmlformats.org/officeDocument/2006/relationships/hyperlink" Target="https://wilsonsons.zendesk.com/api/v2/help_center/pt-br/articles/27772709459853.json" TargetMode="External"/><Relationship Id="rId365" Type="http://schemas.openxmlformats.org/officeDocument/2006/relationships/hyperlink" Target="https://wilsonsons.zendesk.com/api/v2/help_center/pt-br/articles/360039880091.json" TargetMode="External"/><Relationship Id="rId122" Type="http://schemas.openxmlformats.org/officeDocument/2006/relationships/hyperlink" Target="https://atendimento.teconsvonline.com.br/hc/pt-br/articles/27948299859213-Como-solicitar-uma-libera%C3%A7%C3%A3o-de-Cabotagem-atrav%C3%A9s-do-portal" TargetMode="External"/><Relationship Id="rId364" Type="http://schemas.openxmlformats.org/officeDocument/2006/relationships/hyperlink" Target="https://atendimento.teconsvonline.com.br/hc/pt-br/articles/360039880171-Como-acompanhar-o-meu-processo" TargetMode="External"/><Relationship Id="rId95" Type="http://schemas.openxmlformats.org/officeDocument/2006/relationships/hyperlink" Target="https://wilsonsons.zendesk.com/api/v2/help_center/pt-br/articles/34283089416717.json" TargetMode="External"/><Relationship Id="rId94" Type="http://schemas.openxmlformats.org/officeDocument/2006/relationships/hyperlink" Target="https://atendimento.teconsvonline.com.br/hc/pt-br/articles/34283158492045-AVISO-Regras-de-Circula%C3%A7%C3%A3o-no-Porto-de-Salvador" TargetMode="External"/><Relationship Id="rId97" Type="http://schemas.openxmlformats.org/officeDocument/2006/relationships/hyperlink" Target="https://wilsonsons.zendesk.com/api/v2/help_center/pt-br/articles/34283041708045.json" TargetMode="External"/><Relationship Id="rId96" Type="http://schemas.openxmlformats.org/officeDocument/2006/relationships/hyperlink" Target="https://atendimento.teconsvonline.com.br/hc/pt-br/articles/34283089416717-Comunicado-Altera%C3%A7%C3%A3o-dos-agendamentos-Depot" TargetMode="External"/><Relationship Id="rId99" Type="http://schemas.openxmlformats.org/officeDocument/2006/relationships/hyperlink" Target="https://wilsonsons.zendesk.com/api/v2/help_center/pt-br/articles/34282873411469.json" TargetMode="External"/><Relationship Id="rId98" Type="http://schemas.openxmlformats.org/officeDocument/2006/relationships/hyperlink" Target="https://atendimento.teconsvonline.com.br/hc/pt-br/articles/34283041708045-Comunicado-Novo-sistema-OCR" TargetMode="External"/><Relationship Id="rId91" Type="http://schemas.openxmlformats.org/officeDocument/2006/relationships/hyperlink" Target="https://wilsonsons.zendesk.com/api/v2/help_center/pt-br/articles/34540951766413.json" TargetMode="External"/><Relationship Id="rId90" Type="http://schemas.openxmlformats.org/officeDocument/2006/relationships/hyperlink" Target="https://atendimento.teconsvonline.com.br/hc/pt-br/articles/34752710223245-COMO-SOLICITAR-AO-ARMAZ%C3%89M-PARA-MANTER-JANELA-DE-ATENDIMENTO" TargetMode="External"/><Relationship Id="rId93" Type="http://schemas.openxmlformats.org/officeDocument/2006/relationships/hyperlink" Target="https://wilsonsons.zendesk.com/api/v2/help_center/pt-br/articles/34283158492045.json" TargetMode="External"/><Relationship Id="rId92" Type="http://schemas.openxmlformats.org/officeDocument/2006/relationships/hyperlink" Target="https://atendimento.teconsvonline.com.br/hc/pt-br/articles/34540951766413-EMAIL-PARA-INATIVIDADE-DE-CHAT" TargetMode="External"/><Relationship Id="rId118" Type="http://schemas.openxmlformats.org/officeDocument/2006/relationships/hyperlink" Target="https://atendimento.teconsvonline.com.br/hc/pt-br/articles/28261675994253-Como-funciona-o-desembara%C3%A7o-de-exporta%C3%A7%C3%A3o-com-o-Tecon-Salvador" TargetMode="External"/><Relationship Id="rId117" Type="http://schemas.openxmlformats.org/officeDocument/2006/relationships/hyperlink" Target="https://wilsonsons.zendesk.com/api/v2/help_center/pt-br/articles/28261675994253.json" TargetMode="External"/><Relationship Id="rId359" Type="http://schemas.openxmlformats.org/officeDocument/2006/relationships/hyperlink" Target="https://wilsonsons.zendesk.com/api/v2/help_center/pt-br/articles/360048127531.json" TargetMode="External"/><Relationship Id="rId116" Type="http://schemas.openxmlformats.org/officeDocument/2006/relationships/hyperlink" Target="https://atendimento.teconsvonline.com.br/hc/pt-br/articles/28274881247117-Fluxo-de-Avarias-Internas" TargetMode="External"/><Relationship Id="rId358" Type="http://schemas.openxmlformats.org/officeDocument/2006/relationships/hyperlink" Target="https://atendimento.teconsvonline.com.br/hc/pt-br/articles/360048128011-Expediente-Tecon-Salvador" TargetMode="External"/><Relationship Id="rId115" Type="http://schemas.openxmlformats.org/officeDocument/2006/relationships/hyperlink" Target="https://wilsonsons.zendesk.com/api/v2/help_center/pt-br/articles/28274881247117.json" TargetMode="External"/><Relationship Id="rId357" Type="http://schemas.openxmlformats.org/officeDocument/2006/relationships/hyperlink" Target="https://wilsonsons.zendesk.com/api/v2/help_center/pt-br/articles/360048128011.json" TargetMode="External"/><Relationship Id="rId599" Type="http://schemas.openxmlformats.org/officeDocument/2006/relationships/hyperlink" Target="https://wilsonsonstrg.zendesk.com/api/v2/help_center/pt-br/articles/360039238731.json" TargetMode="External"/><Relationship Id="rId119" Type="http://schemas.openxmlformats.org/officeDocument/2006/relationships/hyperlink" Target="https://wilsonsons.zendesk.com/api/v2/help_center/pt-br/articles/28123310185997.json" TargetMode="External"/><Relationship Id="rId110" Type="http://schemas.openxmlformats.org/officeDocument/2006/relationships/hyperlink" Target="https://atendimento.teconsvonline.com.br/hc/pt-br/articles/29462863199501-Associar-Booking-Depot-Guia-de-Tela-para-Armadores" TargetMode="External"/><Relationship Id="rId352" Type="http://schemas.openxmlformats.org/officeDocument/2006/relationships/hyperlink" Target="https://atendimento.teconsvonline.com.br/hc/pt-br/articles/360057068151-Programa%C3%A7%C3%A3o-de-funcionamento-Carnaval" TargetMode="External"/><Relationship Id="rId594" Type="http://schemas.openxmlformats.org/officeDocument/2006/relationships/hyperlink" Target="https://atendimento.teconline.com.br/hc/pt-br/articles/360038852332-OS-WEB-Solicita%C3%A7%C3%A3o-e-Consulta-de-Servi%C3%A7os" TargetMode="External"/><Relationship Id="rId351" Type="http://schemas.openxmlformats.org/officeDocument/2006/relationships/hyperlink" Target="https://wilsonsons.zendesk.com/api/v2/help_center/pt-br/articles/360057068151.json" TargetMode="External"/><Relationship Id="rId593" Type="http://schemas.openxmlformats.org/officeDocument/2006/relationships/hyperlink" Target="https://wilsonsonstrg.zendesk.com/api/v2/help_center/pt-br/articles/360038852332.json" TargetMode="External"/><Relationship Id="rId350" Type="http://schemas.openxmlformats.org/officeDocument/2006/relationships/hyperlink" Target="https://atendimento.teconsvonline.com.br/hc/pt-br/articles/360058295252-Agendamento-de-Coleta-de-Container-dry" TargetMode="External"/><Relationship Id="rId592" Type="http://schemas.openxmlformats.org/officeDocument/2006/relationships/hyperlink" Target="https://atendimento.teconline.com.br/hc/pt-br/articles/360039250551-Solicita%C3%A7%C3%A3o-de-VGM" TargetMode="External"/><Relationship Id="rId591" Type="http://schemas.openxmlformats.org/officeDocument/2006/relationships/hyperlink" Target="https://wilsonsonstrg.zendesk.com/api/v2/help_center/pt-br/articles/360039250551.json" TargetMode="External"/><Relationship Id="rId114" Type="http://schemas.openxmlformats.org/officeDocument/2006/relationships/hyperlink" Target="https://atendimento.teconsvonline.com.br/hc/pt-br/articles/29368705103245-RAMAIS" TargetMode="External"/><Relationship Id="rId356" Type="http://schemas.openxmlformats.org/officeDocument/2006/relationships/hyperlink" Target="https://atendimento.teconsvonline.com.br/hc/pt-br/articles/360048128671-Comunicado-Savig-003-2020-Obrigatoriedade-escaneamento" TargetMode="External"/><Relationship Id="rId598" Type="http://schemas.openxmlformats.org/officeDocument/2006/relationships/hyperlink" Target="https://atendimento.teconline.com.br/hc/pt-br/articles/360038845112-Consulta-de-Nota-Fiscal-EDI-Exporta%C3%A7%C3%A3o-Cabotagem" TargetMode="External"/><Relationship Id="rId113" Type="http://schemas.openxmlformats.org/officeDocument/2006/relationships/hyperlink" Target="https://wilsonsons.zendesk.com/api/v2/help_center/pt-br/articles/29368705103245.json" TargetMode="External"/><Relationship Id="rId355" Type="http://schemas.openxmlformats.org/officeDocument/2006/relationships/hyperlink" Target="https://wilsonsons.zendesk.com/api/v2/help_center/pt-br/articles/360048128671.json" TargetMode="External"/><Relationship Id="rId597" Type="http://schemas.openxmlformats.org/officeDocument/2006/relationships/hyperlink" Target="https://wilsonsonstrg.zendesk.com/api/v2/help_center/pt-br/articles/360038845112.json" TargetMode="External"/><Relationship Id="rId112" Type="http://schemas.openxmlformats.org/officeDocument/2006/relationships/hyperlink" Target="https://atendimento.teconsvonline.com.br/hc/pt-br/articles/29407516852109-Associar-Booking-Depot" TargetMode="External"/><Relationship Id="rId354" Type="http://schemas.openxmlformats.org/officeDocument/2006/relationships/hyperlink" Target="https://atendimento.teconsvonline.com.br/hc/pt-br/articles/360048461712-Como-solicitar-meu-cadastro-no-Tecon-Salvador" TargetMode="External"/><Relationship Id="rId596" Type="http://schemas.openxmlformats.org/officeDocument/2006/relationships/hyperlink" Target="https://atendimento.teconline.com.br/hc/pt-br/articles/360039244611-Envio-de-Nota-Fiscal-via-EDI-Exporta%C3%A7%C3%A3o-Cabotagem" TargetMode="External"/><Relationship Id="rId111" Type="http://schemas.openxmlformats.org/officeDocument/2006/relationships/hyperlink" Target="https://wilsonsons.zendesk.com/api/v2/help_center/pt-br/articles/29407516852109.json" TargetMode="External"/><Relationship Id="rId353" Type="http://schemas.openxmlformats.org/officeDocument/2006/relationships/hyperlink" Target="https://wilsonsons.zendesk.com/api/v2/help_center/pt-br/articles/360048461712.json" TargetMode="External"/><Relationship Id="rId595" Type="http://schemas.openxmlformats.org/officeDocument/2006/relationships/hyperlink" Target="https://wilsonsonstrg.zendesk.com/api/v2/help_center/pt-br/articles/360039244611.json" TargetMode="External"/><Relationship Id="rId305" Type="http://schemas.openxmlformats.org/officeDocument/2006/relationships/hyperlink" Target="https://wilsonsons.zendesk.com/api/v2/help_center/pt-br/articles/360060359511.json" TargetMode="External"/><Relationship Id="rId547" Type="http://schemas.openxmlformats.org/officeDocument/2006/relationships/hyperlink" Target="https://wilsonsonstrg.zendesk.com/api/v2/help_center/pt-br/articles/4412812626445.json" TargetMode="External"/><Relationship Id="rId789" Type="http://schemas.openxmlformats.org/officeDocument/2006/relationships/hyperlink" Target="https://wilsonsonstrg.zendesk.com/api/v2/help_center/pt-br/articles/4404537138189.json" TargetMode="External"/><Relationship Id="rId304" Type="http://schemas.openxmlformats.org/officeDocument/2006/relationships/hyperlink" Target="https://atendimento.teconsvonline.com.br/hc/pt-br/articles/360060359551-N%C3%A3o-tenho-o-XML-da-NF-Posso-realizar-agendamento-de-entrada-de-container" TargetMode="External"/><Relationship Id="rId546" Type="http://schemas.openxmlformats.org/officeDocument/2006/relationships/hyperlink" Target="https://atendimento.teconline.com.br/hc/pt-br/articles/4414741485197-Desova-Pier" TargetMode="External"/><Relationship Id="rId788" Type="http://schemas.openxmlformats.org/officeDocument/2006/relationships/hyperlink" Target="https://atendimento.teconline.com.br/hc/pt-br/articles/4405629521421-19-07-21-Container-vazio-com-portas-abertas" TargetMode="External"/><Relationship Id="rId303" Type="http://schemas.openxmlformats.org/officeDocument/2006/relationships/hyperlink" Target="https://wilsonsons.zendesk.com/api/v2/help_center/pt-br/articles/360060359551.json" TargetMode="External"/><Relationship Id="rId545" Type="http://schemas.openxmlformats.org/officeDocument/2006/relationships/hyperlink" Target="https://wilsonsonstrg.zendesk.com/api/v2/help_center/pt-br/articles/4414741485197.json" TargetMode="External"/><Relationship Id="rId787" Type="http://schemas.openxmlformats.org/officeDocument/2006/relationships/hyperlink" Target="https://wilsonsonstrg.zendesk.com/api/v2/help_center/pt-br/articles/4405629521421.json" TargetMode="External"/><Relationship Id="rId302" Type="http://schemas.openxmlformats.org/officeDocument/2006/relationships/hyperlink" Target="https://atendimento.teconsvonline.com.br/hc/pt-br/articles/360060359871-Quais-s%C3%A3o-os-custos-envolvidos-no-processo-de-exporta%C3%A7%C3%A3o" TargetMode="External"/><Relationship Id="rId544" Type="http://schemas.openxmlformats.org/officeDocument/2006/relationships/hyperlink" Target="https://atendimento.teconline.com.br/hc/pt-br/articles/6615245310605-Cadastro-e-valida%C3%A7%C3%A3o-de-Danfe-para-agendamento-DI" TargetMode="External"/><Relationship Id="rId786" Type="http://schemas.openxmlformats.org/officeDocument/2006/relationships/hyperlink" Target="https://atendimento.teconline.com.br/hc/pt-br/articles/4420759921677-14-01-22-Solicita%C3%A7%C3%A3o-de-desova-via-Teconline" TargetMode="External"/><Relationship Id="rId309" Type="http://schemas.openxmlformats.org/officeDocument/2006/relationships/hyperlink" Target="https://wilsonsons.zendesk.com/api/v2/help_center/pt-br/articles/360059919392.json" TargetMode="External"/><Relationship Id="rId308" Type="http://schemas.openxmlformats.org/officeDocument/2006/relationships/hyperlink" Target="https://atendimento.teconsvonline.com.br/hc/pt-br/articles/360059919412-Meu-motorista-foi-bloqueado-como-verificar-a-informa%C3%A7%C3%A3o" TargetMode="External"/><Relationship Id="rId307" Type="http://schemas.openxmlformats.org/officeDocument/2006/relationships/hyperlink" Target="https://wilsonsons.zendesk.com/api/v2/help_center/pt-br/articles/360059919412.json" TargetMode="External"/><Relationship Id="rId549" Type="http://schemas.openxmlformats.org/officeDocument/2006/relationships/hyperlink" Target="https://wilsonsonstrg.zendesk.com/api/v2/help_center/pt-br/articles/4410772250125.json" TargetMode="External"/><Relationship Id="rId306" Type="http://schemas.openxmlformats.org/officeDocument/2006/relationships/hyperlink" Target="https://atendimento.teconsvonline.com.br/hc/pt-br/articles/360060359511-Meu-motorista-ainda-n%C3%A3o-tem-cadastro-Com-proceder" TargetMode="External"/><Relationship Id="rId548" Type="http://schemas.openxmlformats.org/officeDocument/2006/relationships/hyperlink" Target="https://atendimento.teconline.com.br/hc/pt-br/articles/4412812626445-Procedimentos-para-Acesso-ao-Terminal" TargetMode="External"/><Relationship Id="rId781" Type="http://schemas.openxmlformats.org/officeDocument/2006/relationships/hyperlink" Target="https://wilsonsonstrg.zendesk.com/api/v2/help_center/pt-br/articles/4488765940493.json" TargetMode="External"/><Relationship Id="rId780" Type="http://schemas.openxmlformats.org/officeDocument/2006/relationships/hyperlink" Target="https://atendimento.teconline.com.br/hc/pt-br/articles/4801646821901-14-03-22-Novo-Procedimento-Agendamento-de-Exporta%C3%A7%C3%A3o" TargetMode="External"/><Relationship Id="rId301" Type="http://schemas.openxmlformats.org/officeDocument/2006/relationships/hyperlink" Target="https://wilsonsons.zendesk.com/api/v2/help_center/pt-br/articles/360060359871.json" TargetMode="External"/><Relationship Id="rId543" Type="http://schemas.openxmlformats.org/officeDocument/2006/relationships/hyperlink" Target="https://wilsonsonstrg.zendesk.com/api/v2/help_center/pt-br/articles/6615245310605.json" TargetMode="External"/><Relationship Id="rId785" Type="http://schemas.openxmlformats.org/officeDocument/2006/relationships/hyperlink" Target="https://wilsonsonstrg.zendesk.com/api/v2/help_center/pt-br/articles/4420759921677.json" TargetMode="External"/><Relationship Id="rId300" Type="http://schemas.openxmlformats.org/officeDocument/2006/relationships/hyperlink" Target="https://atendimento.teconsvonline.com.br/hc/pt-br/articles/360060359971-Unidades-de-exporta%C3%A7%C3%A3o-s%C3%A3o-escaneadas" TargetMode="External"/><Relationship Id="rId542" Type="http://schemas.openxmlformats.org/officeDocument/2006/relationships/hyperlink" Target="https://atendimento.teconline.com.br/hc/pt-br/articles/9142649688077-Retifica%C3%A7%C3%A3o-Nota-Fiscal-de-Exporta%C3%A7%C3%A3o-Carga-Avulsa" TargetMode="External"/><Relationship Id="rId784" Type="http://schemas.openxmlformats.org/officeDocument/2006/relationships/hyperlink" Target="https://atendimento.teconline.com.br/hc/pt-br/articles/4423660733069-31-01-22-Pagamento-via-PIX-para-facilitar-seu-dia-a-dia" TargetMode="External"/><Relationship Id="rId541" Type="http://schemas.openxmlformats.org/officeDocument/2006/relationships/hyperlink" Target="https://wilsonsonstrg.zendesk.com/api/v2/help_center/pt-br/articles/9142649688077.json" TargetMode="External"/><Relationship Id="rId783" Type="http://schemas.openxmlformats.org/officeDocument/2006/relationships/hyperlink" Target="https://wilsonsonstrg.zendesk.com/api/v2/help_center/pt-br/articles/4423660733069.json" TargetMode="External"/><Relationship Id="rId540" Type="http://schemas.openxmlformats.org/officeDocument/2006/relationships/hyperlink" Target="https://atendimento.teconline.com.br/hc/pt-br/articles/10819800438797-21-11-22-Tecon-Santa-Clara-Comunica" TargetMode="External"/><Relationship Id="rId782" Type="http://schemas.openxmlformats.org/officeDocument/2006/relationships/hyperlink" Target="https://atendimento.teconline.com.br/hc/pt-br/articles/4488765940493-Onboarding-para-facilitar-seu-dia-a-dia" TargetMode="External"/><Relationship Id="rId536" Type="http://schemas.openxmlformats.org/officeDocument/2006/relationships/hyperlink" Target="https://atendimento.teconline.com.br/hc/pt-br/articles/10903221771277-Libera%C3%A7%C3%A3o-e-Consulta-Documental-Cabotagem-Descarga" TargetMode="External"/><Relationship Id="rId778" Type="http://schemas.openxmlformats.org/officeDocument/2006/relationships/hyperlink" Target="https://atendimento.teconline.com.br/hc/pt-br/articles/5063187725709-25-03-22-Altera%C3%A7%C3%A3o-de-Dom%C3%ADnio-do-E-mail" TargetMode="External"/><Relationship Id="rId535" Type="http://schemas.openxmlformats.org/officeDocument/2006/relationships/hyperlink" Target="https://wilsonsonstrg.zendesk.com/api/v2/help_center/pt-br/articles/10903221771277.json" TargetMode="External"/><Relationship Id="rId777" Type="http://schemas.openxmlformats.org/officeDocument/2006/relationships/hyperlink" Target="https://wilsonsonstrg.zendesk.com/api/v2/help_center/pt-br/articles/5063187725709.json" TargetMode="External"/><Relationship Id="rId534" Type="http://schemas.openxmlformats.org/officeDocument/2006/relationships/hyperlink" Target="https://atendimento.teconline.com.br/hc/pt-br/articles/10909721856525-25-11-22-Levante-de-Carga-em-DTA-Armaz%C3%A9m-Importa%C3%A7%C3%A3o" TargetMode="External"/><Relationship Id="rId776" Type="http://schemas.openxmlformats.org/officeDocument/2006/relationships/hyperlink" Target="https://atendimento.teconline.com.br/hc/pt-br/articles/6699678891277-06-06-22-Agendamento-de-Importa%C3%A7%C3%A3o-DANFE" TargetMode="External"/><Relationship Id="rId533" Type="http://schemas.openxmlformats.org/officeDocument/2006/relationships/hyperlink" Target="https://wilsonsonstrg.zendesk.com/api/v2/help_center/pt-br/articles/10909721856525.json" TargetMode="External"/><Relationship Id="rId775" Type="http://schemas.openxmlformats.org/officeDocument/2006/relationships/hyperlink" Target="https://wilsonsonstrg.zendesk.com/api/v2/help_center/pt-br/articles/6699678891277.json" TargetMode="External"/><Relationship Id="rId539" Type="http://schemas.openxmlformats.org/officeDocument/2006/relationships/hyperlink" Target="https://wilsonsonstrg.zendesk.com/api/v2/help_center/pt-br/articles/10819800438797.json" TargetMode="External"/><Relationship Id="rId538" Type="http://schemas.openxmlformats.org/officeDocument/2006/relationships/hyperlink" Target="https://atendimento.teconline.com.br/hc/pt-br/articles/10820290343309-21-11-22-Altera%C3%A7%C3%A3o-no-Expediente" TargetMode="External"/><Relationship Id="rId537" Type="http://schemas.openxmlformats.org/officeDocument/2006/relationships/hyperlink" Target="https://wilsonsonstrg.zendesk.com/api/v2/help_center/pt-br/articles/10820290343309.json" TargetMode="External"/><Relationship Id="rId779" Type="http://schemas.openxmlformats.org/officeDocument/2006/relationships/hyperlink" Target="https://wilsonsonstrg.zendesk.com/api/v2/help_center/pt-br/articles/4801646821901.json" TargetMode="External"/><Relationship Id="rId770" Type="http://schemas.openxmlformats.org/officeDocument/2006/relationships/hyperlink" Target="https://atendimento.teconline.com.br/hc/pt-br/articles/8315342664973-12-07-22-VOC%C3%8A-PEDIU-Melhorias-no-Agendamento" TargetMode="External"/><Relationship Id="rId532" Type="http://schemas.openxmlformats.org/officeDocument/2006/relationships/hyperlink" Target="https://atendimento.teconline.com.br/hc/pt-br/articles/11267242185741-07-12-22-Feriado-de-Natal-e-Ano-Novo" TargetMode="External"/><Relationship Id="rId774" Type="http://schemas.openxmlformats.org/officeDocument/2006/relationships/hyperlink" Target="https://atendimento.teconline.com.br/hc/pt-br/articles/6790997731853-09-06-22-Agendamento-de-Vistoria-MAPA" TargetMode="External"/><Relationship Id="rId531" Type="http://schemas.openxmlformats.org/officeDocument/2006/relationships/hyperlink" Target="https://wilsonsonstrg.zendesk.com/api/v2/help_center/pt-br/articles/11267242185741.json" TargetMode="External"/><Relationship Id="rId773" Type="http://schemas.openxmlformats.org/officeDocument/2006/relationships/hyperlink" Target="https://wilsonsonstrg.zendesk.com/api/v2/help_center/pt-br/articles/6790997731853.json" TargetMode="External"/><Relationship Id="rId530" Type="http://schemas.openxmlformats.org/officeDocument/2006/relationships/hyperlink" Target="https://atendimento.teconline.com.br/hc/pt-br/articles/11848928325901-Libera%C3%A7%C3%A3o-Documental-Importa%C3%A7%C3%A3o" TargetMode="External"/><Relationship Id="rId772" Type="http://schemas.openxmlformats.org/officeDocument/2006/relationships/hyperlink" Target="https://atendimento.teconline.com.br/hc/pt-br/articles/6887285472013-13-06-22-Carregamento-de-Container-Cheio" TargetMode="External"/><Relationship Id="rId771" Type="http://schemas.openxmlformats.org/officeDocument/2006/relationships/hyperlink" Target="https://wilsonsonstrg.zendesk.com/api/v2/help_center/pt-br/articles/6887285472013.json" TargetMode="External"/><Relationship Id="rId327" Type="http://schemas.openxmlformats.org/officeDocument/2006/relationships/hyperlink" Target="https://wilsonsons.zendesk.com/api/v2/help_center/pt-br/articles/360059917212.json" TargetMode="External"/><Relationship Id="rId569" Type="http://schemas.openxmlformats.org/officeDocument/2006/relationships/hyperlink" Target="https://wilsonsonstrg.zendesk.com/api/v2/help_center/pt-br/articles/360043898131.json" TargetMode="External"/><Relationship Id="rId326" Type="http://schemas.openxmlformats.org/officeDocument/2006/relationships/hyperlink" Target="https://atendimento.teconsvonline.com.br/hc/pt-br/articles/360059917872-Como-acessar-esse-Portal-de-Atendimento-Qual-meu-login-e-senha" TargetMode="External"/><Relationship Id="rId568" Type="http://schemas.openxmlformats.org/officeDocument/2006/relationships/hyperlink" Target="https://atendimento.teconline.com.br/hc/pt-br/articles/360050016032-Consulta-Sailing-Breakdown-Novo-Layout-Fernanda" TargetMode="External"/><Relationship Id="rId325" Type="http://schemas.openxmlformats.org/officeDocument/2006/relationships/hyperlink" Target="https://wilsonsons.zendesk.com/api/v2/help_center/pt-br/articles/360059917872.json" TargetMode="External"/><Relationship Id="rId567" Type="http://schemas.openxmlformats.org/officeDocument/2006/relationships/hyperlink" Target="https://wilsonsonstrg.zendesk.com/api/v2/help_center/pt-br/articles/360050016032.json" TargetMode="External"/><Relationship Id="rId324" Type="http://schemas.openxmlformats.org/officeDocument/2006/relationships/hyperlink" Target="https://atendimento.teconsvonline.com.br/hc/pt-br/articles/360059917992-Minha-senha-do-Portal-do-Cliente-expirou-O-que-devo-fazer" TargetMode="External"/><Relationship Id="rId566" Type="http://schemas.openxmlformats.org/officeDocument/2006/relationships/hyperlink" Target="https://atendimento.teconline.com.br/hc/pt-br/articles/360052831411-Consulta-Sailing-Breakdown" TargetMode="External"/><Relationship Id="rId329" Type="http://schemas.openxmlformats.org/officeDocument/2006/relationships/hyperlink" Target="https://wilsonsons.zendesk.com/api/v2/help_center/pt-br/articles/360059917192.json" TargetMode="External"/><Relationship Id="rId328" Type="http://schemas.openxmlformats.org/officeDocument/2006/relationships/hyperlink" Target="https://atendimento.teconsvonline.com.br/hc/pt-br/articles/360059917212-Como-solicitar-posicionamento-de-container-para-vistorias-canal-vermelho-e-outros" TargetMode="External"/><Relationship Id="rId561" Type="http://schemas.openxmlformats.org/officeDocument/2006/relationships/hyperlink" Target="https://wilsonsonstrg.zendesk.com/api/v2/help_center/pt-br/articles/360053838232.json" TargetMode="External"/><Relationship Id="rId560" Type="http://schemas.openxmlformats.org/officeDocument/2006/relationships/hyperlink" Target="https://atendimento.teconline.com.br/hc/pt-br/articles/360058171672-Envio-de-Curr%C3%ADculo" TargetMode="External"/><Relationship Id="rId323" Type="http://schemas.openxmlformats.org/officeDocument/2006/relationships/hyperlink" Target="https://wilsonsons.zendesk.com/api/v2/help_center/pt-br/articles/360059917992.json" TargetMode="External"/><Relationship Id="rId565" Type="http://schemas.openxmlformats.org/officeDocument/2006/relationships/hyperlink" Target="https://wilsonsonstrg.zendesk.com/api/v2/help_center/pt-br/articles/360052831411.json" TargetMode="External"/><Relationship Id="rId322" Type="http://schemas.openxmlformats.org/officeDocument/2006/relationships/hyperlink" Target="https://atendimento.teconsvonline.com.br/hc/pt-br/articles/360060358151-Esqueci-minha-senha-do-Portal-do-Cliente-o-que-devo-fazer" TargetMode="External"/><Relationship Id="rId564" Type="http://schemas.openxmlformats.org/officeDocument/2006/relationships/hyperlink" Target="https://atendimento.teconline.com.br/hc/pt-br/articles/360053571571-Solicita%C3%A7%C3%A3o-de-Carga-P%C3%A1tio-e-DTC" TargetMode="External"/><Relationship Id="rId321" Type="http://schemas.openxmlformats.org/officeDocument/2006/relationships/hyperlink" Target="https://wilsonsons.zendesk.com/api/v2/help_center/pt-br/articles/360060358151.json" TargetMode="External"/><Relationship Id="rId563" Type="http://schemas.openxmlformats.org/officeDocument/2006/relationships/hyperlink" Target="https://wilsonsonstrg.zendesk.com/api/v2/help_center/pt-br/articles/360053571571.json" TargetMode="External"/><Relationship Id="rId320" Type="http://schemas.openxmlformats.org/officeDocument/2006/relationships/hyperlink" Target="https://atendimento.teconsvonline.com.br/hc/pt-br/articles/360059918512-Como-solicitar-posicionamento-de-container-para-vistorias-canal-vermelho-e-outros" TargetMode="External"/><Relationship Id="rId562" Type="http://schemas.openxmlformats.org/officeDocument/2006/relationships/hyperlink" Target="https://atendimento.teconline.com.br/hc/pt-br/articles/360053838232-Alterar-Cliente-DTA-P%C3%A1tio-e-DTC" TargetMode="External"/><Relationship Id="rId316" Type="http://schemas.openxmlformats.org/officeDocument/2006/relationships/hyperlink" Target="https://atendimento.teconsvonline.com.br/hc/pt-br/articles/360060359431-Como-agendar-a-retirada-de-um-container" TargetMode="External"/><Relationship Id="rId558" Type="http://schemas.openxmlformats.org/officeDocument/2006/relationships/hyperlink" Target="https://atendimento.teconline.com.br/hc/pt-br/articles/360058846591-Lan%C3%A7amento-de-nota-fiscal-bagagem-Exporta%C3%A7%C3%A3o-Beta-com-Video" TargetMode="External"/><Relationship Id="rId315" Type="http://schemas.openxmlformats.org/officeDocument/2006/relationships/hyperlink" Target="https://wilsonsons.zendesk.com/api/v2/help_center/pt-br/articles/360060359431.json" TargetMode="External"/><Relationship Id="rId557" Type="http://schemas.openxmlformats.org/officeDocument/2006/relationships/hyperlink" Target="https://wilsonsonstrg.zendesk.com/api/v2/help_center/pt-br/articles/360058846591.json" TargetMode="External"/><Relationship Id="rId799" Type="http://schemas.openxmlformats.org/officeDocument/2006/relationships/hyperlink" Target="https://wilsonsonstrg.zendesk.com/api/v2/help_center/pt-br/articles/360053114852.json" TargetMode="External"/><Relationship Id="rId314" Type="http://schemas.openxmlformats.org/officeDocument/2006/relationships/hyperlink" Target="https://atendimento.teconsvonline.com.br/hc/pt-br/articles/360059919332-Como-agendar-a-retira-de-carga-solta-ou-crossdocking" TargetMode="External"/><Relationship Id="rId556" Type="http://schemas.openxmlformats.org/officeDocument/2006/relationships/hyperlink" Target="https://atendimento.teconline.com.br/hc/pt-br/articles/4402863718029-Como-realizar-reclama%C3%A7%C3%A3o" TargetMode="External"/><Relationship Id="rId798" Type="http://schemas.openxmlformats.org/officeDocument/2006/relationships/hyperlink" Target="https://atendimento.teconline.com.br/hc/pt-br/articles/360055628451-19-01-21-Carga-n%C3%A3o-declarada" TargetMode="External"/><Relationship Id="rId313" Type="http://schemas.openxmlformats.org/officeDocument/2006/relationships/hyperlink" Target="https://wilsonsons.zendesk.com/api/v2/help_center/pt-br/articles/360059919332.json" TargetMode="External"/><Relationship Id="rId555" Type="http://schemas.openxmlformats.org/officeDocument/2006/relationships/hyperlink" Target="https://wilsonsonstrg.zendesk.com/api/v2/help_center/pt-br/articles/4402863718029.json" TargetMode="External"/><Relationship Id="rId797" Type="http://schemas.openxmlformats.org/officeDocument/2006/relationships/hyperlink" Target="https://wilsonsonstrg.zendesk.com/api/v2/help_center/pt-br/articles/360055628451.json" TargetMode="External"/><Relationship Id="rId319" Type="http://schemas.openxmlformats.org/officeDocument/2006/relationships/hyperlink" Target="https://wilsonsons.zendesk.com/api/v2/help_center/pt-br/articles/360059918512.json" TargetMode="External"/><Relationship Id="rId318" Type="http://schemas.openxmlformats.org/officeDocument/2006/relationships/hyperlink" Target="https://atendimento.teconsvonline.com.br/hc/pt-br/articles/360059919312-Como-agendar-a-entrada-de-um-container" TargetMode="External"/><Relationship Id="rId317" Type="http://schemas.openxmlformats.org/officeDocument/2006/relationships/hyperlink" Target="https://wilsonsons.zendesk.com/api/v2/help_center/pt-br/articles/360059919312.json" TargetMode="External"/><Relationship Id="rId559" Type="http://schemas.openxmlformats.org/officeDocument/2006/relationships/hyperlink" Target="https://wilsonsonstrg.zendesk.com/api/v2/help_center/pt-br/articles/360058171672.json" TargetMode="External"/><Relationship Id="rId550" Type="http://schemas.openxmlformats.org/officeDocument/2006/relationships/hyperlink" Target="https://atendimento.teconline.com.br/hc/pt-br/articles/4410772250125-Canal-no-Telegram-para-motorista" TargetMode="External"/><Relationship Id="rId792" Type="http://schemas.openxmlformats.org/officeDocument/2006/relationships/hyperlink" Target="https://atendimento.teconline.com.br/hc/pt-br/articles/360062373751-31-05-21-Agendamentos-Exporta%C3%A7%C3%A3o-e-Cabotagem" TargetMode="External"/><Relationship Id="rId791" Type="http://schemas.openxmlformats.org/officeDocument/2006/relationships/hyperlink" Target="https://wilsonsonstrg.zendesk.com/api/v2/help_center/pt-br/articles/360062373751.json" TargetMode="External"/><Relationship Id="rId790" Type="http://schemas.openxmlformats.org/officeDocument/2006/relationships/hyperlink" Target="https://atendimento.teconline.com.br/hc/pt-br/articles/4404537138189-06-07-21-Escaneamento-de-Containers-Exporta%C3%A7%C3%A3o" TargetMode="External"/><Relationship Id="rId312" Type="http://schemas.openxmlformats.org/officeDocument/2006/relationships/hyperlink" Target="https://atendimento.teconsvonline.com.br/hc/pt-br/articles/360060359471-Como-verificar-a-quantidade-janelas-dispon%C3%ADveis-para-agendamento-de-container" TargetMode="External"/><Relationship Id="rId554" Type="http://schemas.openxmlformats.org/officeDocument/2006/relationships/hyperlink" Target="https://atendimento.teconline.com.br/hc/pt-br/articles/4408342400013-Rainbow" TargetMode="External"/><Relationship Id="rId796" Type="http://schemas.openxmlformats.org/officeDocument/2006/relationships/hyperlink" Target="https://atendimento.teconline.com.br/hc/pt-br/articles/360057727691-01-03-21-Cargas-Armaz%C3%A9m-de-Exporta%C3%A7%C3%A3o" TargetMode="External"/><Relationship Id="rId311" Type="http://schemas.openxmlformats.org/officeDocument/2006/relationships/hyperlink" Target="https://wilsonsons.zendesk.com/api/v2/help_center/pt-br/articles/360060359471.json" TargetMode="External"/><Relationship Id="rId553" Type="http://schemas.openxmlformats.org/officeDocument/2006/relationships/hyperlink" Target="https://wilsonsonstrg.zendesk.com/api/v2/help_center/pt-br/articles/4408342400013.json" TargetMode="External"/><Relationship Id="rId795" Type="http://schemas.openxmlformats.org/officeDocument/2006/relationships/hyperlink" Target="https://wilsonsonstrg.zendesk.com/api/v2/help_center/pt-br/articles/360057727691.json" TargetMode="External"/><Relationship Id="rId310" Type="http://schemas.openxmlformats.org/officeDocument/2006/relationships/hyperlink" Target="https://atendimento.teconsvonline.com.br/hc/pt-br/articles/360059919392-Qual-hor%C3%A1rio-de-funcionamento-Porto" TargetMode="External"/><Relationship Id="rId552" Type="http://schemas.openxmlformats.org/officeDocument/2006/relationships/hyperlink" Target="https://atendimento.teconline.com.br/hc/pt-br/articles/4410447945741-Cadastro-Teconline" TargetMode="External"/><Relationship Id="rId794" Type="http://schemas.openxmlformats.org/officeDocument/2006/relationships/hyperlink" Target="https://atendimento.teconline.com.br/hc/pt-br/articles/360061215691-12-05-21-Seguran%C3%A7a-em-primeiro-lugar" TargetMode="External"/><Relationship Id="rId551" Type="http://schemas.openxmlformats.org/officeDocument/2006/relationships/hyperlink" Target="https://wilsonsonstrg.zendesk.com/api/v2/help_center/pt-br/articles/4410447945741.json" TargetMode="External"/><Relationship Id="rId793" Type="http://schemas.openxmlformats.org/officeDocument/2006/relationships/hyperlink" Target="https://wilsonsonstrg.zendesk.com/api/v2/help_center/pt-br/articles/360061215691.json" TargetMode="External"/><Relationship Id="rId297" Type="http://schemas.openxmlformats.org/officeDocument/2006/relationships/hyperlink" Target="https://wilsonsons.zendesk.com/api/v2/help_center/pt-br/articles/360060360031.json" TargetMode="External"/><Relationship Id="rId296" Type="http://schemas.openxmlformats.org/officeDocument/2006/relationships/hyperlink" Target="https://atendimento.teconsvonline.com.br/hc/pt-br/articles/360059919672-Depositei-os-containers-no-Porto-mas-a-Du-e-n%C3%A3o-desembara%C3%A7ou-o-que-fazer" TargetMode="External"/><Relationship Id="rId295" Type="http://schemas.openxmlformats.org/officeDocument/2006/relationships/hyperlink" Target="https://wilsonsons.zendesk.com/api/v2/help_center/pt-br/articles/360059919672.json" TargetMode="External"/><Relationship Id="rId294" Type="http://schemas.openxmlformats.org/officeDocument/2006/relationships/hyperlink" Target="https://atendimento.teconsvonline.com.br/hc/pt-br/articles/360059921652-Como-agendar-retirada-de-container-vazio-do-Centro-Log%C3%ADstico-Salvador" TargetMode="External"/><Relationship Id="rId299" Type="http://schemas.openxmlformats.org/officeDocument/2006/relationships/hyperlink" Target="https://wilsonsons.zendesk.com/api/v2/help_center/pt-br/articles/360060359971.json" TargetMode="External"/><Relationship Id="rId298" Type="http://schemas.openxmlformats.org/officeDocument/2006/relationships/hyperlink" Target="https://atendimento.teconsvonline.com.br/hc/pt-br/articles/360060360031-teste" TargetMode="External"/><Relationship Id="rId271" Type="http://schemas.openxmlformats.org/officeDocument/2006/relationships/hyperlink" Target="https://wilsonsons.zendesk.com/api/v2/help_center/pt-br/articles/8840845251597.json" TargetMode="External"/><Relationship Id="rId270" Type="http://schemas.openxmlformats.org/officeDocument/2006/relationships/hyperlink" Target="https://atendimento.teconsvonline.com.br/hc/pt-br/articles/10205136927501-Solicita%C3%A7%C3%A3o-de-desova-para-o-armaz%C3%A9m" TargetMode="External"/><Relationship Id="rId269" Type="http://schemas.openxmlformats.org/officeDocument/2006/relationships/hyperlink" Target="https://wilsonsons.zendesk.com/api/v2/help_center/pt-br/articles/10205136927501.json" TargetMode="External"/><Relationship Id="rId264" Type="http://schemas.openxmlformats.org/officeDocument/2006/relationships/hyperlink" Target="https://atendimento.teconsvonline.com.br/hc/pt-br/articles/18171266379277-Manual-do-Zendesk-Chat" TargetMode="External"/><Relationship Id="rId263" Type="http://schemas.openxmlformats.org/officeDocument/2006/relationships/hyperlink" Target="https://wilsonsons.zendesk.com/api/v2/help_center/pt-br/articles/18171266379277.json" TargetMode="External"/><Relationship Id="rId262" Type="http://schemas.openxmlformats.org/officeDocument/2006/relationships/hyperlink" Target="https://atendimento.teconsvonline.com.br/hc/pt-br/articles/18663428825869-Cadastro-ou-atualiza%C3%A7%C3%A3o-de-e-mails-para-envio-de-faturas" TargetMode="External"/><Relationship Id="rId261" Type="http://schemas.openxmlformats.org/officeDocument/2006/relationships/hyperlink" Target="https://wilsonsons.zendesk.com/api/v2/help_center/pt-br/articles/18663428825869.json" TargetMode="External"/><Relationship Id="rId268" Type="http://schemas.openxmlformats.org/officeDocument/2006/relationships/hyperlink" Target="https://atendimento.teconsvonline.com.br/hc/pt-br/articles/10516074299277-Libera%C3%A7%C3%A3o-de-carga-com-comprovante-de-pagamento" TargetMode="External"/><Relationship Id="rId267" Type="http://schemas.openxmlformats.org/officeDocument/2006/relationships/hyperlink" Target="https://wilsonsons.zendesk.com/api/v2/help_center/pt-br/articles/10516074299277.json" TargetMode="External"/><Relationship Id="rId266" Type="http://schemas.openxmlformats.org/officeDocument/2006/relationships/hyperlink" Target="https://atendimento.teconsvonline.com.br/hc/pt-br/articles/16171823237901-VGM-SOLAS" TargetMode="External"/><Relationship Id="rId265" Type="http://schemas.openxmlformats.org/officeDocument/2006/relationships/hyperlink" Target="https://wilsonsons.zendesk.com/api/v2/help_center/pt-br/articles/16171823237901.json" TargetMode="External"/><Relationship Id="rId260" Type="http://schemas.openxmlformats.org/officeDocument/2006/relationships/hyperlink" Target="https://atendimento.teconsvonline.com.br/hc/pt-br/articles/18664293608461-Consulta-de-navio-associado-ao-booking-no-m%C3%B3dulo-de-agendamento-de-entrada" TargetMode="External"/><Relationship Id="rId259" Type="http://schemas.openxmlformats.org/officeDocument/2006/relationships/hyperlink" Target="https://wilsonsons.zendesk.com/api/v2/help_center/pt-br/articles/18664293608461.json" TargetMode="External"/><Relationship Id="rId258" Type="http://schemas.openxmlformats.org/officeDocument/2006/relationships/hyperlink" Target="https://atendimento.teconsvonline.com.br/hc/pt-br/articles/18665299725581-Entrada-Antecipada" TargetMode="External"/><Relationship Id="rId253" Type="http://schemas.openxmlformats.org/officeDocument/2006/relationships/hyperlink" Target="https://wilsonsons.zendesk.com/api/v2/help_center/pt-br/articles/18817200171021.json" TargetMode="External"/><Relationship Id="rId495" Type="http://schemas.openxmlformats.org/officeDocument/2006/relationships/hyperlink" Target="https://wilsonsonstrg.zendesk.com/api/v2/help_center/pt-br/articles/20749961209101.json" TargetMode="External"/><Relationship Id="rId252" Type="http://schemas.openxmlformats.org/officeDocument/2006/relationships/hyperlink" Target="https://atendimento.teconsvonline.com.br/hc/pt-br/articles/22419830133901-MK" TargetMode="External"/><Relationship Id="rId494" Type="http://schemas.openxmlformats.org/officeDocument/2006/relationships/hyperlink" Target="https://atendimento.teconline.com.br/hc/pt-br/articles/20894965584013-31-10-2023-Comunicado-Importante-Hor%C3%A1rio-de-Agendamento-Containers-Cheios" TargetMode="External"/><Relationship Id="rId251" Type="http://schemas.openxmlformats.org/officeDocument/2006/relationships/hyperlink" Target="https://wilsonsons.zendesk.com/api/v2/help_center/pt-br/articles/22419830133901.json" TargetMode="External"/><Relationship Id="rId493" Type="http://schemas.openxmlformats.org/officeDocument/2006/relationships/hyperlink" Target="https://wilsonsonstrg.zendesk.com/api/v2/help_center/pt-br/articles/20894965584013.json" TargetMode="External"/><Relationship Id="rId250" Type="http://schemas.openxmlformats.org/officeDocument/2006/relationships/hyperlink" Target="https://atendimento.teconsvonline.com.br/hc/pt-br/articles/22526318397453-Como-solicito-desova-parcial-consolidado-da-MK" TargetMode="External"/><Relationship Id="rId492" Type="http://schemas.openxmlformats.org/officeDocument/2006/relationships/hyperlink" Target="https://atendimento.teconline.com.br/hc/pt-br/articles/21140250551565-07-11-2023-Comunicado-Importante-Retirada-de-vazios-com-bitrem-dolly" TargetMode="External"/><Relationship Id="rId257" Type="http://schemas.openxmlformats.org/officeDocument/2006/relationships/hyperlink" Target="https://wilsonsons.zendesk.com/api/v2/help_center/pt-br/articles/18665299725581.json" TargetMode="External"/><Relationship Id="rId499" Type="http://schemas.openxmlformats.org/officeDocument/2006/relationships/hyperlink" Target="https://wilsonsonstrg.zendesk.com/api/v2/help_center/pt-br/articles/20472573985293.json" TargetMode="External"/><Relationship Id="rId256" Type="http://schemas.openxmlformats.org/officeDocument/2006/relationships/hyperlink" Target="https://atendimento.teconsvonline.com.br/hc/pt-br/articles/18727472957581-Regras-para-aplica%C3%A7%C3%A3o-de-dia-adicional-de-Armazenagem" TargetMode="External"/><Relationship Id="rId498" Type="http://schemas.openxmlformats.org/officeDocument/2006/relationships/hyperlink" Target="https://atendimento.teconline.com.br/hc/pt-br/articles/20671333162509-24-10-2023-Novo-Procedimento-Solicita%C3%A7%C3%A3o-de-Retirada-via-Barca%C3%A7a" TargetMode="External"/><Relationship Id="rId255" Type="http://schemas.openxmlformats.org/officeDocument/2006/relationships/hyperlink" Target="https://wilsonsons.zendesk.com/api/v2/help_center/pt-br/articles/18727472957581.json" TargetMode="External"/><Relationship Id="rId497" Type="http://schemas.openxmlformats.org/officeDocument/2006/relationships/hyperlink" Target="https://wilsonsonstrg.zendesk.com/api/v2/help_center/pt-br/articles/20671333162509.json" TargetMode="External"/><Relationship Id="rId254" Type="http://schemas.openxmlformats.org/officeDocument/2006/relationships/hyperlink" Target="https://atendimento.teconsvonline.com.br/hc/pt-br/articles/18817200171021-Agendamento-de-devolu%C3%A7%C3%A3o-de-vazios-CLSSA-DEPOT" TargetMode="External"/><Relationship Id="rId496" Type="http://schemas.openxmlformats.org/officeDocument/2006/relationships/hyperlink" Target="https://atendimento.teconline.com.br/hc/pt-br/articles/20749961209101-26-10-2023-Hor%C3%A1rio-Especial-Tecon-Rio-Grande-Comunica" TargetMode="External"/><Relationship Id="rId293" Type="http://schemas.openxmlformats.org/officeDocument/2006/relationships/hyperlink" Target="https://wilsonsons.zendesk.com/api/v2/help_center/pt-br/articles/360059921652.json" TargetMode="External"/><Relationship Id="rId292" Type="http://schemas.openxmlformats.org/officeDocument/2006/relationships/hyperlink" Target="https://atendimento.teconsvonline.com.br/hc/pt-br/articles/360060364071-Como-agendar-entrada-de-container-cheio" TargetMode="External"/><Relationship Id="rId291" Type="http://schemas.openxmlformats.org/officeDocument/2006/relationships/hyperlink" Target="https://wilsonsons.zendesk.com/api/v2/help_center/pt-br/articles/360060364071.json" TargetMode="External"/><Relationship Id="rId290" Type="http://schemas.openxmlformats.org/officeDocument/2006/relationships/hyperlink" Target="https://atendimento.teconsvonline.com.br/hc/pt-br/articles/4422919758861-VGM-SOLAS" TargetMode="External"/><Relationship Id="rId286" Type="http://schemas.openxmlformats.org/officeDocument/2006/relationships/hyperlink" Target="https://atendimento.teconsvonline.com.br/hc/pt-br/articles/8390753642381-Recebi-o-faturamento-por%C3%A9m-os-valores-n%C3%A3o-conferem-com-a-proposta" TargetMode="External"/><Relationship Id="rId285" Type="http://schemas.openxmlformats.org/officeDocument/2006/relationships/hyperlink" Target="https://wilsonsons.zendesk.com/api/v2/help_center/pt-br/articles/8390753642381.json" TargetMode="External"/><Relationship Id="rId284" Type="http://schemas.openxmlformats.org/officeDocument/2006/relationships/hyperlink" Target="https://atendimento.teconsvonline.com.br/hc/pt-br/articles/8472058613261-Recebi-uma-cobran%C3%A7a-de-armazenagem-de-exporta%C3%A7%C3%A3o-Qual-o-motivo" TargetMode="External"/><Relationship Id="rId283" Type="http://schemas.openxmlformats.org/officeDocument/2006/relationships/hyperlink" Target="https://wilsonsons.zendesk.com/api/v2/help_center/pt-br/articles/8472058613261.json" TargetMode="External"/><Relationship Id="rId289" Type="http://schemas.openxmlformats.org/officeDocument/2006/relationships/hyperlink" Target="https://wilsonsons.zendesk.com/api/v2/help_center/pt-br/articles/4422919758861.json" TargetMode="External"/><Relationship Id="rId288" Type="http://schemas.openxmlformats.org/officeDocument/2006/relationships/hyperlink" Target="https://atendimento.teconsvonline.com.br/hc/pt-br/articles/4652559260557-Manual-do-Zendesk-explore" TargetMode="External"/><Relationship Id="rId287" Type="http://schemas.openxmlformats.org/officeDocument/2006/relationships/hyperlink" Target="https://wilsonsons.zendesk.com/api/v2/help_center/pt-br/articles/4652559260557.json" TargetMode="External"/><Relationship Id="rId282" Type="http://schemas.openxmlformats.org/officeDocument/2006/relationships/hyperlink" Target="https://atendimento.teconsvonline.com.br/hc/pt-br/articles/8472214549133-Exporta%C3%A7%C3%A3o-A-fatura-armazenagem-possui-mais-dias-que-deveria-Entenda-como-%C3%A9-faturado-a-Armz-Exp" TargetMode="External"/><Relationship Id="rId281" Type="http://schemas.openxmlformats.org/officeDocument/2006/relationships/hyperlink" Target="https://wilsonsons.zendesk.com/api/v2/help_center/pt-br/articles/8472214549133.json" TargetMode="External"/><Relationship Id="rId280" Type="http://schemas.openxmlformats.org/officeDocument/2006/relationships/hyperlink" Target="https://atendimento.teconsvonline.com.br/hc/pt-br/articles/8472312195085-Exporta%C3%A7%C3%A3o-Recep%C3%A7%C3%A3o-de-carga-foi-faturada-com-um-valor-menor-Saiba-o-porqu%C3%AA" TargetMode="External"/><Relationship Id="rId275" Type="http://schemas.openxmlformats.org/officeDocument/2006/relationships/hyperlink" Target="https://wilsonsons.zendesk.com/api/v2/help_center/pt-br/articles/8472814179981.json" TargetMode="External"/><Relationship Id="rId274" Type="http://schemas.openxmlformats.org/officeDocument/2006/relationships/hyperlink" Target="https://atendimento.teconsvonline.com.br/hc/pt-br/articles/8472874606349-Por-que-recebi-uma-cobran%C3%A7a-de-armazenagem-de-cabotagem-descarga-Qual-o-free-time-dias-livres" TargetMode="External"/><Relationship Id="rId273" Type="http://schemas.openxmlformats.org/officeDocument/2006/relationships/hyperlink" Target="https://wilsonsons.zendesk.com/api/v2/help_center/pt-br/articles/8472874606349.json" TargetMode="External"/><Relationship Id="rId272" Type="http://schemas.openxmlformats.org/officeDocument/2006/relationships/hyperlink" Target="https://atendimento.teconsvonline.com.br/hc/pt-br/articles/8840845251597-Como-solicito-o-cancelamento-de-um-nota-fiscal" TargetMode="External"/><Relationship Id="rId279" Type="http://schemas.openxmlformats.org/officeDocument/2006/relationships/hyperlink" Target="https://wilsonsons.zendesk.com/api/v2/help_center/pt-br/articles/8472312195085.json" TargetMode="External"/><Relationship Id="rId278" Type="http://schemas.openxmlformats.org/officeDocument/2006/relationships/hyperlink" Target="https://atendimento.teconsvonline.com.br/hc/pt-br/articles/8472516540045-Quais-os-impostos-incidem-sobre-o-servi%C3%A7os-e-qual-a-al%C3%ADquota" TargetMode="External"/><Relationship Id="rId277" Type="http://schemas.openxmlformats.org/officeDocument/2006/relationships/hyperlink" Target="https://wilsonsons.zendesk.com/api/v2/help_center/pt-br/articles/8472516540045.json" TargetMode="External"/><Relationship Id="rId276" Type="http://schemas.openxmlformats.org/officeDocument/2006/relationships/hyperlink" Target="https://atendimento.teconsvonline.com.br/hc/pt-br/articles/8472814179981-Como-funciona-a-aplica%C3%A7%C3%A3o-do-dia-de-porta" TargetMode="External"/><Relationship Id="rId907" Type="http://schemas.openxmlformats.org/officeDocument/2006/relationships/hyperlink" Target="https://wilsonsonsclsa.zendesk.com/api/v2/help_center/pt-br/articles/31975424122253.json" TargetMode="External"/><Relationship Id="rId906" Type="http://schemas.openxmlformats.org/officeDocument/2006/relationships/hyperlink" Target="https://wilsonsonsclsa.zendesk.com/hc/pt-br/articles/21335033812621-Esqueci-a-senha-do-Portal-WS-o-que-eu-fa%C3%A7o" TargetMode="External"/><Relationship Id="rId905" Type="http://schemas.openxmlformats.org/officeDocument/2006/relationships/hyperlink" Target="https://wilsonsonsclsa.zendesk.com/api/v2/help_center/pt-br/articles/21335033812621.json" TargetMode="External"/><Relationship Id="rId904" Type="http://schemas.openxmlformats.org/officeDocument/2006/relationships/hyperlink" Target="https://wilsonsonsclsa.zendesk.com/hc/pt-br/articles/21538404709901-Como-posso-fazer-uma-retirada-de-carga-no-Armaz%C3%A9m-Alfandegado" TargetMode="External"/><Relationship Id="rId909" Type="http://schemas.openxmlformats.org/officeDocument/2006/relationships/hyperlink" Target="https://wilsonsonsclsa.zendesk.com/api/v2/help_center/pt-br/articles/21441225233037.json" TargetMode="External"/><Relationship Id="rId908" Type="http://schemas.openxmlformats.org/officeDocument/2006/relationships/hyperlink" Target="https://wilsonsonsclsa.zendesk.com/hc/pt-br/articles/31975424122253-Remo%C3%A7%C3%A3o-das-Mercadorias-Tr%C3%A2nsito-Aduaneiro" TargetMode="External"/><Relationship Id="rId903" Type="http://schemas.openxmlformats.org/officeDocument/2006/relationships/hyperlink" Target="https://wilsonsonsclsa.zendesk.com/api/v2/help_center/pt-br/articles/21538404709901.json" TargetMode="External"/><Relationship Id="rId902" Type="http://schemas.openxmlformats.org/officeDocument/2006/relationships/hyperlink" Target="https://wilsonsonsclsa.zendesk.com/hc/pt-br/articles/21548644503437-Entreposto-Aduaneiro" TargetMode="External"/><Relationship Id="rId901" Type="http://schemas.openxmlformats.org/officeDocument/2006/relationships/hyperlink" Target="https://wilsonsonsclsa.zendesk.com/api/v2/help_center/pt-br/articles/21548644503437.json" TargetMode="External"/><Relationship Id="rId900" Type="http://schemas.openxmlformats.org/officeDocument/2006/relationships/hyperlink" Target="https://wilsonsonsclsa.zendesk.com/hc/pt-br/articles/31977286869773-Opera%C3%A7%C3%A3o-Armaz%C3%A9m-Alfandegado" TargetMode="External"/><Relationship Id="rId921" Type="http://schemas.openxmlformats.org/officeDocument/2006/relationships/hyperlink" Target="https://wilsonsonsclsa.zendesk.com/api/v2/help_center/pt-br/articles/21539267227661.json" TargetMode="External"/><Relationship Id="rId920" Type="http://schemas.openxmlformats.org/officeDocument/2006/relationships/hyperlink" Target="https://wilsonsonsclsa.zendesk.com/hc/pt-br/articles/21539429059725-Informa%C3%A7%C3%B5es-sobre-a-carga-presen%C3%A7a-de-carga-armazenagem" TargetMode="External"/><Relationship Id="rId925" Type="http://schemas.openxmlformats.org/officeDocument/2006/relationships/drawing" Target="../drawings/drawing1.xml"/><Relationship Id="rId924" Type="http://schemas.openxmlformats.org/officeDocument/2006/relationships/hyperlink" Target="https://wilsonsonsclsa.zendesk.com/hc/pt-br/articles/21538565680269-Como-posso-saber-se-uma-carga-est%C3%A1-liberada-para-carregar" TargetMode="External"/><Relationship Id="rId923" Type="http://schemas.openxmlformats.org/officeDocument/2006/relationships/hyperlink" Target="https://wilsonsonsclsa.zendesk.com/api/v2/help_center/pt-br/articles/21538565680269.json" TargetMode="External"/><Relationship Id="rId922" Type="http://schemas.openxmlformats.org/officeDocument/2006/relationships/hyperlink" Target="https://wilsonsonsclsa.zendesk.com/hc/pt-br/articles/21539267227661-Quanto-tempo-posso-aguardar-para-nacionalizar-a-minha-carga" TargetMode="External"/><Relationship Id="rId918" Type="http://schemas.openxmlformats.org/officeDocument/2006/relationships/hyperlink" Target="https://wilsonsonsclsa.zendesk.com/hc/pt-br/articles/21545561544973-Como-solicitar-um-agendamento-de-remo%C3%A7%C3%A3o-de-DTA" TargetMode="External"/><Relationship Id="rId917" Type="http://schemas.openxmlformats.org/officeDocument/2006/relationships/hyperlink" Target="https://wilsonsonsclsa.zendesk.com/api/v2/help_center/pt-br/articles/21545561544973.json" TargetMode="External"/><Relationship Id="rId916" Type="http://schemas.openxmlformats.org/officeDocument/2006/relationships/hyperlink" Target="https://wilsonsonsclsa.zendesk.com/hc/pt-br/articles/21192934251021-Visitas-e-Auditorias" TargetMode="External"/><Relationship Id="rId915" Type="http://schemas.openxmlformats.org/officeDocument/2006/relationships/hyperlink" Target="https://wilsonsonsclsa.zendesk.com/api/v2/help_center/pt-br/articles/21192934251021.json" TargetMode="External"/><Relationship Id="rId919" Type="http://schemas.openxmlformats.org/officeDocument/2006/relationships/hyperlink" Target="https://wilsonsonsclsa.zendesk.com/api/v2/help_center/pt-br/articles/21539429059725.json" TargetMode="External"/><Relationship Id="rId910" Type="http://schemas.openxmlformats.org/officeDocument/2006/relationships/hyperlink" Target="https://wilsonsonsclsa.zendesk.com/hc/pt-br/articles/21441225233037-DAC-Dep%C3%B3sito-Alfandegado-Certificado" TargetMode="External"/><Relationship Id="rId914" Type="http://schemas.openxmlformats.org/officeDocument/2006/relationships/hyperlink" Target="https://wilsonsonsclsa.zendesk.com/hc/pt-br/articles/21538774959373-Solicita%C3%A7%C3%A3o-de-Visitas-e-Auditorias-Armaz%C3%A9m-Alfandegado" TargetMode="External"/><Relationship Id="rId913" Type="http://schemas.openxmlformats.org/officeDocument/2006/relationships/hyperlink" Target="https://wilsonsonsclsa.zendesk.com/api/v2/help_center/pt-br/articles/21538774959373.json" TargetMode="External"/><Relationship Id="rId912" Type="http://schemas.openxmlformats.org/officeDocument/2006/relationships/hyperlink" Target="https://wilsonsonsclsa.zendesk.com/hc/pt-br/articles/21550086559245-Drawback" TargetMode="External"/><Relationship Id="rId911" Type="http://schemas.openxmlformats.org/officeDocument/2006/relationships/hyperlink" Target="https://wilsonsonsclsa.zendesk.com/api/v2/help_center/pt-br/articles/21550086559245.json" TargetMode="External"/><Relationship Id="rId629" Type="http://schemas.openxmlformats.org/officeDocument/2006/relationships/hyperlink" Target="https://wilsonsonstrg.zendesk.com/api/v2/help_center/pt-br/articles/360038006272.json" TargetMode="External"/><Relationship Id="rId624" Type="http://schemas.openxmlformats.org/officeDocument/2006/relationships/hyperlink" Target="https://atendimento.teconline.com.br/hc/pt-br/articles/360038007532-Lan%C3%A7amento-de-nota-fiscal-bagagem-Exporta%C3%A7%C3%A3o" TargetMode="External"/><Relationship Id="rId866" Type="http://schemas.openxmlformats.org/officeDocument/2006/relationships/hyperlink" Target="https://wilsonsonsclsa.zendesk.com/hc/pt-br/articles/21437444874509-O-que-s%C3%A3o-os-Regimes-Aduaneiros-Especiais" TargetMode="External"/><Relationship Id="rId623" Type="http://schemas.openxmlformats.org/officeDocument/2006/relationships/hyperlink" Target="https://wilsonsonstrg.zendesk.com/api/v2/help_center/pt-br/articles/360038007532.json" TargetMode="External"/><Relationship Id="rId865" Type="http://schemas.openxmlformats.org/officeDocument/2006/relationships/hyperlink" Target="https://wilsonsonsclsa.zendesk.com/api/v2/help_center/pt-br/articles/21437444874509.json" TargetMode="External"/><Relationship Id="rId622" Type="http://schemas.openxmlformats.org/officeDocument/2006/relationships/hyperlink" Target="https://atendimento.teconline.com.br/hc/pt-br/articles/360038007852-Agendamento-Entrada-de-Container-Vazio" TargetMode="External"/><Relationship Id="rId864" Type="http://schemas.openxmlformats.org/officeDocument/2006/relationships/hyperlink" Target="https://wilsonsonsclsa.zendesk.com/hc/pt-br/articles/21535317991181-Como-solicitar-uma-proposta" TargetMode="External"/><Relationship Id="rId621" Type="http://schemas.openxmlformats.org/officeDocument/2006/relationships/hyperlink" Target="https://wilsonsonstrg.zendesk.com/api/v2/help_center/pt-br/articles/360038007852.json" TargetMode="External"/><Relationship Id="rId863" Type="http://schemas.openxmlformats.org/officeDocument/2006/relationships/hyperlink" Target="https://wilsonsonsclsa.zendesk.com/api/v2/help_center/pt-br/articles/21535317991181.json" TargetMode="External"/><Relationship Id="rId628" Type="http://schemas.openxmlformats.org/officeDocument/2006/relationships/hyperlink" Target="https://atendimento.teconline.com.br/hc/pt-br/articles/360038374511-Agendamento-de-Retirada-de-Vazios-de-Importa%C3%A7%C3%A3o" TargetMode="External"/><Relationship Id="rId627" Type="http://schemas.openxmlformats.org/officeDocument/2006/relationships/hyperlink" Target="https://wilsonsonstrg.zendesk.com/api/v2/help_center/pt-br/articles/360038374511.json" TargetMode="External"/><Relationship Id="rId869" Type="http://schemas.openxmlformats.org/officeDocument/2006/relationships/hyperlink" Target="https://wilsonsonsclsa.zendesk.com/api/v2/help_center/pt-br/articles/21335802337165.json" TargetMode="External"/><Relationship Id="rId626" Type="http://schemas.openxmlformats.org/officeDocument/2006/relationships/hyperlink" Target="https://atendimento.teconline.com.br/hc/pt-br/articles/360038007032-Lan%C3%A7amento-de-Nota-Fiscal-Exporta%C3%A7%C3%A3o" TargetMode="External"/><Relationship Id="rId868" Type="http://schemas.openxmlformats.org/officeDocument/2006/relationships/hyperlink" Target="https://wilsonsonsclsa.zendesk.com/hc/pt-br/articles/21388893615245-Hor%C3%A1rios-de-Parametriza%C3%A7%C3%A3o-e-Desembara%C3%A7o-da-Receita-Federal" TargetMode="External"/><Relationship Id="rId625" Type="http://schemas.openxmlformats.org/officeDocument/2006/relationships/hyperlink" Target="https://wilsonsonstrg.zendesk.com/api/v2/help_center/pt-br/articles/360038007032.json" TargetMode="External"/><Relationship Id="rId867" Type="http://schemas.openxmlformats.org/officeDocument/2006/relationships/hyperlink" Target="https://wilsonsonsclsa.zendesk.com/api/v2/help_center/pt-br/articles/21388893615245.json" TargetMode="External"/><Relationship Id="rId620" Type="http://schemas.openxmlformats.org/officeDocument/2006/relationships/hyperlink" Target="https://atendimento.teconline.com.br/hc/pt-br/articles/360038008092-Agendamento-Entrada-de-Container-Vazio-Barca%C3%A7a" TargetMode="External"/><Relationship Id="rId862" Type="http://schemas.openxmlformats.org/officeDocument/2006/relationships/hyperlink" Target="https://wilsonsonsclsa.zendesk.com/hc/pt-br/articles/21546200101389-Onde-consulto-as-informa%C3%A7%C3%B5es-da-minha-Carga" TargetMode="External"/><Relationship Id="rId861" Type="http://schemas.openxmlformats.org/officeDocument/2006/relationships/hyperlink" Target="https://wilsonsonsclsa.zendesk.com/api/v2/help_center/pt-br/articles/21546200101389.json" TargetMode="External"/><Relationship Id="rId860" Type="http://schemas.openxmlformats.org/officeDocument/2006/relationships/hyperlink" Target="https://wilsonsonsclsa.zendesk.com/hc/pt-br/articles/21546550050701-Averba%C3%A7%C3%A3o-de-processo-no-portal-log%C3%ADstica" TargetMode="External"/><Relationship Id="rId619" Type="http://schemas.openxmlformats.org/officeDocument/2006/relationships/hyperlink" Target="https://wilsonsonstrg.zendesk.com/api/v2/help_center/pt-br/articles/360038008092.json" TargetMode="External"/><Relationship Id="rId618" Type="http://schemas.openxmlformats.org/officeDocument/2006/relationships/hyperlink" Target="https://atendimento.teconline.com.br/hc/pt-br/articles/360038375771-Agendamento-Retirada-de-Carga-P%C3%A1tio" TargetMode="External"/><Relationship Id="rId613" Type="http://schemas.openxmlformats.org/officeDocument/2006/relationships/hyperlink" Target="https://wilsonsonstrg.zendesk.com/api/v2/help_center/pt-br/articles/360038414491.json" TargetMode="External"/><Relationship Id="rId855" Type="http://schemas.openxmlformats.org/officeDocument/2006/relationships/hyperlink" Target="https://wilsonsonstowage.zendesk.com/api/v2/help_center/en-us/articles/15794190489741.json" TargetMode="External"/><Relationship Id="rId612" Type="http://schemas.openxmlformats.org/officeDocument/2006/relationships/hyperlink" Target="https://atendimento.teconline.com.br/hc/pt-br/articles/360038044472-Agendamento-Retirada-de-DTC" TargetMode="External"/><Relationship Id="rId854" Type="http://schemas.openxmlformats.org/officeDocument/2006/relationships/hyperlink" Target="https://wilsonsonstowage.zendesk.com/hc/en-us/articles/15794193866381-Why-MARAGOGIPE-ENSEADA-tariff-is-different-from-the-Salvador-and-Aratu-tariff" TargetMode="External"/><Relationship Id="rId611" Type="http://schemas.openxmlformats.org/officeDocument/2006/relationships/hyperlink" Target="https://wilsonsonstrg.zendesk.com/api/v2/help_center/pt-br/articles/360038044472.json" TargetMode="External"/><Relationship Id="rId853" Type="http://schemas.openxmlformats.org/officeDocument/2006/relationships/hyperlink" Target="https://wilsonsonstowage.zendesk.com/api/v2/help_center/en-us/articles/15794193866381.json" TargetMode="External"/><Relationship Id="rId610" Type="http://schemas.openxmlformats.org/officeDocument/2006/relationships/hyperlink" Target="https://atendimento.teconline.com.br/hc/pt-br/articles/360038044552-Informa%C3%A7%C3%B5es-Gate" TargetMode="External"/><Relationship Id="rId852" Type="http://schemas.openxmlformats.org/officeDocument/2006/relationships/hyperlink" Target="https://wilsonsonstowage.zendesk.com/hc/en-us/articles/15794232790157-When-charges-apply-to-passing-under-the-Bridge-in-Rio-de-Janeiro-Bay" TargetMode="External"/><Relationship Id="rId617" Type="http://schemas.openxmlformats.org/officeDocument/2006/relationships/hyperlink" Target="https://wilsonsonstrg.zendesk.com/api/v2/help_center/pt-br/articles/360038375771.json" TargetMode="External"/><Relationship Id="rId859" Type="http://schemas.openxmlformats.org/officeDocument/2006/relationships/hyperlink" Target="https://wilsonsonsclsa.zendesk.com/api/v2/help_center/pt-br/articles/21546550050701.json" TargetMode="External"/><Relationship Id="rId616" Type="http://schemas.openxmlformats.org/officeDocument/2006/relationships/hyperlink" Target="https://atendimento.teconline.com.br/hc/pt-br/articles/360038414471-Agendamento-Retirada-de-DUIMP-DI-CTAC" TargetMode="External"/><Relationship Id="rId858" Type="http://schemas.openxmlformats.org/officeDocument/2006/relationships/hyperlink" Target="https://wilsonsonsclsa.zendesk.com/hc/pt-br/articles/31974530052237-Dados-Cadastrais-e-do-Recinto" TargetMode="External"/><Relationship Id="rId615" Type="http://schemas.openxmlformats.org/officeDocument/2006/relationships/hyperlink" Target="https://wilsonsonstrg.zendesk.com/api/v2/help_center/pt-br/articles/360038414471.json" TargetMode="External"/><Relationship Id="rId857" Type="http://schemas.openxmlformats.org/officeDocument/2006/relationships/hyperlink" Target="https://wilsonsonsclsa.zendesk.com/api/v2/help_center/pt-br/articles/31974530052237.json" TargetMode="External"/><Relationship Id="rId614" Type="http://schemas.openxmlformats.org/officeDocument/2006/relationships/hyperlink" Target="https://atendimento.teconline.com.br/hc/pt-br/articles/360038414491-Agendamento-Retirada-de-DTA" TargetMode="External"/><Relationship Id="rId856" Type="http://schemas.openxmlformats.org/officeDocument/2006/relationships/hyperlink" Target="https://wilsonsonstowage.zendesk.com/hc/en-us/articles/15794190489741-Move-the-vessel-alongside-the-quay-at-IMBITUBA" TargetMode="External"/><Relationship Id="rId851" Type="http://schemas.openxmlformats.org/officeDocument/2006/relationships/hyperlink" Target="https://wilsonsonstowage.zendesk.com/api/v2/help_center/en-us/articles/15794232790157.json" TargetMode="External"/><Relationship Id="rId850" Type="http://schemas.openxmlformats.org/officeDocument/2006/relationships/hyperlink" Target="https://wilsonsonstowage.zendesk.com/hc/en-us/articles/15794541644685-When-do-Escort-Tug-Towing-maneuvers-occur" TargetMode="External"/><Relationship Id="rId409" Type="http://schemas.openxmlformats.org/officeDocument/2006/relationships/hyperlink" Target="https://wilsonsonstrg.zendesk.com/api/v2/help_center/pt-br/articles/38085354542221.json" TargetMode="External"/><Relationship Id="rId404" Type="http://schemas.openxmlformats.org/officeDocument/2006/relationships/hyperlink" Target="https://atendimento.teconline.com.br/hc/pt-br/articles/39657211014157-09-09-2025-Comunicado-Importante-Agendamento-Entrada-de-Container-Cheio" TargetMode="External"/><Relationship Id="rId646" Type="http://schemas.openxmlformats.org/officeDocument/2006/relationships/hyperlink" Target="https://atendimento.teconline.com.br/hc/pt-br/articles/360033450332-Cargas-especiais-aceitas-no-terminal" TargetMode="External"/><Relationship Id="rId888" Type="http://schemas.openxmlformats.org/officeDocument/2006/relationships/hyperlink" Target="https://wilsonsonsclsa.zendesk.com/hc/pt-br/articles/17576949803149-Fluxo-Processo-de-Rotulagem-de-Bebidas-MAPA" TargetMode="External"/><Relationship Id="rId403" Type="http://schemas.openxmlformats.org/officeDocument/2006/relationships/hyperlink" Target="https://wilsonsonstrg.zendesk.com/api/v2/help_center/pt-br/articles/39657211014157.json" TargetMode="External"/><Relationship Id="rId645" Type="http://schemas.openxmlformats.org/officeDocument/2006/relationships/hyperlink" Target="https://wilsonsonstrg.zendesk.com/api/v2/help_center/pt-br/articles/360033450332.json" TargetMode="External"/><Relationship Id="rId887" Type="http://schemas.openxmlformats.org/officeDocument/2006/relationships/hyperlink" Target="https://wilsonsonsclsa.zendesk.com/api/v2/help_center/pt-br/articles/17576949803149.json" TargetMode="External"/><Relationship Id="rId402" Type="http://schemas.openxmlformats.org/officeDocument/2006/relationships/hyperlink" Target="https://atendimento.teconline.com.br/hc/pt-br/articles/40886099111565-Tampas-Traseiras-Acesso-Gate" TargetMode="External"/><Relationship Id="rId644" Type="http://schemas.openxmlformats.org/officeDocument/2006/relationships/hyperlink" Target="https://atendimento.teconline.com.br/hc/pt-br/articles/360033810571-Libera%C3%A7%C3%A3o-DI-e-DTA" TargetMode="External"/><Relationship Id="rId886" Type="http://schemas.openxmlformats.org/officeDocument/2006/relationships/hyperlink" Target="https://wilsonsonsclsa.zendesk.com/hc/pt-br/articles/17576958544269-Quais-os-dados-do-Recinto-Alfandegado" TargetMode="External"/><Relationship Id="rId401" Type="http://schemas.openxmlformats.org/officeDocument/2006/relationships/hyperlink" Target="https://wilsonsonstrg.zendesk.com/api/v2/help_center/pt-br/articles/40886099111565.json" TargetMode="External"/><Relationship Id="rId643" Type="http://schemas.openxmlformats.org/officeDocument/2006/relationships/hyperlink" Target="https://wilsonsonstrg.zendesk.com/api/v2/help_center/pt-br/articles/360033810571.json" TargetMode="External"/><Relationship Id="rId885" Type="http://schemas.openxmlformats.org/officeDocument/2006/relationships/hyperlink" Target="https://wilsonsonsclsa.zendesk.com/api/v2/help_center/pt-br/articles/17576958544269.json" TargetMode="External"/><Relationship Id="rId408" Type="http://schemas.openxmlformats.org/officeDocument/2006/relationships/hyperlink" Target="https://atendimento.teconline.com.br/hc/pt-br/articles/39406117531405-Manual-de-Aprova%C3%A7%C3%A3o-de-Drafts" TargetMode="External"/><Relationship Id="rId407" Type="http://schemas.openxmlformats.org/officeDocument/2006/relationships/hyperlink" Target="https://wilsonsonstrg.zendesk.com/api/v2/help_center/pt-br/articles/39406117531405.json" TargetMode="External"/><Relationship Id="rId649" Type="http://schemas.openxmlformats.org/officeDocument/2006/relationships/hyperlink" Target="https://wilsonsonstrg.zendesk.com/api/v2/help_center/pt-br/articles/360033425552.json" TargetMode="External"/><Relationship Id="rId406" Type="http://schemas.openxmlformats.org/officeDocument/2006/relationships/hyperlink" Target="https://atendimento.teconline.com.br/hc/pt-br/articles/39656940905229-26-08-2025-Comunicado-Importante-Feriados-M%C3%AAs-de-Setembro" TargetMode="External"/><Relationship Id="rId648" Type="http://schemas.openxmlformats.org/officeDocument/2006/relationships/hyperlink" Target="https://atendimento.teconline.com.br/hc/pt-br/articles/360033789491-Encerramento-de-OS-Vistoria-do-MAPA" TargetMode="External"/><Relationship Id="rId405" Type="http://schemas.openxmlformats.org/officeDocument/2006/relationships/hyperlink" Target="https://wilsonsonstrg.zendesk.com/api/v2/help_center/pt-br/articles/39656940905229.json" TargetMode="External"/><Relationship Id="rId647" Type="http://schemas.openxmlformats.org/officeDocument/2006/relationships/hyperlink" Target="https://wilsonsonstrg.zendesk.com/api/v2/help_center/pt-br/articles/360033789491.json" TargetMode="External"/><Relationship Id="rId889" Type="http://schemas.openxmlformats.org/officeDocument/2006/relationships/hyperlink" Target="https://wilsonsonsclsa.zendesk.com/api/v2/help_center/pt-br/articles/17576960767501.json" TargetMode="External"/><Relationship Id="rId880" Type="http://schemas.openxmlformats.org/officeDocument/2006/relationships/hyperlink" Target="https://wilsonsonsclsa.zendesk.com/hc/pt-br/articles/21193197828493-Quais-certifica%C3%A7%C3%B5es-que-o-CLSA-possui" TargetMode="External"/><Relationship Id="rId400" Type="http://schemas.openxmlformats.org/officeDocument/2006/relationships/hyperlink" Target="https://atendimento.teconline.com.br/hc/pt-br/articles/41200449568653-Altera%C3%A7%C3%A3o-no-Expediente-28-e-29-11" TargetMode="External"/><Relationship Id="rId642" Type="http://schemas.openxmlformats.org/officeDocument/2006/relationships/hyperlink" Target="https://atendimento.teconline.com.br/hc/pt-br/articles/360033811191-Ficha-de-Emerg%C3%AAncia-Processo-de-Exporta%C3%A7%C3%A3o-Cabotagem-Embarque" TargetMode="External"/><Relationship Id="rId884" Type="http://schemas.openxmlformats.org/officeDocument/2006/relationships/hyperlink" Target="https://wilsonsonsclsa.zendesk.com/hc/pt-br/articles/21191019931405-Onde-posso-consultar-os-certificados-de-Qualidade-e-Meio-Ambiente-do-Centro-Log%C3%ADstico-Santo-Andr%C3%A9" TargetMode="External"/><Relationship Id="rId641" Type="http://schemas.openxmlformats.org/officeDocument/2006/relationships/hyperlink" Target="https://wilsonsonstrg.zendesk.com/api/v2/help_center/pt-br/articles/360033811191.json" TargetMode="External"/><Relationship Id="rId883" Type="http://schemas.openxmlformats.org/officeDocument/2006/relationships/hyperlink" Target="https://wilsonsonsclsa.zendesk.com/api/v2/help_center/pt-br/articles/21191019931405.json" TargetMode="External"/><Relationship Id="rId640" Type="http://schemas.openxmlformats.org/officeDocument/2006/relationships/hyperlink" Target="https://atendimento.teconline.com.br/hc/pt-br/articles/360033812011-Retirada-de-container-Desist%C3%AAncia-de-Embarque-de-Exporta%C3%A7%C3%A3o" TargetMode="External"/><Relationship Id="rId882" Type="http://schemas.openxmlformats.org/officeDocument/2006/relationships/hyperlink" Target="https://wilsonsonsclsa.zendesk.com/hc/pt-br/articles/21191337151245-Onde-posso-consultar-a-Pol%C3%ADtica-de-Gest%C3%A3o-Integrada-definida-para-o-Centro-Log%C3%ADstico-Santo-Andr%C3%A9" TargetMode="External"/><Relationship Id="rId881" Type="http://schemas.openxmlformats.org/officeDocument/2006/relationships/hyperlink" Target="https://wilsonsonsclsa.zendesk.com/api/v2/help_center/pt-br/articles/21191337151245.json" TargetMode="External"/><Relationship Id="rId635" Type="http://schemas.openxmlformats.org/officeDocument/2006/relationships/hyperlink" Target="https://wilsonsonstrg.zendesk.com/api/v2/help_center/pt-br/articles/360033823631.json" TargetMode="External"/><Relationship Id="rId877" Type="http://schemas.openxmlformats.org/officeDocument/2006/relationships/hyperlink" Target="https://wilsonsonsclsa.zendesk.com/api/v2/help_center/pt-br/articles/21194573757837.json" TargetMode="External"/><Relationship Id="rId634" Type="http://schemas.openxmlformats.org/officeDocument/2006/relationships/hyperlink" Target="https://atendimento.teconline.com.br/hc/pt-br/articles/360038372991-Consulta-Booking" TargetMode="External"/><Relationship Id="rId876" Type="http://schemas.openxmlformats.org/officeDocument/2006/relationships/hyperlink" Target="https://wilsonsonsclsa.zendesk.com/hc/pt-br/articles/21320366235149-Informa%C3%A7%C3%B5es-sobre-Faturamento" TargetMode="External"/><Relationship Id="rId633" Type="http://schemas.openxmlformats.org/officeDocument/2006/relationships/hyperlink" Target="https://wilsonsonstrg.zendesk.com/api/v2/help_center/pt-br/articles/360038372991.json" TargetMode="External"/><Relationship Id="rId875" Type="http://schemas.openxmlformats.org/officeDocument/2006/relationships/hyperlink" Target="https://wilsonsonsclsa.zendesk.com/api/v2/help_center/pt-br/articles/21320366235149.json" TargetMode="External"/><Relationship Id="rId632" Type="http://schemas.openxmlformats.org/officeDocument/2006/relationships/hyperlink" Target="https://atendimento.teconline.com.br/hc/pt-br/articles/360038373511-Consulta-Nota-Fiscal-Exporta%C3%A7%C3%A3o" TargetMode="External"/><Relationship Id="rId874" Type="http://schemas.openxmlformats.org/officeDocument/2006/relationships/hyperlink" Target="https://wilsonsonsclsa.zendesk.com/hc/pt-br/articles/21321143473549-N%C3%A3o-recebi-o-faturamento-ou-boleto-para-pagamento-o-que-eu-fa%C3%A7o" TargetMode="External"/><Relationship Id="rId639" Type="http://schemas.openxmlformats.org/officeDocument/2006/relationships/hyperlink" Target="https://wilsonsonstrg.zendesk.com/api/v2/help_center/pt-br/articles/360033812011.json" TargetMode="External"/><Relationship Id="rId638" Type="http://schemas.openxmlformats.org/officeDocument/2006/relationships/hyperlink" Target="https://atendimento.teconline.com.br/hc/pt-br/articles/360033453872-Solicita%C3%A7%C3%A3o-de-Carga-P%C3%A1tio" TargetMode="External"/><Relationship Id="rId637" Type="http://schemas.openxmlformats.org/officeDocument/2006/relationships/hyperlink" Target="https://wilsonsonstrg.zendesk.com/api/v2/help_center/pt-br/articles/360033453872.json" TargetMode="External"/><Relationship Id="rId879" Type="http://schemas.openxmlformats.org/officeDocument/2006/relationships/hyperlink" Target="https://wilsonsonsclsa.zendesk.com/api/v2/help_center/pt-br/articles/21193197828493.json" TargetMode="External"/><Relationship Id="rId636" Type="http://schemas.openxmlformats.org/officeDocument/2006/relationships/hyperlink" Target="https://atendimento.teconline.com.br/hc/pt-br/articles/360033823631-Solicitar-Despachos-sobre-%C3%81guas-DSA" TargetMode="External"/><Relationship Id="rId878" Type="http://schemas.openxmlformats.org/officeDocument/2006/relationships/hyperlink" Target="https://wilsonsonsclsa.zendesk.com/hc/pt-br/articles/21194573757837-Solicita%C3%A7%C3%A3o-de-Visitas-e-Auditorias-Centro-de-Distribui%C3%A7%C3%A3o" TargetMode="External"/><Relationship Id="rId631" Type="http://schemas.openxmlformats.org/officeDocument/2006/relationships/hyperlink" Target="https://wilsonsonstrg.zendesk.com/api/v2/help_center/pt-br/articles/360038373511.json" TargetMode="External"/><Relationship Id="rId873" Type="http://schemas.openxmlformats.org/officeDocument/2006/relationships/hyperlink" Target="https://wilsonsonsclsa.zendesk.com/api/v2/help_center/pt-br/articles/21321143473549.json" TargetMode="External"/><Relationship Id="rId630" Type="http://schemas.openxmlformats.org/officeDocument/2006/relationships/hyperlink" Target="https://atendimento.teconline.com.br/hc/pt-br/articles/360038006272-Agendamento-de-Retirada-de-Vazio-Barca%C3%A7a" TargetMode="External"/><Relationship Id="rId872" Type="http://schemas.openxmlformats.org/officeDocument/2006/relationships/hyperlink" Target="https://wilsonsonsclsa.zendesk.com/hc/pt-br/articles/21321243806605-Como-fa%C3%A7o-para-negociar-ou-renegociar-minha-d%C3%ADvida" TargetMode="External"/><Relationship Id="rId871" Type="http://schemas.openxmlformats.org/officeDocument/2006/relationships/hyperlink" Target="https://wilsonsonsclsa.zendesk.com/api/v2/help_center/pt-br/articles/21321243806605.json" TargetMode="External"/><Relationship Id="rId870" Type="http://schemas.openxmlformats.org/officeDocument/2006/relationships/hyperlink" Target="https://wilsonsonsclsa.zendesk.com/hc/pt-br/articles/21335802337165-Primeiro-acesso-ao-Portal-Log%C3%ADstica" TargetMode="External"/><Relationship Id="rId829" Type="http://schemas.openxmlformats.org/officeDocument/2006/relationships/hyperlink" Target="https://wilsonsonstrg.zendesk.com/api/v2/help_center/pt-br/articles/360007056091.json" TargetMode="External"/><Relationship Id="rId828" Type="http://schemas.openxmlformats.org/officeDocument/2006/relationships/hyperlink" Target="https://atendimento.teconline.com.br/hc/pt-br/articles/360029135751-27-05-19-Processo-de-Recebimento-de-Pagamentos-Tecon-Rio-Grande" TargetMode="External"/><Relationship Id="rId827" Type="http://schemas.openxmlformats.org/officeDocument/2006/relationships/hyperlink" Target="https://wilsonsonstrg.zendesk.com/api/v2/help_center/pt-br/articles/360029135751.json" TargetMode="External"/><Relationship Id="rId822" Type="http://schemas.openxmlformats.org/officeDocument/2006/relationships/hyperlink" Target="https://atendimento.teconline.com.br/hc/pt-br/articles/360038284651-20-09-19-Comunicado-Ficha-de-Emerg%C3%AAncia" TargetMode="External"/><Relationship Id="rId821" Type="http://schemas.openxmlformats.org/officeDocument/2006/relationships/hyperlink" Target="https://wilsonsonstrg.zendesk.com/api/v2/help_center/pt-br/articles/360038284651.json" TargetMode="External"/><Relationship Id="rId820" Type="http://schemas.openxmlformats.org/officeDocument/2006/relationships/hyperlink" Target="https://atendimento.teconline.com.br/hc/pt-br/articles/360037925072-05-01-20-Novas-Nomenclaturas" TargetMode="External"/><Relationship Id="rId826" Type="http://schemas.openxmlformats.org/officeDocument/2006/relationships/hyperlink" Target="https://atendimento.teconline.com.br/hc/pt-br/articles/115013900628-30-05-19-Pol%C3%ADtica-de-Cancelamento-de-Nota-Fiscal" TargetMode="External"/><Relationship Id="rId825" Type="http://schemas.openxmlformats.org/officeDocument/2006/relationships/hyperlink" Target="https://wilsonsonstrg.zendesk.com/api/v2/help_center/pt-br/articles/115013900628.json" TargetMode="External"/><Relationship Id="rId824" Type="http://schemas.openxmlformats.org/officeDocument/2006/relationships/hyperlink" Target="https://atendimento.teconline.com.br/hc/pt-br/articles/360028822912-01-06-19-Processo-Padr%C3%A3o-de-Recebimento-dos-Faturamentos-Wilson-Sons" TargetMode="External"/><Relationship Id="rId823" Type="http://schemas.openxmlformats.org/officeDocument/2006/relationships/hyperlink" Target="https://wilsonsonstrg.zendesk.com/api/v2/help_center/pt-br/articles/360028822912.json" TargetMode="External"/><Relationship Id="rId819" Type="http://schemas.openxmlformats.org/officeDocument/2006/relationships/hyperlink" Target="https://wilsonsonstrg.zendesk.com/api/v2/help_center/pt-br/articles/360037925072.json" TargetMode="External"/><Relationship Id="rId818" Type="http://schemas.openxmlformats.org/officeDocument/2006/relationships/hyperlink" Target="https://atendimento.teconline.com.br/hc/pt-br/articles/360038940492-07-01-20-Comunicado-Mudan%C3%A7as-nos-Endere%C3%A7os-de-E-mails" TargetMode="External"/><Relationship Id="rId817" Type="http://schemas.openxmlformats.org/officeDocument/2006/relationships/hyperlink" Target="https://wilsonsonstrg.zendesk.com/api/v2/help_center/pt-br/articles/360038940492.json" TargetMode="External"/><Relationship Id="rId816" Type="http://schemas.openxmlformats.org/officeDocument/2006/relationships/hyperlink" Target="https://atendimento.teconline.com.br/hc/pt-br/articles/360041450431-24-03-20-Documentos-Originais-Importa%C3%A7%C3%A3o-Termo-PDF-edit%C3%A1vel" TargetMode="External"/><Relationship Id="rId811" Type="http://schemas.openxmlformats.org/officeDocument/2006/relationships/hyperlink" Target="https://wilsonsonstrg.zendesk.com/api/v2/help_center/pt-br/articles/360044574571.json" TargetMode="External"/><Relationship Id="rId810" Type="http://schemas.openxmlformats.org/officeDocument/2006/relationships/hyperlink" Target="https://atendimento.teconline.com.br/hc/pt-br/articles/360047722531-12-08-20-Faturamento-Tecon-Rio-Grande" TargetMode="External"/><Relationship Id="rId815" Type="http://schemas.openxmlformats.org/officeDocument/2006/relationships/hyperlink" Target="https://wilsonsonstrg.zendesk.com/api/v2/help_center/pt-br/articles/360041450431.json" TargetMode="External"/><Relationship Id="rId814" Type="http://schemas.openxmlformats.org/officeDocument/2006/relationships/hyperlink" Target="https://atendimento.teconline.com.br/hc/pt-br/articles/360044125672-03-06-20-Temperatura-Containers-Reefer-Importa%C3%A7%C3%A3o" TargetMode="External"/><Relationship Id="rId813" Type="http://schemas.openxmlformats.org/officeDocument/2006/relationships/hyperlink" Target="https://wilsonsonstrg.zendesk.com/api/v2/help_center/pt-br/articles/360044125672.json" TargetMode="External"/><Relationship Id="rId812" Type="http://schemas.openxmlformats.org/officeDocument/2006/relationships/hyperlink" Target="https://atendimento.teconline.com.br/hc/pt-br/articles/360044574571-04-06-20-Novo-Procedimento-Armaz%C3%A9m-de-Exporta%C3%A7%C3%A3o" TargetMode="External"/><Relationship Id="rId609" Type="http://schemas.openxmlformats.org/officeDocument/2006/relationships/hyperlink" Target="https://wilsonsonstrg.zendesk.com/api/v2/help_center/pt-br/articles/360038044552.json" TargetMode="External"/><Relationship Id="rId608" Type="http://schemas.openxmlformats.org/officeDocument/2006/relationships/hyperlink" Target="https://atendimento.teconline.com.br/hc/pt-br/articles/360038160532-Programa%C3%A7%C3%A3o-de-Navios" TargetMode="External"/><Relationship Id="rId607" Type="http://schemas.openxmlformats.org/officeDocument/2006/relationships/hyperlink" Target="https://wilsonsonstrg.zendesk.com/api/v2/help_center/pt-br/articles/360038160532.json" TargetMode="External"/><Relationship Id="rId849" Type="http://schemas.openxmlformats.org/officeDocument/2006/relationships/hyperlink" Target="https://wilsonsonstowage.zendesk.com/api/v2/help_center/en-us/articles/15794541644685.json" TargetMode="External"/><Relationship Id="rId602" Type="http://schemas.openxmlformats.org/officeDocument/2006/relationships/hyperlink" Target="https://atendimento.teconline.com.br/hc/pt-br/articles/360039119351-Consulta-Sailing-Breakdown" TargetMode="External"/><Relationship Id="rId844" Type="http://schemas.openxmlformats.org/officeDocument/2006/relationships/hyperlink" Target="https://wilsonsonstowage.zendesk.com/hc/en-us/articles/15794575554829-For-Mooring-on-Buoy-or-anchoring-at-Anchorage" TargetMode="External"/><Relationship Id="rId601" Type="http://schemas.openxmlformats.org/officeDocument/2006/relationships/hyperlink" Target="https://wilsonsonstrg.zendesk.com/api/v2/help_center/pt-br/articles/360039119351.json" TargetMode="External"/><Relationship Id="rId843" Type="http://schemas.openxmlformats.org/officeDocument/2006/relationships/hyperlink" Target="https://wilsonsonstowage.zendesk.com/api/v2/help_center/en-us/articles/15794575554829.json" TargetMode="External"/><Relationship Id="rId600" Type="http://schemas.openxmlformats.org/officeDocument/2006/relationships/hyperlink" Target="https://atendimento.teconline.com.br/hc/pt-br/articles/360039238731-Consulta-Movimenta%C3%A7%C3%A3o" TargetMode="External"/><Relationship Id="rId842" Type="http://schemas.openxmlformats.org/officeDocument/2006/relationships/hyperlink" Target="https://wilsonsonstowage.zendesk.com/hc/en-us/articles/15794578117517-Tug-pushing-the-vessel-against-the-quay-at-Aracaju" TargetMode="External"/><Relationship Id="rId841" Type="http://schemas.openxmlformats.org/officeDocument/2006/relationships/hyperlink" Target="https://wilsonsonstowage.zendesk.com/api/v2/help_center/en-us/articles/15794578117517.json" TargetMode="External"/><Relationship Id="rId606" Type="http://schemas.openxmlformats.org/officeDocument/2006/relationships/hyperlink" Target="https://atendimento.teconline.com.br/hc/pt-br/articles/360038794051-Acompanhamento-de-Processo-Importa%C3%A7%C3%A3o" TargetMode="External"/><Relationship Id="rId848" Type="http://schemas.openxmlformats.org/officeDocument/2006/relationships/hyperlink" Target="https://wilsonsonstowage.zendesk.com/hc/en-us/articles/15794519365773-Rates-for-up-to-4-tugs-in-4-tugs-out-for-vessel-up-to-DWT-250-000" TargetMode="External"/><Relationship Id="rId605" Type="http://schemas.openxmlformats.org/officeDocument/2006/relationships/hyperlink" Target="https://wilsonsonstrg.zendesk.com/api/v2/help_center/pt-br/articles/360038794051.json" TargetMode="External"/><Relationship Id="rId847" Type="http://schemas.openxmlformats.org/officeDocument/2006/relationships/hyperlink" Target="https://wilsonsonstowage.zendesk.com/api/v2/help_center/en-us/articles/15794519365773.json" TargetMode="External"/><Relationship Id="rId604" Type="http://schemas.openxmlformats.org/officeDocument/2006/relationships/hyperlink" Target="https://atendimento.teconline.com.br/hc/pt-br/articles/360039074331-Bloqueio-de-BL-Desdobramento" TargetMode="External"/><Relationship Id="rId846" Type="http://schemas.openxmlformats.org/officeDocument/2006/relationships/hyperlink" Target="https://wilsonsonstowage.zendesk.com/hc/en-us/articles/15794522403597-Rates-for-up-to-4-tugs-in-4-tugs-out" TargetMode="External"/><Relationship Id="rId603" Type="http://schemas.openxmlformats.org/officeDocument/2006/relationships/hyperlink" Target="https://wilsonsonstrg.zendesk.com/api/v2/help_center/pt-br/articles/360039074331.json" TargetMode="External"/><Relationship Id="rId845" Type="http://schemas.openxmlformats.org/officeDocument/2006/relationships/hyperlink" Target="https://wilsonsonstowage.zendesk.com/api/v2/help_center/en-us/articles/15794522403597.json" TargetMode="External"/><Relationship Id="rId840" Type="http://schemas.openxmlformats.org/officeDocument/2006/relationships/hyperlink" Target="https://wilsonsonstowage.zendesk.com/hc/en-us/articles/15794606914701-Additional-tug-at-Ponta-Ubu-Vit%C3%B3ria" TargetMode="External"/><Relationship Id="rId839" Type="http://schemas.openxmlformats.org/officeDocument/2006/relationships/hyperlink" Target="https://wilsonsonstowage.zendesk.com/api/v2/help_center/en-us/articles/15794606914701.json" TargetMode="External"/><Relationship Id="rId838" Type="http://schemas.openxmlformats.org/officeDocument/2006/relationships/hyperlink" Target="https://wilsonsonstowage.zendesk.com/hc/en-us/articles/15794641932557-Employment-of-the-5th-tug-at-Praia-Mole-Vit%C3%B3ria" TargetMode="External"/><Relationship Id="rId833" Type="http://schemas.openxmlformats.org/officeDocument/2006/relationships/hyperlink" Target="https://wilsonsonstowage.zendesk.com/api/v2/help_center/en-us/articles/15794675334285.json" TargetMode="External"/><Relationship Id="rId832" Type="http://schemas.openxmlformats.org/officeDocument/2006/relationships/hyperlink" Target="https://wilsonsonstowage.zendesk.com/hc/en-us/articles/15794686007053-When-Mob-Demob-charges-apply-at-the-port-of-Recife" TargetMode="External"/><Relationship Id="rId831" Type="http://schemas.openxmlformats.org/officeDocument/2006/relationships/hyperlink" Target="https://wilsonsonstowage.zendesk.com/api/v2/help_center/en-us/articles/15794686007053.json" TargetMode="External"/><Relationship Id="rId830" Type="http://schemas.openxmlformats.org/officeDocument/2006/relationships/hyperlink" Target="https://atendimento.teconline.com.br/hc/pt-br/articles/360007056091-06-07-18-Comunicado-DUE-WEB" TargetMode="External"/><Relationship Id="rId837" Type="http://schemas.openxmlformats.org/officeDocument/2006/relationships/hyperlink" Target="https://wilsonsonstowage.zendesk.com/api/v2/help_center/en-us/articles/15794641932557.json" TargetMode="External"/><Relationship Id="rId836" Type="http://schemas.openxmlformats.org/officeDocument/2006/relationships/hyperlink" Target="https://wilsonsonstowage.zendesk.com/hc/en-us/articles/15794645210893-When-Turning-a-vessel-at-Paranagua-is-charged" TargetMode="External"/><Relationship Id="rId835" Type="http://schemas.openxmlformats.org/officeDocument/2006/relationships/hyperlink" Target="https://wilsonsonstowage.zendesk.com/api/v2/help_center/en-us/articles/15794645210893.json" TargetMode="External"/><Relationship Id="rId834" Type="http://schemas.openxmlformats.org/officeDocument/2006/relationships/hyperlink" Target="https://wilsonsonstowage.zendesk.com/hc/en-us/articles/15794675334285-When-Turning-a-vessel-at-Rio-Grande-is-charged" TargetMode="External"/><Relationship Id="rId228" Type="http://schemas.openxmlformats.org/officeDocument/2006/relationships/hyperlink" Target="https://atendimento.teconsvonline.com.br/hc/pt-br/articles/22883722491149-CONSULTAR-CADASTRO-PARA-LIBERA%C3%87%C3%83O-DE-BOOKING-CABOTAGEM" TargetMode="External"/><Relationship Id="rId227" Type="http://schemas.openxmlformats.org/officeDocument/2006/relationships/hyperlink" Target="https://wilsonsons.zendesk.com/api/v2/help_center/pt-br/articles/22883722491149.json" TargetMode="External"/><Relationship Id="rId469" Type="http://schemas.openxmlformats.org/officeDocument/2006/relationships/hyperlink" Target="https://wilsonsonstrg.zendesk.com/api/v2/help_center/pt-br/articles/23419183642381.json" TargetMode="External"/><Relationship Id="rId226" Type="http://schemas.openxmlformats.org/officeDocument/2006/relationships/hyperlink" Target="https://atendimento.teconsvonline.com.br/hc/pt-br/articles/22884212670221-SOLICITA%C3%87%C3%83O-DE-ACESSO-AO-TERMINAL-Acesso-com-o-celular" TargetMode="External"/><Relationship Id="rId468" Type="http://schemas.openxmlformats.org/officeDocument/2006/relationships/hyperlink" Target="https://atendimento.teconline.com.br/hc/pt-br/articles/23611695756813-26-01-2024-Comunicado-Importante-Agendamento-Gates" TargetMode="External"/><Relationship Id="rId225" Type="http://schemas.openxmlformats.org/officeDocument/2006/relationships/hyperlink" Target="https://wilsonsons.zendesk.com/api/v2/help_center/pt-br/articles/22884212670221.json" TargetMode="External"/><Relationship Id="rId467" Type="http://schemas.openxmlformats.org/officeDocument/2006/relationships/hyperlink" Target="https://wilsonsonstrg.zendesk.com/api/v2/help_center/pt-br/articles/23611695756813.json" TargetMode="External"/><Relationship Id="rId229" Type="http://schemas.openxmlformats.org/officeDocument/2006/relationships/hyperlink" Target="https://wilsonsons.zendesk.com/api/v2/help_center/pt-br/articles/22859736115341.json" TargetMode="External"/><Relationship Id="rId220" Type="http://schemas.openxmlformats.org/officeDocument/2006/relationships/hyperlink" Target="https://atendimento.teconsvonline.com.br/hc/pt-br/articles/23317440954509-CONTATOS-DM2" TargetMode="External"/><Relationship Id="rId462" Type="http://schemas.openxmlformats.org/officeDocument/2006/relationships/hyperlink" Target="https://atendimento.teconline.com.br/hc/pt-br/articles/25137822806925-18-03-2024-Hor%C3%A1rio-Especial-Tecon-Rio-Grande-Comunica" TargetMode="External"/><Relationship Id="rId461" Type="http://schemas.openxmlformats.org/officeDocument/2006/relationships/hyperlink" Target="https://wilsonsonstrg.zendesk.com/api/v2/help_center/pt-br/articles/25137822806925.json" TargetMode="External"/><Relationship Id="rId460" Type="http://schemas.openxmlformats.org/officeDocument/2006/relationships/hyperlink" Target="https://atendimento.teconline.com.br/hc/pt-br/articles/26227407016205-26-04-2024-Hor%C3%A1rio-Especial-Tecon-Rio-Grande-Comunica" TargetMode="External"/><Relationship Id="rId224" Type="http://schemas.openxmlformats.org/officeDocument/2006/relationships/hyperlink" Target="https://atendimento.teconsvonline.com.br/hc/pt-br/articles/23047723490061-Alinhamento-Peso-da-unidade-ultrapassando-Max-Gross" TargetMode="External"/><Relationship Id="rId466" Type="http://schemas.openxmlformats.org/officeDocument/2006/relationships/hyperlink" Target="https://atendimento.teconline.com.br/hc/pt-br/articles/24151933493517-18-02-2024-Novo-Procedimento-Toler%C3%A2ncia-para-Agendamento-Cargas-Armaz%C3%A9ns" TargetMode="External"/><Relationship Id="rId223" Type="http://schemas.openxmlformats.org/officeDocument/2006/relationships/hyperlink" Target="https://wilsonsons.zendesk.com/api/v2/help_center/pt-br/articles/23047723490061.json" TargetMode="External"/><Relationship Id="rId465" Type="http://schemas.openxmlformats.org/officeDocument/2006/relationships/hyperlink" Target="https://wilsonsonstrg.zendesk.com/api/v2/help_center/pt-br/articles/24151933493517.json" TargetMode="External"/><Relationship Id="rId222" Type="http://schemas.openxmlformats.org/officeDocument/2006/relationships/hyperlink" Target="https://atendimento.teconsvonline.com.br/hc/pt-br/articles/23120757650957-FLUXO-DE-DSA-2024" TargetMode="External"/><Relationship Id="rId464" Type="http://schemas.openxmlformats.org/officeDocument/2006/relationships/hyperlink" Target="https://atendimento.teconline.com.br/hc/pt-br/articles/24152041145101-18-02-2024-Novo-Procedimento-Agendamento-Cargas-Armaz%C3%A9ns" TargetMode="External"/><Relationship Id="rId221" Type="http://schemas.openxmlformats.org/officeDocument/2006/relationships/hyperlink" Target="https://wilsonsons.zendesk.com/api/v2/help_center/pt-br/articles/23120757650957.json" TargetMode="External"/><Relationship Id="rId463" Type="http://schemas.openxmlformats.org/officeDocument/2006/relationships/hyperlink" Target="https://wilsonsonstrg.zendesk.com/api/v2/help_center/pt-br/articles/24152041145101.json" TargetMode="External"/><Relationship Id="rId217" Type="http://schemas.openxmlformats.org/officeDocument/2006/relationships/hyperlink" Target="https://wilsonsons.zendesk.com/api/v2/help_center/pt-br/articles/23331971505165.json" TargetMode="External"/><Relationship Id="rId459" Type="http://schemas.openxmlformats.org/officeDocument/2006/relationships/hyperlink" Target="https://wilsonsonstrg.zendesk.com/api/v2/help_center/pt-br/articles/26227407016205.json" TargetMode="External"/><Relationship Id="rId216" Type="http://schemas.openxmlformats.org/officeDocument/2006/relationships/hyperlink" Target="https://atendimento.teconsvonline.com.br/hc/pt-br/articles/23333132191117-KILLING-REEFER" TargetMode="External"/><Relationship Id="rId458" Type="http://schemas.openxmlformats.org/officeDocument/2006/relationships/hyperlink" Target="https://atendimento.teconline.com.br/hc/pt-br/articles/26983378201357-23-05-2024-Novo-Procedimento-Carregamento-de-Container-%C3%81rea-RTG" TargetMode="External"/><Relationship Id="rId215" Type="http://schemas.openxmlformats.org/officeDocument/2006/relationships/hyperlink" Target="https://wilsonsons.zendesk.com/api/v2/help_center/pt-br/articles/23333132191117.json" TargetMode="External"/><Relationship Id="rId457" Type="http://schemas.openxmlformats.org/officeDocument/2006/relationships/hyperlink" Target="https://wilsonsonstrg.zendesk.com/api/v2/help_center/pt-br/articles/26983378201357.json" TargetMode="External"/><Relationship Id="rId699" Type="http://schemas.openxmlformats.org/officeDocument/2006/relationships/hyperlink" Target="https://wilsonsonstrg.zendesk.com/api/v2/help_center/pt-br/articles/4422723563405.json" TargetMode="External"/><Relationship Id="rId214" Type="http://schemas.openxmlformats.org/officeDocument/2006/relationships/hyperlink" Target="https://atendimento.teconsvonline.com.br/hc/pt-br/articles/23943883896589-Aten%C3%A7%C3%A3o-Mudan%C3%A7as-no-acesso-de-carretas-ao-Centro-Log%C3%ADstico" TargetMode="External"/><Relationship Id="rId456" Type="http://schemas.openxmlformats.org/officeDocument/2006/relationships/hyperlink" Target="https://atendimento.teconline.com.br/hc/pt-br/articles/27004238909453-Calculadora-de-Servi%C3%A7os-e-Pre%C3%A7os-Wilson-Sons-Tecon-Rio-Grande" TargetMode="External"/><Relationship Id="rId698" Type="http://schemas.openxmlformats.org/officeDocument/2006/relationships/hyperlink" Target="https://atendimento.teconline.com.br/hc/pt-br/articles/14178022837773-21-03-23-Comunicado-Importante-Armaz%C3%A9m-Exporta%C3%A7%C3%A3o" TargetMode="External"/><Relationship Id="rId219" Type="http://schemas.openxmlformats.org/officeDocument/2006/relationships/hyperlink" Target="https://wilsonsons.zendesk.com/api/v2/help_center/pt-br/articles/23317440954509.json" TargetMode="External"/><Relationship Id="rId218" Type="http://schemas.openxmlformats.org/officeDocument/2006/relationships/hyperlink" Target="https://atendimento.teconsvonline.com.br/hc/pt-br/articles/23331971505165-Regras-para-tratativa-Allink-LCL" TargetMode="External"/><Relationship Id="rId451" Type="http://schemas.openxmlformats.org/officeDocument/2006/relationships/hyperlink" Target="https://wilsonsonstrg.zendesk.com/api/v2/help_center/pt-br/articles/27323227298957.json" TargetMode="External"/><Relationship Id="rId693" Type="http://schemas.openxmlformats.org/officeDocument/2006/relationships/hyperlink" Target="https://wilsonsonstrg.zendesk.com/api/v2/help_center/pt-br/articles/14621914526093.json" TargetMode="External"/><Relationship Id="rId450" Type="http://schemas.openxmlformats.org/officeDocument/2006/relationships/hyperlink" Target="https://atendimento.teconline.com.br/hc/pt-br/articles/28301456374797-10-07-2024-Comunicado-Importante-Notifica%C3%A7%C3%A3o-Programa%C3%A7%C3%A3o-de-Navios" TargetMode="External"/><Relationship Id="rId692" Type="http://schemas.openxmlformats.org/officeDocument/2006/relationships/hyperlink" Target="https://atendimento.teconline.com.br/hc/pt-br/articles/5343888822925-06-04-22-Feriados-de-P%C3%A1scoa-e-Tiradentes" TargetMode="External"/><Relationship Id="rId691" Type="http://schemas.openxmlformats.org/officeDocument/2006/relationships/hyperlink" Target="https://wilsonsonstrg.zendesk.com/api/v2/help_center/pt-br/articles/5343888822925.json" TargetMode="External"/><Relationship Id="rId690" Type="http://schemas.openxmlformats.org/officeDocument/2006/relationships/hyperlink" Target="https://atendimento.teconline.com.br/hc/pt-br/articles/15870500978701-17-05-23-Comunicado-Importante-Hor%C3%A1rio-de-Atendimento-Armaz%C3%A9m-Exporta%C3%A7%C3%A3o" TargetMode="External"/><Relationship Id="rId213" Type="http://schemas.openxmlformats.org/officeDocument/2006/relationships/hyperlink" Target="https://wilsonsons.zendesk.com/api/v2/help_center/pt-br/articles/23943883896589.json" TargetMode="External"/><Relationship Id="rId455" Type="http://schemas.openxmlformats.org/officeDocument/2006/relationships/hyperlink" Target="https://wilsonsonstrg.zendesk.com/api/v2/help_center/pt-br/articles/27004238909453.json" TargetMode="External"/><Relationship Id="rId697" Type="http://schemas.openxmlformats.org/officeDocument/2006/relationships/hyperlink" Target="https://wilsonsonstrg.zendesk.com/api/v2/help_center/pt-br/articles/14178022837773.json" TargetMode="External"/><Relationship Id="rId212" Type="http://schemas.openxmlformats.org/officeDocument/2006/relationships/hyperlink" Target="https://atendimento.teconsvonline.com.br/hc/pt-br/articles/24023737865997-NAVIO-EM-OPERA%C3%87%C3%83O" TargetMode="External"/><Relationship Id="rId454" Type="http://schemas.openxmlformats.org/officeDocument/2006/relationships/hyperlink" Target="https://atendimento.teconline.com.br/hc/pt-br/articles/27127276969741-28-05-2024-Novo-Procedimento-Libera%C3%A7%C3%A3o-de-Ve%C3%ADculos-Importados" TargetMode="External"/><Relationship Id="rId696" Type="http://schemas.openxmlformats.org/officeDocument/2006/relationships/hyperlink" Target="https://atendimento.teconline.com.br/hc/pt-br/articles/4463234184333-21-02-22-Feriado-de-Carnaval" TargetMode="External"/><Relationship Id="rId211" Type="http://schemas.openxmlformats.org/officeDocument/2006/relationships/hyperlink" Target="https://wilsonsons.zendesk.com/api/v2/help_center/pt-br/articles/24023737865997.json" TargetMode="External"/><Relationship Id="rId453" Type="http://schemas.openxmlformats.org/officeDocument/2006/relationships/hyperlink" Target="https://wilsonsonstrg.zendesk.com/api/v2/help_center/pt-br/articles/27127276969741.json" TargetMode="External"/><Relationship Id="rId695" Type="http://schemas.openxmlformats.org/officeDocument/2006/relationships/hyperlink" Target="https://wilsonsonstrg.zendesk.com/api/v2/help_center/pt-br/articles/4463234184333.json" TargetMode="External"/><Relationship Id="rId210" Type="http://schemas.openxmlformats.org/officeDocument/2006/relationships/hyperlink" Target="https://atendimento.teconsvonline.com.br/hc/pt-br/articles/24204752747277-AVERBA%C3%87%C3%83O-BAGAGEM" TargetMode="External"/><Relationship Id="rId452" Type="http://schemas.openxmlformats.org/officeDocument/2006/relationships/hyperlink" Target="https://atendimento.teconline.com.br/hc/pt-br/articles/27323227298957-05-06-2024-Comunicado-Importante-Recebimento-de-Containers-Cheios-DRY" TargetMode="External"/><Relationship Id="rId694" Type="http://schemas.openxmlformats.org/officeDocument/2006/relationships/hyperlink" Target="https://atendimento.teconline.com.br/hc/pt-br/articles/14621914526093-05-04-23-Novo-Procedimento-Levante-e-Sa%C3%ADda-de-Cargas-DI-DTA-Importa%C3%A7%C3%A3o" TargetMode="External"/><Relationship Id="rId491" Type="http://schemas.openxmlformats.org/officeDocument/2006/relationships/hyperlink" Target="https://wilsonsonstrg.zendesk.com/api/v2/help_center/pt-br/articles/21140250551565.json" TargetMode="External"/><Relationship Id="rId490" Type="http://schemas.openxmlformats.org/officeDocument/2006/relationships/hyperlink" Target="https://atendimento.teconline.com.br/hc/pt-br/articles/21140353410061-08-11-2023-Hor%C3%A1rio-Especial-Tecon-Rio-Grande-Comunica" TargetMode="External"/><Relationship Id="rId249" Type="http://schemas.openxmlformats.org/officeDocument/2006/relationships/hyperlink" Target="https://wilsonsons.zendesk.com/api/v2/help_center/pt-br/articles/22526318397453.json" TargetMode="External"/><Relationship Id="rId248" Type="http://schemas.openxmlformats.org/officeDocument/2006/relationships/hyperlink" Target="https://atendimento.teconsvonline.com.br/hc/pt-br/articles/22526541868941-E-mails-Armazem" TargetMode="External"/><Relationship Id="rId247" Type="http://schemas.openxmlformats.org/officeDocument/2006/relationships/hyperlink" Target="https://wilsonsons.zendesk.com/api/v2/help_center/pt-br/articles/22526541868941.json" TargetMode="External"/><Relationship Id="rId489" Type="http://schemas.openxmlformats.org/officeDocument/2006/relationships/hyperlink" Target="https://wilsonsonstrg.zendesk.com/api/v2/help_center/pt-br/articles/21140353410061.json" TargetMode="External"/><Relationship Id="rId242" Type="http://schemas.openxmlformats.org/officeDocument/2006/relationships/hyperlink" Target="https://atendimento.teconsvonline.com.br/hc/pt-br/articles/22527023643277-Emails-DHO" TargetMode="External"/><Relationship Id="rId484" Type="http://schemas.openxmlformats.org/officeDocument/2006/relationships/hyperlink" Target="https://atendimento.teconline.com.br/hc/pt-br/articles/21782606423309-29-11-2023-Comunicado-Importante-Altera%C3%A7%C3%A3o-no-Expediente" TargetMode="External"/><Relationship Id="rId241" Type="http://schemas.openxmlformats.org/officeDocument/2006/relationships/hyperlink" Target="https://wilsonsons.zendesk.com/api/v2/help_center/pt-br/articles/22527023643277.json" TargetMode="External"/><Relationship Id="rId483" Type="http://schemas.openxmlformats.org/officeDocument/2006/relationships/hyperlink" Target="https://wilsonsonstrg.zendesk.com/api/v2/help_center/pt-br/articles/21782606423309.json" TargetMode="External"/><Relationship Id="rId240" Type="http://schemas.openxmlformats.org/officeDocument/2006/relationships/hyperlink" Target="https://atendimento.teconsvonline.com.br/hc/pt-br/articles/22527297395469-Email-Seguran%C3%A7a-Patrimonial" TargetMode="External"/><Relationship Id="rId482" Type="http://schemas.openxmlformats.org/officeDocument/2006/relationships/hyperlink" Target="https://atendimento.teconline.com.br/hc/pt-br/articles/21970104444301-05-12-2023-Comunicado-Importante-Instabilidade-Atendimento-WhatsApp" TargetMode="External"/><Relationship Id="rId481" Type="http://schemas.openxmlformats.org/officeDocument/2006/relationships/hyperlink" Target="https://wilsonsonstrg.zendesk.com/api/v2/help_center/pt-br/articles/21970104444301.json" TargetMode="External"/><Relationship Id="rId246" Type="http://schemas.openxmlformats.org/officeDocument/2006/relationships/hyperlink" Target="https://atendimento.teconsvonline.com.br/hc/pt-br/articles/22526646445837-Emails-Opera%C3%A7%C3%B5es" TargetMode="External"/><Relationship Id="rId488" Type="http://schemas.openxmlformats.org/officeDocument/2006/relationships/hyperlink" Target="https://atendimento.teconline.com.br/hc/pt-br/articles/21442794584717-17-11-2023-Comunicado-Importante-Diverg%C3%AAncia-de-Peso-Exporta%C3%A7%C3%A3o" TargetMode="External"/><Relationship Id="rId245" Type="http://schemas.openxmlformats.org/officeDocument/2006/relationships/hyperlink" Target="https://wilsonsons.zendesk.com/api/v2/help_center/pt-br/articles/22526646445837.json" TargetMode="External"/><Relationship Id="rId487" Type="http://schemas.openxmlformats.org/officeDocument/2006/relationships/hyperlink" Target="https://wilsonsonstrg.zendesk.com/api/v2/help_center/pt-br/articles/21442794584717.json" TargetMode="External"/><Relationship Id="rId244" Type="http://schemas.openxmlformats.org/officeDocument/2006/relationships/hyperlink" Target="https://atendimento.teconsvonline.com.br/hc/pt-br/articles/22526914045965-Emails-Depot" TargetMode="External"/><Relationship Id="rId486" Type="http://schemas.openxmlformats.org/officeDocument/2006/relationships/hyperlink" Target="https://atendimento.teconline.com.br/hc/pt-br/articles/21570569609869-22-11-23-Comunicado-Importante-Altera%C3%A7%C3%A3o-no-Expediente" TargetMode="External"/><Relationship Id="rId243" Type="http://schemas.openxmlformats.org/officeDocument/2006/relationships/hyperlink" Target="https://wilsonsons.zendesk.com/api/v2/help_center/pt-br/articles/22526914045965.json" TargetMode="External"/><Relationship Id="rId485" Type="http://schemas.openxmlformats.org/officeDocument/2006/relationships/hyperlink" Target="https://wilsonsonstrg.zendesk.com/api/v2/help_center/pt-br/articles/21570569609869.json" TargetMode="External"/><Relationship Id="rId480" Type="http://schemas.openxmlformats.org/officeDocument/2006/relationships/hyperlink" Target="https://atendimento.teconline.com.br/hc/pt-br/articles/22119140551821-08-12-2023-Hor%C3%A1rio-Especial-Tecon-Rio-Grande-Comunica" TargetMode="External"/><Relationship Id="rId239" Type="http://schemas.openxmlformats.org/officeDocument/2006/relationships/hyperlink" Target="https://wilsonsons.zendesk.com/api/v2/help_center/pt-br/articles/22527297395469.json" TargetMode="External"/><Relationship Id="rId238" Type="http://schemas.openxmlformats.org/officeDocument/2006/relationships/hyperlink" Target="https://atendimento.teconsvonline.com.br/hc/pt-br/articles/22528858942477-Emails-Suprimentos" TargetMode="External"/><Relationship Id="rId237" Type="http://schemas.openxmlformats.org/officeDocument/2006/relationships/hyperlink" Target="https://wilsonsons.zendesk.com/api/v2/help_center/pt-br/articles/22528858942477.json" TargetMode="External"/><Relationship Id="rId479" Type="http://schemas.openxmlformats.org/officeDocument/2006/relationships/hyperlink" Target="https://wilsonsonstrg.zendesk.com/api/v2/help_center/pt-br/articles/22119140551821.json" TargetMode="External"/><Relationship Id="rId236" Type="http://schemas.openxmlformats.org/officeDocument/2006/relationships/hyperlink" Target="https://atendimento.teconsvonline.com.br/hc/pt-br/articles/22545719006093-Carga-que-entrar%C3%A1-em-Abandono" TargetMode="External"/><Relationship Id="rId478" Type="http://schemas.openxmlformats.org/officeDocument/2006/relationships/hyperlink" Target="https://atendimento.teconline.com.br/hc/pt-br/articles/22306998271629-12-12-2023-Comunicado-Importante-Canal-de-Atendimento-Motoristas" TargetMode="External"/><Relationship Id="rId231" Type="http://schemas.openxmlformats.org/officeDocument/2006/relationships/hyperlink" Target="https://wilsonsons.zendesk.com/api/v2/help_center/pt-br/articles/22718603281805.json" TargetMode="External"/><Relationship Id="rId473" Type="http://schemas.openxmlformats.org/officeDocument/2006/relationships/hyperlink" Target="https://wilsonsonstrg.zendesk.com/api/v2/help_center/pt-br/articles/22740942433421.json" TargetMode="External"/><Relationship Id="rId230" Type="http://schemas.openxmlformats.org/officeDocument/2006/relationships/hyperlink" Target="https://atendimento.teconsvonline.com.br/hc/pt-br/articles/22859736115341-COMUNICAR-AVARIA-DE-ORIGEM" TargetMode="External"/><Relationship Id="rId472" Type="http://schemas.openxmlformats.org/officeDocument/2006/relationships/hyperlink" Target="https://atendimento.teconline.com.br/hc/pt-br/articles/23064756986125-09-01-2024-Comunicado-Importante-Agendamento-Cargas-Armaz%C3%A9ns" TargetMode="External"/><Relationship Id="rId471" Type="http://schemas.openxmlformats.org/officeDocument/2006/relationships/hyperlink" Target="https://wilsonsonstrg.zendesk.com/api/v2/help_center/pt-br/articles/23064756986125.json" TargetMode="External"/><Relationship Id="rId470" Type="http://schemas.openxmlformats.org/officeDocument/2006/relationships/hyperlink" Target="https://atendimento.teconline.com.br/hc/pt-br/articles/23419183642381-18-01-2024-Novo-Procedimento-Acesso-Portarias-do-Terminal" TargetMode="External"/><Relationship Id="rId235" Type="http://schemas.openxmlformats.org/officeDocument/2006/relationships/hyperlink" Target="https://wilsonsons.zendesk.com/api/v2/help_center/pt-br/articles/22545719006093.json" TargetMode="External"/><Relationship Id="rId477" Type="http://schemas.openxmlformats.org/officeDocument/2006/relationships/hyperlink" Target="https://wilsonsonstrg.zendesk.com/api/v2/help_center/pt-br/articles/22306998271629.json" TargetMode="External"/><Relationship Id="rId234" Type="http://schemas.openxmlformats.org/officeDocument/2006/relationships/hyperlink" Target="https://atendimento.teconsvonline.com.br/hc/pt-br/articles/22601750339853-Portaria-n%C2%BA-11-de-26-05-23-Uso-dos-equipamentos-de-inspe%C3%A7%C3%A3o-n%C3%A3o-invasiva-em-SSA" TargetMode="External"/><Relationship Id="rId476" Type="http://schemas.openxmlformats.org/officeDocument/2006/relationships/hyperlink" Target="https://atendimento.teconline.com.br/hc/pt-br/articles/22450090828685-Agendamento-Carga-Importa%C3%A7%C3%A3o-e-Exporta%C3%A7%C3%A3o" TargetMode="External"/><Relationship Id="rId233" Type="http://schemas.openxmlformats.org/officeDocument/2006/relationships/hyperlink" Target="https://wilsonsons.zendesk.com/api/v2/help_center/pt-br/articles/22601750339853.json" TargetMode="External"/><Relationship Id="rId475" Type="http://schemas.openxmlformats.org/officeDocument/2006/relationships/hyperlink" Target="https://wilsonsonstrg.zendesk.com/api/v2/help_center/pt-br/articles/22450090828685.json" TargetMode="External"/><Relationship Id="rId232" Type="http://schemas.openxmlformats.org/officeDocument/2006/relationships/hyperlink" Target="https://atendimento.teconsvonline.com.br/hc/pt-br/articles/22718603281805-CARTAS-PROTESTO" TargetMode="External"/><Relationship Id="rId474" Type="http://schemas.openxmlformats.org/officeDocument/2006/relationships/hyperlink" Target="https://atendimento.teconline.com.br/hc/pt-br/articles/22740942433421-27-12-2023-Comunicado-Importante-Agendamento-Gates" TargetMode="External"/><Relationship Id="rId426" Type="http://schemas.openxmlformats.org/officeDocument/2006/relationships/hyperlink" Target="https://atendimento.teconline.com.br/hc/pt-br/articles/32750085420813-13-12-24-Comunicado-Importante-Novo-Link-de-Acesso-Rainbow" TargetMode="External"/><Relationship Id="rId668" Type="http://schemas.openxmlformats.org/officeDocument/2006/relationships/hyperlink" Target="https://atendimento.teconline.com.br/hc/pt-br/articles/10189750495757-27-10-22-Feriados-M%C3%AAs-de-Novembro" TargetMode="External"/><Relationship Id="rId425" Type="http://schemas.openxmlformats.org/officeDocument/2006/relationships/hyperlink" Target="https://wilsonsonstrg.zendesk.com/api/v2/help_center/pt-br/articles/32750085420813.json" TargetMode="External"/><Relationship Id="rId667" Type="http://schemas.openxmlformats.org/officeDocument/2006/relationships/hyperlink" Target="https://wilsonsonstrg.zendesk.com/api/v2/help_center/pt-br/articles/10189750495757.json" TargetMode="External"/><Relationship Id="rId424" Type="http://schemas.openxmlformats.org/officeDocument/2006/relationships/hyperlink" Target="https://atendimento.teconline.com.br/hc/pt-br/articles/32765029645453-16-12-2024-Comunicado-Importante-Passagem-no-Scanner-Orienta%C3%A7%C3%A3o-para-Motoristas" TargetMode="External"/><Relationship Id="rId666" Type="http://schemas.openxmlformats.org/officeDocument/2006/relationships/hyperlink" Target="https://atendimento.teconline.com.br/hc/pt-br/articles/16945680967821-21-06-2023-Novo-Procedimento-Registro-de-Integra%C3%A7%C3%A3o-Ag%C3%AAncia-Mar%C3%ADtima" TargetMode="External"/><Relationship Id="rId423" Type="http://schemas.openxmlformats.org/officeDocument/2006/relationships/hyperlink" Target="https://wilsonsonstrg.zendesk.com/api/v2/help_center/pt-br/articles/32765029645453.json" TargetMode="External"/><Relationship Id="rId665" Type="http://schemas.openxmlformats.org/officeDocument/2006/relationships/hyperlink" Target="https://wilsonsonstrg.zendesk.com/api/v2/help_center/pt-br/articles/16945680967821.json" TargetMode="External"/><Relationship Id="rId429" Type="http://schemas.openxmlformats.org/officeDocument/2006/relationships/hyperlink" Target="https://wilsonsonstrg.zendesk.com/api/v2/help_center/pt-br/articles/32342362768781.json" TargetMode="External"/><Relationship Id="rId428" Type="http://schemas.openxmlformats.org/officeDocument/2006/relationships/hyperlink" Target="https://atendimento.teconline.com.br/hc/pt-br/articles/32382131940749-03-12-24-Hor%C3%A1rio-Especial-Tecon-Rio-Grande-Comunica" TargetMode="External"/><Relationship Id="rId427" Type="http://schemas.openxmlformats.org/officeDocument/2006/relationships/hyperlink" Target="https://wilsonsonstrg.zendesk.com/api/v2/help_center/pt-br/articles/32382131940749.json" TargetMode="External"/><Relationship Id="rId669" Type="http://schemas.openxmlformats.org/officeDocument/2006/relationships/hyperlink" Target="https://wilsonsonstrg.zendesk.com/api/v2/help_center/pt-br/articles/360048847852.json" TargetMode="External"/><Relationship Id="rId660" Type="http://schemas.openxmlformats.org/officeDocument/2006/relationships/hyperlink" Target="https://atendimento.teconline.com.br/hc/pt-br/articles/10820058261261-18-11-22-Copa-do-Mundo-2022" TargetMode="External"/><Relationship Id="rId422" Type="http://schemas.openxmlformats.org/officeDocument/2006/relationships/hyperlink" Target="https://atendimento.teconline.com.br/hc/pt-br/articles/32788615559437-17-12-2024-Comunicado-Importante-Passagem-no-Scanner-Orienta%C3%A7%C3%A3o-para-Motoristas" TargetMode="External"/><Relationship Id="rId664" Type="http://schemas.openxmlformats.org/officeDocument/2006/relationships/hyperlink" Target="https://atendimento.teconline.com.br/hc/pt-br/articles/360033450452-Carregamento-via-Barca%C3%A7a" TargetMode="External"/><Relationship Id="rId421" Type="http://schemas.openxmlformats.org/officeDocument/2006/relationships/hyperlink" Target="https://wilsonsonstrg.zendesk.com/api/v2/help_center/pt-br/articles/32788615559437.json" TargetMode="External"/><Relationship Id="rId663" Type="http://schemas.openxmlformats.org/officeDocument/2006/relationships/hyperlink" Target="https://wilsonsonstrg.zendesk.com/api/v2/help_center/pt-br/articles/360033450452.json" TargetMode="External"/><Relationship Id="rId420" Type="http://schemas.openxmlformats.org/officeDocument/2006/relationships/hyperlink" Target="https://atendimento.teconline.com.br/hc/pt-br/articles/34533744033293-Monitoramento-de-Hor%C3%A1rios-Esgotados" TargetMode="External"/><Relationship Id="rId662" Type="http://schemas.openxmlformats.org/officeDocument/2006/relationships/hyperlink" Target="https://atendimento.teconline.com.br/hc/pt-br/articles/360048851792-Canal-de-atendimento-Chat" TargetMode="External"/><Relationship Id="rId661" Type="http://schemas.openxmlformats.org/officeDocument/2006/relationships/hyperlink" Target="https://wilsonsonstrg.zendesk.com/api/v2/help_center/pt-br/articles/360048851792.json" TargetMode="External"/><Relationship Id="rId415" Type="http://schemas.openxmlformats.org/officeDocument/2006/relationships/hyperlink" Target="https://wilsonsonstrg.zendesk.com/api/v2/help_center/pt-br/articles/35219054400013.json" TargetMode="External"/><Relationship Id="rId657" Type="http://schemas.openxmlformats.org/officeDocument/2006/relationships/hyperlink" Target="https://wilsonsonstrg.zendesk.com/api/v2/help_center/pt-br/articles/17287287948685.json" TargetMode="External"/><Relationship Id="rId899" Type="http://schemas.openxmlformats.org/officeDocument/2006/relationships/hyperlink" Target="https://wilsonsonsclsa.zendesk.com/api/v2/help_center/pt-br/articles/31977286869773.json" TargetMode="External"/><Relationship Id="rId414" Type="http://schemas.openxmlformats.org/officeDocument/2006/relationships/hyperlink" Target="https://atendimento.teconline.com.br/hc/pt-br/articles/35458668968205-31-03-2025-Hor%C3%A1rio-Especial-Tecon-Rio-Grande-Comunica" TargetMode="External"/><Relationship Id="rId656" Type="http://schemas.openxmlformats.org/officeDocument/2006/relationships/hyperlink" Target="https://atendimento.teconline.com.br/hc/pt-br/articles/360000323871-Canais-de-Atendimento-ao-Cliente" TargetMode="External"/><Relationship Id="rId898" Type="http://schemas.openxmlformats.org/officeDocument/2006/relationships/hyperlink" Target="https://wilsonsonsclsa.zendesk.com/hc/pt-br/articles/21330992215437-Nossos-Canais-de-Atendimento" TargetMode="External"/><Relationship Id="rId413" Type="http://schemas.openxmlformats.org/officeDocument/2006/relationships/hyperlink" Target="https://wilsonsonstrg.zendesk.com/api/v2/help_center/pt-br/articles/35458668968205.json" TargetMode="External"/><Relationship Id="rId655" Type="http://schemas.openxmlformats.org/officeDocument/2006/relationships/hyperlink" Target="https://wilsonsonstrg.zendesk.com/api/v2/help_center/pt-br/articles/360000323871.json" TargetMode="External"/><Relationship Id="rId897" Type="http://schemas.openxmlformats.org/officeDocument/2006/relationships/hyperlink" Target="https://wilsonsonsclsa.zendesk.com/api/v2/help_center/pt-br/articles/21330992215437.json" TargetMode="External"/><Relationship Id="rId412" Type="http://schemas.openxmlformats.org/officeDocument/2006/relationships/hyperlink" Target="https://atendimento.teconline.com.br/hc/pt-br/articles/37649625863565-26-06-2025-Comunicado-Importante-Retirada-de-Vazios-Castanhas" TargetMode="External"/><Relationship Id="rId654" Type="http://schemas.openxmlformats.org/officeDocument/2006/relationships/hyperlink" Target="https://atendimento.teconline.com.br/hc/pt-br/articles/360000326551-Solicita%C3%A7%C3%A3o-ou-atualiza%C3%A7%C3%A3o-de-cadastro" TargetMode="External"/><Relationship Id="rId896" Type="http://schemas.openxmlformats.org/officeDocument/2006/relationships/hyperlink" Target="https://wilsonsonsclsa.zendesk.com/hc/pt-br/articles/21334091379085-Reclama%C3%A7%C3%B5es-e-Elogios" TargetMode="External"/><Relationship Id="rId419" Type="http://schemas.openxmlformats.org/officeDocument/2006/relationships/hyperlink" Target="https://wilsonsonstrg.zendesk.com/api/v2/help_center/pt-br/articles/34533744033293.json" TargetMode="External"/><Relationship Id="rId418" Type="http://schemas.openxmlformats.org/officeDocument/2006/relationships/hyperlink" Target="https://atendimento.teconline.com.br/hc/pt-br/articles/34977454727309-07-03-2025-Comunicado-Importante-Hor%C3%A1rio-de-Agendamento" TargetMode="External"/><Relationship Id="rId417" Type="http://schemas.openxmlformats.org/officeDocument/2006/relationships/hyperlink" Target="https://wilsonsonstrg.zendesk.com/api/v2/help_center/pt-br/articles/34977454727309.json" TargetMode="External"/><Relationship Id="rId659" Type="http://schemas.openxmlformats.org/officeDocument/2006/relationships/hyperlink" Target="https://wilsonsonstrg.zendesk.com/api/v2/help_center/pt-br/articles/10820058261261.json" TargetMode="External"/><Relationship Id="rId416" Type="http://schemas.openxmlformats.org/officeDocument/2006/relationships/hyperlink" Target="https://atendimento.teconline.com.br/hc/pt-br/articles/35219054400013-21-03-2025-Container-Vazio" TargetMode="External"/><Relationship Id="rId658" Type="http://schemas.openxmlformats.org/officeDocument/2006/relationships/hyperlink" Target="https://atendimento.teconline.com.br/hc/pt-br/articles/17287287948685-03-07-2023-Comunicado-Importante-Canal-de-Atendimento-Motoristas" TargetMode="External"/><Relationship Id="rId891" Type="http://schemas.openxmlformats.org/officeDocument/2006/relationships/hyperlink" Target="https://wilsonsonsclsa.zendesk.com/api/v2/help_center/pt-br/articles/21548989029773.json" TargetMode="External"/><Relationship Id="rId890" Type="http://schemas.openxmlformats.org/officeDocument/2006/relationships/hyperlink" Target="https://wilsonsonsclsa.zendesk.com/hc/pt-br/articles/17576960767501-Orienta%C3%A7%C3%A3o-Geral-na-Retirada-de-Amostras-INMETRO" TargetMode="External"/><Relationship Id="rId411" Type="http://schemas.openxmlformats.org/officeDocument/2006/relationships/hyperlink" Target="https://wilsonsonstrg.zendesk.com/api/v2/help_center/pt-br/articles/37649625863565.json" TargetMode="External"/><Relationship Id="rId653" Type="http://schemas.openxmlformats.org/officeDocument/2006/relationships/hyperlink" Target="https://wilsonsonstrg.zendesk.com/api/v2/help_center/pt-br/articles/360000326551.json" TargetMode="External"/><Relationship Id="rId895" Type="http://schemas.openxmlformats.org/officeDocument/2006/relationships/hyperlink" Target="https://wilsonsonsclsa.zendesk.com/api/v2/help_center/pt-br/articles/21334091379085.json" TargetMode="External"/><Relationship Id="rId410" Type="http://schemas.openxmlformats.org/officeDocument/2006/relationships/hyperlink" Target="https://atendimento.teconline.com.br/hc/pt-br/articles/38085354542221-Transfer%C3%AAncias-de-Lote" TargetMode="External"/><Relationship Id="rId652" Type="http://schemas.openxmlformats.org/officeDocument/2006/relationships/hyperlink" Target="https://atendimento.teconline.com.br/hc/pt-br/articles/360000319152-Servi%C3%A7os-B%C3%A1sicos-de-Exporta%C3%A7%C3%A3o" TargetMode="External"/><Relationship Id="rId894" Type="http://schemas.openxmlformats.org/officeDocument/2006/relationships/hyperlink" Target="https://wilsonsonsclsa.zendesk.com/hc/pt-br/articles/21539182906509-Qual-o-hor%C3%A1rio-de-funcionamento-do-armaz%C3%A9m-alfandegado" TargetMode="External"/><Relationship Id="rId651" Type="http://schemas.openxmlformats.org/officeDocument/2006/relationships/hyperlink" Target="https://wilsonsonstrg.zendesk.com/api/v2/help_center/pt-br/articles/360000319152.json" TargetMode="External"/><Relationship Id="rId893" Type="http://schemas.openxmlformats.org/officeDocument/2006/relationships/hyperlink" Target="https://wilsonsonsclsa.zendesk.com/api/v2/help_center/pt-br/articles/21539182906509.json" TargetMode="External"/><Relationship Id="rId650" Type="http://schemas.openxmlformats.org/officeDocument/2006/relationships/hyperlink" Target="https://atendimento.teconline.com.br/hc/pt-br/articles/360033425552-Cadastro-de-CNH-e-FEPAM-para-agendamento-de-Container" TargetMode="External"/><Relationship Id="rId892" Type="http://schemas.openxmlformats.org/officeDocument/2006/relationships/hyperlink" Target="https://wilsonsonsclsa.zendesk.com/hc/pt-br/articles/21548989029773-Admiss%C3%A3o-Tempor%C3%A1ria" TargetMode="External"/><Relationship Id="rId206" Type="http://schemas.openxmlformats.org/officeDocument/2006/relationships/hyperlink" Target="https://atendimento.teconsvonline.com.br/hc/pt-br/articles/24278130169997-Momento-cuidado-Resili%C3%AAncia-entenda-o-conceito-e-como-ser-mais-resiliente" TargetMode="External"/><Relationship Id="rId448" Type="http://schemas.openxmlformats.org/officeDocument/2006/relationships/hyperlink" Target="https://atendimento.teconline.com.br/hc/pt-br/articles/29674349356173-19-08-2024-Hor%C3%A1rio-Especial-Tecon-Rio-Grande-Comunica" TargetMode="External"/><Relationship Id="rId205" Type="http://schemas.openxmlformats.org/officeDocument/2006/relationships/hyperlink" Target="https://wilsonsons.zendesk.com/api/v2/help_center/pt-br/articles/24278130169997.json" TargetMode="External"/><Relationship Id="rId447" Type="http://schemas.openxmlformats.org/officeDocument/2006/relationships/hyperlink" Target="https://wilsonsonstrg.zendesk.com/api/v2/help_center/pt-br/articles/29674349356173.json" TargetMode="External"/><Relationship Id="rId689" Type="http://schemas.openxmlformats.org/officeDocument/2006/relationships/hyperlink" Target="https://wilsonsonstrg.zendesk.com/api/v2/help_center/pt-br/articles/15870500978701.json" TargetMode="External"/><Relationship Id="rId204" Type="http://schemas.openxmlformats.org/officeDocument/2006/relationships/hyperlink" Target="https://atendimento.teconsvonline.com.br/hc/pt-br/articles/24281357697933-MODULOS-DE-FATURAMENTO" TargetMode="External"/><Relationship Id="rId446" Type="http://schemas.openxmlformats.org/officeDocument/2006/relationships/hyperlink" Target="https://atendimento.teconline.com.br/hc/pt-br/articles/30354274293133-06-09-2024-Novo-Procedimento-Acesso-ao-Terminal-Scanner-2" TargetMode="External"/><Relationship Id="rId688" Type="http://schemas.openxmlformats.org/officeDocument/2006/relationships/hyperlink" Target="https://atendimento.teconline.com.br/hc/pt-br/articles/7172806233485-24-06-22-Feriado-Municipal-de-S%C3%A3o-Pedro" TargetMode="External"/><Relationship Id="rId203" Type="http://schemas.openxmlformats.org/officeDocument/2006/relationships/hyperlink" Target="https://wilsonsons.zendesk.com/api/v2/help_center/pt-br/articles/24281357697933.json" TargetMode="External"/><Relationship Id="rId445" Type="http://schemas.openxmlformats.org/officeDocument/2006/relationships/hyperlink" Target="https://wilsonsonstrg.zendesk.com/api/v2/help_center/pt-br/articles/30354274293133.json" TargetMode="External"/><Relationship Id="rId687" Type="http://schemas.openxmlformats.org/officeDocument/2006/relationships/hyperlink" Target="https://wilsonsonstrg.zendesk.com/api/v2/help_center/pt-br/articles/7172806233485.json" TargetMode="External"/><Relationship Id="rId209" Type="http://schemas.openxmlformats.org/officeDocument/2006/relationships/hyperlink" Target="https://wilsonsons.zendesk.com/api/v2/help_center/pt-br/articles/24204752747277.json" TargetMode="External"/><Relationship Id="rId208" Type="http://schemas.openxmlformats.org/officeDocument/2006/relationships/hyperlink" Target="https://atendimento.teconsvonline.com.br/hc/pt-br/articles/24204949822605-SOLICITA%C3%87%C3%83O-DE-FOTOS-MERCADORIA" TargetMode="External"/><Relationship Id="rId207" Type="http://schemas.openxmlformats.org/officeDocument/2006/relationships/hyperlink" Target="https://wilsonsons.zendesk.com/api/v2/help_center/pt-br/articles/24204949822605.json" TargetMode="External"/><Relationship Id="rId449" Type="http://schemas.openxmlformats.org/officeDocument/2006/relationships/hyperlink" Target="https://wilsonsonstrg.zendesk.com/api/v2/help_center/pt-br/articles/28301456374797.json" TargetMode="External"/><Relationship Id="rId440" Type="http://schemas.openxmlformats.org/officeDocument/2006/relationships/hyperlink" Target="https://atendimento.teconline.com.br/hc/pt-br/articles/31055242863629-14-07-2024-Comunicado-Importante-Recebimento-de-Containers-Cheios-DRY" TargetMode="External"/><Relationship Id="rId682" Type="http://schemas.openxmlformats.org/officeDocument/2006/relationships/hyperlink" Target="https://atendimento.teconline.com.br/hc/pt-br/articles/16314615075597-30-05-2023-Comunicado-Importante-Acesso-ao-P%C3%A1tio-Operacional-V%C3%ADdeo" TargetMode="External"/><Relationship Id="rId681" Type="http://schemas.openxmlformats.org/officeDocument/2006/relationships/hyperlink" Target="https://wilsonsonstrg.zendesk.com/api/v2/help_center/pt-br/articles/16314615075597.json" TargetMode="External"/><Relationship Id="rId680" Type="http://schemas.openxmlformats.org/officeDocument/2006/relationships/hyperlink" Target="https://atendimento.teconline.com.br/hc/pt-br/articles/360000326591-Servi%C3%A7os-B%C3%A1sicos-de-Importa%C3%A7%C3%A3o" TargetMode="External"/><Relationship Id="rId202" Type="http://schemas.openxmlformats.org/officeDocument/2006/relationships/hyperlink" Target="https://atendimento.teconsvonline.com.br/hc/pt-br/articles/24319729697549-RASCUNHO-CONTROLE-DE-ACESSO-VINCULA%C3%87%C3%83O-DE-CNPJ-A-USUARIOS" TargetMode="External"/><Relationship Id="rId444" Type="http://schemas.openxmlformats.org/officeDocument/2006/relationships/hyperlink" Target="https://atendimento.teconline.com.br/hc/pt-br/articles/30761980899213-03-10-2024-Hor%C3%A1rio-Especial-Tecon-Rio-Grande-Comunica" TargetMode="External"/><Relationship Id="rId686" Type="http://schemas.openxmlformats.org/officeDocument/2006/relationships/hyperlink" Target="https://atendimento.teconline.com.br/hc/pt-br/articles/16234303919501-26-05-2023-Novo-Procedimento-Estufagem-Armaz%C3%A9m" TargetMode="External"/><Relationship Id="rId201" Type="http://schemas.openxmlformats.org/officeDocument/2006/relationships/hyperlink" Target="https://wilsonsons.zendesk.com/api/v2/help_center/pt-br/articles/24319729697549.json" TargetMode="External"/><Relationship Id="rId443" Type="http://schemas.openxmlformats.org/officeDocument/2006/relationships/hyperlink" Target="https://wilsonsonstrg.zendesk.com/api/v2/help_center/pt-br/articles/30761980899213.json" TargetMode="External"/><Relationship Id="rId685" Type="http://schemas.openxmlformats.org/officeDocument/2006/relationships/hyperlink" Target="https://wilsonsonstrg.zendesk.com/api/v2/help_center/pt-br/articles/16234303919501.json" TargetMode="External"/><Relationship Id="rId200" Type="http://schemas.openxmlformats.org/officeDocument/2006/relationships/hyperlink" Target="https://atendimento.teconsvonline.com.br/hc/pt-br/articles/24329379792397-Como-realizar-a-Retirada-de-Obrigatoriedade-de-NF" TargetMode="External"/><Relationship Id="rId442" Type="http://schemas.openxmlformats.org/officeDocument/2006/relationships/hyperlink" Target="https://atendimento.teconline.com.br/hc/pt-br/articles/30762383780749-01-10-2024-Hor%C3%A1rio-Especial-Tecon-Rio-Grande-Comunica" TargetMode="External"/><Relationship Id="rId684" Type="http://schemas.openxmlformats.org/officeDocument/2006/relationships/hyperlink" Target="https://atendimento.teconline.com.br/hc/pt-br/articles/8852303339661-01-09-22-Feriados-M%C3%AAs-de-Setembro" TargetMode="External"/><Relationship Id="rId441" Type="http://schemas.openxmlformats.org/officeDocument/2006/relationships/hyperlink" Target="https://wilsonsonstrg.zendesk.com/api/v2/help_center/pt-br/articles/30762383780749.json" TargetMode="External"/><Relationship Id="rId683" Type="http://schemas.openxmlformats.org/officeDocument/2006/relationships/hyperlink" Target="https://wilsonsonstrg.zendesk.com/api/v2/help_center/pt-br/articles/8852303339661.json" TargetMode="External"/><Relationship Id="rId437" Type="http://schemas.openxmlformats.org/officeDocument/2006/relationships/hyperlink" Target="https://wilsonsonstrg.zendesk.com/api/v2/help_center/pt-br/articles/31482849083917.json" TargetMode="External"/><Relationship Id="rId679" Type="http://schemas.openxmlformats.org/officeDocument/2006/relationships/hyperlink" Target="https://wilsonsonstrg.zendesk.com/api/v2/help_center/pt-br/articles/360000326591.json" TargetMode="External"/><Relationship Id="rId436" Type="http://schemas.openxmlformats.org/officeDocument/2006/relationships/hyperlink" Target="https://atendimento.teconline.com.br/hc/pt-br/articles/31598015164813-14-10-2024-Comunicado-Importante-Recebimento-de-Containers-Cheios-DRY" TargetMode="External"/><Relationship Id="rId678" Type="http://schemas.openxmlformats.org/officeDocument/2006/relationships/hyperlink" Target="https://atendimento.teconline.com.br/hc/pt-br/articles/9158185673869-14-09-22-Feriados-M%C3%AAs-de-Setembro" TargetMode="External"/><Relationship Id="rId435" Type="http://schemas.openxmlformats.org/officeDocument/2006/relationships/hyperlink" Target="https://wilsonsonstrg.zendesk.com/api/v2/help_center/pt-br/articles/31598015164813.json" TargetMode="External"/><Relationship Id="rId677" Type="http://schemas.openxmlformats.org/officeDocument/2006/relationships/hyperlink" Target="https://wilsonsonstrg.zendesk.com/api/v2/help_center/pt-br/articles/9158185673869.json" TargetMode="External"/><Relationship Id="rId434" Type="http://schemas.openxmlformats.org/officeDocument/2006/relationships/hyperlink" Target="https://atendimento.teconline.com.br/hc/pt-br/articles/31784146316813-11-11-2024-Novo-Procedimento-Agendamento-de-Retirada-e-Entrega-de-Containers" TargetMode="External"/><Relationship Id="rId676" Type="http://schemas.openxmlformats.org/officeDocument/2006/relationships/hyperlink" Target="https://atendimento.teconline.com.br/hc/pt-br/articles/16506253580429-26-05-2023-Novo-Procedimento-Estufagem-Armaz%C3%A9m" TargetMode="External"/><Relationship Id="rId439" Type="http://schemas.openxmlformats.org/officeDocument/2006/relationships/hyperlink" Target="https://wilsonsonstrg.zendesk.com/api/v2/help_center/pt-br/articles/31055242863629.json" TargetMode="External"/><Relationship Id="rId438" Type="http://schemas.openxmlformats.org/officeDocument/2006/relationships/hyperlink" Target="https://atendimento.teconline.com.br/hc/pt-br/articles/31482849083917-30-10-2024-Hor%C3%A1rio-Especial-Tecon-Rio-Grande-Comunica" TargetMode="External"/><Relationship Id="rId671" Type="http://schemas.openxmlformats.org/officeDocument/2006/relationships/hyperlink" Target="https://wilsonsonstrg.zendesk.com/api/v2/help_center/pt-br/articles/16885100113165.json" TargetMode="External"/><Relationship Id="rId670" Type="http://schemas.openxmlformats.org/officeDocument/2006/relationships/hyperlink" Target="https://atendimento.teconline.com.br/hc/pt-br/articles/360048847852-Canal-de-Atendimento-WhatsApp" TargetMode="External"/><Relationship Id="rId433" Type="http://schemas.openxmlformats.org/officeDocument/2006/relationships/hyperlink" Target="https://wilsonsonstrg.zendesk.com/api/v2/help_center/pt-br/articles/31784146316813.json" TargetMode="External"/><Relationship Id="rId675" Type="http://schemas.openxmlformats.org/officeDocument/2006/relationships/hyperlink" Target="https://wilsonsonstrg.zendesk.com/api/v2/help_center/pt-br/articles/16506253580429.json" TargetMode="External"/><Relationship Id="rId432" Type="http://schemas.openxmlformats.org/officeDocument/2006/relationships/hyperlink" Target="https://atendimento.teconline.com.br/hc/pt-br/articles/31894433750669-14-11-2024-Hor%C3%A1rio-Especial-Tecon-Rio-Grande-Comunica" TargetMode="External"/><Relationship Id="rId674" Type="http://schemas.openxmlformats.org/officeDocument/2006/relationships/hyperlink" Target="https://atendimento.teconline.com.br/hc/pt-br/articles/9634096872333-04-10-22-Feriado-M%C3%AAs-de-Outubro" TargetMode="External"/><Relationship Id="rId431" Type="http://schemas.openxmlformats.org/officeDocument/2006/relationships/hyperlink" Target="https://wilsonsonstrg.zendesk.com/api/v2/help_center/pt-br/articles/31894433750669.json" TargetMode="External"/><Relationship Id="rId673" Type="http://schemas.openxmlformats.org/officeDocument/2006/relationships/hyperlink" Target="https://wilsonsonstrg.zendesk.com/api/v2/help_center/pt-br/articles/9634096872333.json" TargetMode="External"/><Relationship Id="rId430" Type="http://schemas.openxmlformats.org/officeDocument/2006/relationships/hyperlink" Target="https://atendimento.teconline.com.br/hc/pt-br/articles/32342362768781-02-12-2024-Comunicado-Importante-Altera%C3%A7%C3%A3o-no-Expediente-21-e-22-12-ERRATA" TargetMode="External"/><Relationship Id="rId672" Type="http://schemas.openxmlformats.org/officeDocument/2006/relationships/hyperlink" Target="https://atendimento.teconline.com.br/hc/pt-br/articles/16885100113165-19-06-2023-Queremos-Ouvir-Voc%C3%AA" TargetMode="External"/></Relationships>
</file>

<file path=xl/worksheets/_rels/sheet2.xml.rels><?xml version="1.0" encoding="UTF-8" standalone="yes"?><Relationships xmlns="http://schemas.openxmlformats.org/package/2006/relationships"><Relationship Id="rId187" Type="http://schemas.openxmlformats.org/officeDocument/2006/relationships/drawing" Target="../drawings/drawing2.xml"/><Relationship Id="rId186" Type="http://schemas.openxmlformats.org/officeDocument/2006/relationships/hyperlink" Target="https://atendimento.teconsvonline.com.br/hc/pt-br/articles/115012866147-Como-solicitar-meu-acesso-ao-Portal-do-Cliente" TargetMode="External"/><Relationship Id="rId185" Type="http://schemas.openxmlformats.org/officeDocument/2006/relationships/hyperlink" Target="https://atendimento.teconsvonline.com.br/hc/pt-br/articles/360039477092-Como-incluir-documentos-para-libera%C3%A7%C3%A3o-de-carga-de-importa%C3%A7%C3%A3o" TargetMode="External"/><Relationship Id="rId184" Type="http://schemas.openxmlformats.org/officeDocument/2006/relationships/hyperlink" Target="https://atendimento.teconsvonline.com.br/hc/pt-br/articles/360039477132-Como-consultar-meu-faturamento-2-via-de-nota" TargetMode="External"/><Relationship Id="rId183" Type="http://schemas.openxmlformats.org/officeDocument/2006/relationships/hyperlink" Target="https://atendimento.teconsvonline.com.br/hc/pt-br/articles/360039880091-Como-solicitar-estimativa-de-c%C3%A1lculo-ou-boleto" TargetMode="External"/><Relationship Id="rId182" Type="http://schemas.openxmlformats.org/officeDocument/2006/relationships/hyperlink" Target="https://atendimento.teconsvonline.com.br/hc/pt-br/articles/360039880171-Como-acompanhar-o-meu-processo" TargetMode="External"/><Relationship Id="rId181" Type="http://schemas.openxmlformats.org/officeDocument/2006/relationships/hyperlink" Target="https://atendimento.teconsvonline.com.br/hc/pt-br/articles/360047652432-WhatsApp-Novo-canal-de-Atendimento" TargetMode="External"/><Relationship Id="rId180" Type="http://schemas.openxmlformats.org/officeDocument/2006/relationships/hyperlink" Target="https://atendimento.teconsvonline.com.br/hc/pt-br/articles/360048127531-Como-posso-entrar-em-contato-com-a-equipe-de-Atendimento" TargetMode="External"/><Relationship Id="rId176" Type="http://schemas.openxmlformats.org/officeDocument/2006/relationships/hyperlink" Target="https://atendimento.teconsvonline.com.br/hc/pt-br/articles/360057068151-Programa%C3%A7%C3%A3o-de-funcionamento-Carnaval" TargetMode="External"/><Relationship Id="rId175" Type="http://schemas.openxmlformats.org/officeDocument/2006/relationships/hyperlink" Target="https://atendimento.teconsvonline.com.br/hc/pt-br/articles/360058295252-Agendamento-de-Coleta-de-Container-dry" TargetMode="External"/><Relationship Id="rId174" Type="http://schemas.openxmlformats.org/officeDocument/2006/relationships/hyperlink" Target="https://atendimento.teconsvonline.com.br/hc/pt-br/articles/360059915672-Como-solicitar-acesso-ao-Terminal" TargetMode="External"/><Relationship Id="rId173" Type="http://schemas.openxmlformats.org/officeDocument/2006/relationships/hyperlink" Target="https://atendimento.teconsvonline.com.br/hc/pt-br/articles/360060357051-Onde-posso-verificar-a-tabela-de-servi%C3%A7os" TargetMode="External"/><Relationship Id="rId179" Type="http://schemas.openxmlformats.org/officeDocument/2006/relationships/hyperlink" Target="https://atendimento.teconsvonline.com.br/hc/pt-br/articles/360048128011-Expediente-Tecon-Salvador" TargetMode="External"/><Relationship Id="rId178" Type="http://schemas.openxmlformats.org/officeDocument/2006/relationships/hyperlink" Target="https://atendimento.teconsvonline.com.br/hc/pt-br/articles/360048128671-Comunicado-Savig-003-2020-Obrigatoriedade-escaneamento" TargetMode="External"/><Relationship Id="rId177" Type="http://schemas.openxmlformats.org/officeDocument/2006/relationships/hyperlink" Target="https://atendimento.teconsvonline.com.br/hc/pt-br/articles/360048461712-Como-solicitar-meu-cadastro-no-Tecon-Salvador" TargetMode="External"/><Relationship Id="rId150" Type="http://schemas.openxmlformats.org/officeDocument/2006/relationships/hyperlink" Target="https://atendimento.teconsvonline.com.br/hc/pt-br/articles/360060359971-Unidades-de-exporta%C3%A7%C3%A3o-s%C3%A3o-escaneadas" TargetMode="External"/><Relationship Id="rId1" Type="http://schemas.openxmlformats.org/officeDocument/2006/relationships/hyperlink" Target="https://atendimento.teconsvonline.com.br/hc/pt-br/articles/44508084248973-DUIMP-ENTREPOSTO" TargetMode="External"/><Relationship Id="rId2" Type="http://schemas.openxmlformats.org/officeDocument/2006/relationships/hyperlink" Target="https://atendimento.teconsvonline.com.br/hc/pt-br/articles/44507889059469-DUIMP-ENTREPOSTO" TargetMode="External"/><Relationship Id="rId3" Type="http://schemas.openxmlformats.org/officeDocument/2006/relationships/hyperlink" Target="https://atendimento.teconsvonline.com.br/hc/pt-br/articles/41600964186509-Onboarding" TargetMode="External"/><Relationship Id="rId149" Type="http://schemas.openxmlformats.org/officeDocument/2006/relationships/hyperlink" Target="https://atendimento.teconsvonline.com.br/hc/pt-br/articles/360060360031-teste" TargetMode="External"/><Relationship Id="rId4" Type="http://schemas.openxmlformats.org/officeDocument/2006/relationships/hyperlink" Target="https://atendimento.teconsvonline.com.br/hc/pt-br/articles/41483147497613-Sem-t%C3%ADtulo" TargetMode="External"/><Relationship Id="rId148" Type="http://schemas.openxmlformats.org/officeDocument/2006/relationships/hyperlink" Target="https://atendimento.teconsvonline.com.br/hc/pt-br/articles/360059919672-Depositei-os-containers-no-Porto-mas-a-Du-e-n%C3%A3o-desembara%C3%A7ou-o-que-fazer" TargetMode="External"/><Relationship Id="rId9" Type="http://schemas.openxmlformats.org/officeDocument/2006/relationships/hyperlink" Target="https://atendimento.teconsvonline.com.br/hc/pt-br/articles/39605716395661-Libera%C3%A7%C3%A3o-autom%C3%A1tica-de-nota-fiscal" TargetMode="External"/><Relationship Id="rId143" Type="http://schemas.openxmlformats.org/officeDocument/2006/relationships/hyperlink" Target="https://atendimento.teconsvonline.com.br/hc/pt-br/articles/8390753642381-Recebi-o-faturamento-por%C3%A9m-os-valores-n%C3%A3o-conferem-com-a-proposta" TargetMode="External"/><Relationship Id="rId142" Type="http://schemas.openxmlformats.org/officeDocument/2006/relationships/hyperlink" Target="https://atendimento.teconsvonline.com.br/hc/pt-br/articles/8472058613261-Recebi-uma-cobran%C3%A7a-de-armazenagem-de-exporta%C3%A7%C3%A3o-Qual-o-motivo" TargetMode="External"/><Relationship Id="rId141" Type="http://schemas.openxmlformats.org/officeDocument/2006/relationships/hyperlink" Target="https://atendimento.teconsvonline.com.br/hc/pt-br/articles/8472214549133-Exporta%C3%A7%C3%A3o-A-fatura-armazenagem-possui-mais-dias-que-deveria-Entenda-como-%C3%A9-faturado-a-Armz-Exp" TargetMode="External"/><Relationship Id="rId140" Type="http://schemas.openxmlformats.org/officeDocument/2006/relationships/hyperlink" Target="https://atendimento.teconsvonline.com.br/hc/pt-br/articles/8472312195085-Exporta%C3%A7%C3%A3o-Recep%C3%A7%C3%A3o-de-carga-foi-faturada-com-um-valor-menor-Saiba-o-porqu%C3%AA" TargetMode="External"/><Relationship Id="rId5" Type="http://schemas.openxmlformats.org/officeDocument/2006/relationships/hyperlink" Target="https://atendimento.teconsvonline.com.br/hc/pt-br/articles/41454970746765-Acompanhamento-de-processos" TargetMode="External"/><Relationship Id="rId147" Type="http://schemas.openxmlformats.org/officeDocument/2006/relationships/hyperlink" Target="https://atendimento.teconsvonline.com.br/hc/pt-br/articles/360059921652-Como-agendar-retirada-de-container-vazio-do-Centro-Log%C3%ADstico-Salvador" TargetMode="External"/><Relationship Id="rId6" Type="http://schemas.openxmlformats.org/officeDocument/2006/relationships/hyperlink" Target="https://atendimento.teconsvonline.com.br/hc/pt-br/articles/41421370993293-Como-Realizar-uma-Libera%C3%A7%C3%A3o-de-Cabotagem" TargetMode="External"/><Relationship Id="rId146" Type="http://schemas.openxmlformats.org/officeDocument/2006/relationships/hyperlink" Target="https://atendimento.teconsvonline.com.br/hc/pt-br/articles/360060364071-Como-agendar-entrada-de-container-cheio" TargetMode="External"/><Relationship Id="rId7" Type="http://schemas.openxmlformats.org/officeDocument/2006/relationships/hyperlink" Target="https://atendimento.teconsvonline.com.br/hc/pt-br/articles/41414964107277-Capit%C3%A3o-Oracle" TargetMode="External"/><Relationship Id="rId145" Type="http://schemas.openxmlformats.org/officeDocument/2006/relationships/hyperlink" Target="https://atendimento.teconsvonline.com.br/hc/pt-br/articles/4422919758861-VGM-SOLAS" TargetMode="External"/><Relationship Id="rId8" Type="http://schemas.openxmlformats.org/officeDocument/2006/relationships/hyperlink" Target="https://atendimento.teconsvonline.com.br/hc/pt-br/articles/39796803468557-Damages-Espec%C3%ADficos-enviados-atrav%C3%A9s-do-time-de-Opera%C3%A7%C3%B5es" TargetMode="External"/><Relationship Id="rId144" Type="http://schemas.openxmlformats.org/officeDocument/2006/relationships/hyperlink" Target="https://atendimento.teconsvonline.com.br/hc/pt-br/articles/4652559260557-Manual-do-Zendesk-explore" TargetMode="External"/><Relationship Id="rId139" Type="http://schemas.openxmlformats.org/officeDocument/2006/relationships/hyperlink" Target="https://atendimento.teconsvonline.com.br/hc/pt-br/articles/8472516540045-Quais-os-impostos-incidem-sobre-o-servi%C3%A7os-e-qual-a-al%C3%ADquota" TargetMode="External"/><Relationship Id="rId138" Type="http://schemas.openxmlformats.org/officeDocument/2006/relationships/hyperlink" Target="https://atendimento.teconsvonline.com.br/hc/pt-br/articles/8472814179981-Como-funciona-a-aplica%C3%A7%C3%A3o-do-dia-de-porta" TargetMode="External"/><Relationship Id="rId137" Type="http://schemas.openxmlformats.org/officeDocument/2006/relationships/hyperlink" Target="https://atendimento.teconsvonline.com.br/hc/pt-br/articles/8472874606349-Por-que-recebi-uma-cobran%C3%A7a-de-armazenagem-de-cabotagem-descarga-Qual-o-free-time-dias-livres" TargetMode="External"/><Relationship Id="rId132" Type="http://schemas.openxmlformats.org/officeDocument/2006/relationships/hyperlink" Target="https://atendimento.teconsvonline.com.br/hc/pt-br/articles/18171266379277-Manual-do-Zendesk-Chat" TargetMode="External"/><Relationship Id="rId131" Type="http://schemas.openxmlformats.org/officeDocument/2006/relationships/hyperlink" Target="https://atendimento.teconsvonline.com.br/hc/pt-br/articles/18663428825869-Cadastro-ou-atualiza%C3%A7%C3%A3o-de-e-mails-para-envio-de-faturas" TargetMode="External"/><Relationship Id="rId130" Type="http://schemas.openxmlformats.org/officeDocument/2006/relationships/hyperlink" Target="https://atendimento.teconsvonline.com.br/hc/pt-br/articles/18664293608461-Consulta-de-navio-associado-ao-booking-no-m%C3%B3dulo-de-agendamento-de-entrada" TargetMode="External"/><Relationship Id="rId136" Type="http://schemas.openxmlformats.org/officeDocument/2006/relationships/hyperlink" Target="https://atendimento.teconsvonline.com.br/hc/pt-br/articles/8840845251597-Como-solicito-o-cancelamento-de-um-nota-fiscal" TargetMode="External"/><Relationship Id="rId135" Type="http://schemas.openxmlformats.org/officeDocument/2006/relationships/hyperlink" Target="https://atendimento.teconsvonline.com.br/hc/pt-br/articles/10205136927501-Solicita%C3%A7%C3%A3o-de-desova-para-o-armaz%C3%A9m" TargetMode="External"/><Relationship Id="rId134" Type="http://schemas.openxmlformats.org/officeDocument/2006/relationships/hyperlink" Target="https://atendimento.teconsvonline.com.br/hc/pt-br/articles/10516074299277-Libera%C3%A7%C3%A3o-de-carga-com-comprovante-de-pagamento" TargetMode="External"/><Relationship Id="rId133" Type="http://schemas.openxmlformats.org/officeDocument/2006/relationships/hyperlink" Target="https://atendimento.teconsvonline.com.br/hc/pt-br/articles/16171823237901-VGM-SOLAS" TargetMode="External"/><Relationship Id="rId172" Type="http://schemas.openxmlformats.org/officeDocument/2006/relationships/hyperlink" Target="https://atendimento.teconsvonline.com.br/hc/pt-br/articles/360059917092-Quais-s%C3%A3o-os-procedimentos-para-pagamento-%C3%A0-vista" TargetMode="External"/><Relationship Id="rId171" Type="http://schemas.openxmlformats.org/officeDocument/2006/relationships/hyperlink" Target="https://atendimento.teconsvonline.com.br/hc/pt-br/articles/360059917112-N%C3%A3o-recebi-minha-fatura-por-e-mail-O-que-devo-fazer" TargetMode="External"/><Relationship Id="rId170" Type="http://schemas.openxmlformats.org/officeDocument/2006/relationships/hyperlink" Target="https://atendimento.teconsvonline.com.br/hc/pt-br/articles/360059917132-Perdi-a-janela-por-aus%C3%AAncia-ou-atraso-quanto-tempo-depois-posso-realizar-um-novo-agendamento" TargetMode="External"/><Relationship Id="rId165" Type="http://schemas.openxmlformats.org/officeDocument/2006/relationships/hyperlink" Target="https://atendimento.teconsvonline.com.br/hc/pt-br/articles/360059917192-Como-solicitar-a-pesagem-VGM" TargetMode="External"/><Relationship Id="rId164" Type="http://schemas.openxmlformats.org/officeDocument/2006/relationships/hyperlink" Target="https://atendimento.teconsvonline.com.br/hc/pt-br/articles/360059917212-Como-solicitar-posicionamento-de-container-para-vistorias-canal-vermelho-e-outros" TargetMode="External"/><Relationship Id="rId163" Type="http://schemas.openxmlformats.org/officeDocument/2006/relationships/hyperlink" Target="https://atendimento.teconsvonline.com.br/hc/pt-br/articles/360059917872-Como-acessar-esse-Portal-de-Atendimento-Qual-meu-login-e-senha" TargetMode="External"/><Relationship Id="rId162" Type="http://schemas.openxmlformats.org/officeDocument/2006/relationships/hyperlink" Target="https://atendimento.teconsvonline.com.br/hc/pt-br/articles/360059917992-Minha-senha-do-Portal-do-Cliente-expirou-O-que-devo-fazer" TargetMode="External"/><Relationship Id="rId169" Type="http://schemas.openxmlformats.org/officeDocument/2006/relationships/hyperlink" Target="https://atendimento.teconsvonline.com.br/hc/pt-br/articles/360060357131-Como-devo-consultar-a-recep%C3%A7%C3%A3o-da-carga-e-ou-o-desembara%C3%A7o-da-DUE" TargetMode="External"/><Relationship Id="rId168" Type="http://schemas.openxmlformats.org/officeDocument/2006/relationships/hyperlink" Target="https://atendimento.teconsvonline.com.br/hc/pt-br/articles/360059917152--Como-posso-consultar-detalhes-de-um-container" TargetMode="External"/><Relationship Id="rId167" Type="http://schemas.openxmlformats.org/officeDocument/2006/relationships/hyperlink" Target="https://atendimento.teconsvonline.com.br/hc/pt-br/articles/360059917172-Quando-devo-incluir-a-informa%C3%A7%C3%A3o-de-DAT-Documento-de-Acompanhamento-de-Tr%C3%A2nsito" TargetMode="External"/><Relationship Id="rId166" Type="http://schemas.openxmlformats.org/officeDocument/2006/relationships/hyperlink" Target="https://atendimento.teconsvonline.com.br/hc/pt-br/articles/360060357151-Como-cancelar-ou-editar-um-agendamento-de-container" TargetMode="External"/><Relationship Id="rId161" Type="http://schemas.openxmlformats.org/officeDocument/2006/relationships/hyperlink" Target="https://atendimento.teconsvonline.com.br/hc/pt-br/articles/360060358151-Esqueci-minha-senha-do-Portal-do-Cliente-o-que-devo-fazer" TargetMode="External"/><Relationship Id="rId160" Type="http://schemas.openxmlformats.org/officeDocument/2006/relationships/hyperlink" Target="https://atendimento.teconsvonline.com.br/hc/pt-br/articles/360059918512-Como-solicitar-posicionamento-de-container-para-vistorias-canal-vermelho-e-outros" TargetMode="External"/><Relationship Id="rId159" Type="http://schemas.openxmlformats.org/officeDocument/2006/relationships/hyperlink" Target="https://atendimento.teconsvonline.com.br/hc/pt-br/articles/360059919312-Como-agendar-a-entrada-de-um-container" TargetMode="External"/><Relationship Id="rId154" Type="http://schemas.openxmlformats.org/officeDocument/2006/relationships/hyperlink" Target="https://atendimento.teconsvonline.com.br/hc/pt-br/articles/360059919412-Meu-motorista-foi-bloqueado-como-verificar-a-informa%C3%A7%C3%A3o" TargetMode="External"/><Relationship Id="rId153" Type="http://schemas.openxmlformats.org/officeDocument/2006/relationships/hyperlink" Target="https://atendimento.teconsvonline.com.br/hc/pt-br/articles/360060359511-Meu-motorista-ainda-n%C3%A3o-tem-cadastro-Com-proceder" TargetMode="External"/><Relationship Id="rId152" Type="http://schemas.openxmlformats.org/officeDocument/2006/relationships/hyperlink" Target="https://atendimento.teconsvonline.com.br/hc/pt-br/articles/360060359551-N%C3%A3o-tenho-o-XML-da-NF-Posso-realizar-agendamento-de-entrada-de-container" TargetMode="External"/><Relationship Id="rId151" Type="http://schemas.openxmlformats.org/officeDocument/2006/relationships/hyperlink" Target="https://atendimento.teconsvonline.com.br/hc/pt-br/articles/360060359871-Quais-s%C3%A3o-os-custos-envolvidos-no-processo-de-exporta%C3%A7%C3%A3o" TargetMode="External"/><Relationship Id="rId158" Type="http://schemas.openxmlformats.org/officeDocument/2006/relationships/hyperlink" Target="https://atendimento.teconsvonline.com.br/hc/pt-br/articles/360060359431-Como-agendar-a-retirada-de-um-container" TargetMode="External"/><Relationship Id="rId157" Type="http://schemas.openxmlformats.org/officeDocument/2006/relationships/hyperlink" Target="https://atendimento.teconsvonline.com.br/hc/pt-br/articles/360059919332-Como-agendar-a-retira-de-carga-solta-ou-crossdocking" TargetMode="External"/><Relationship Id="rId156" Type="http://schemas.openxmlformats.org/officeDocument/2006/relationships/hyperlink" Target="https://atendimento.teconsvonline.com.br/hc/pt-br/articles/360060359471-Como-verificar-a-quantidade-janelas-dispon%C3%ADveis-para-agendamento-de-container" TargetMode="External"/><Relationship Id="rId155" Type="http://schemas.openxmlformats.org/officeDocument/2006/relationships/hyperlink" Target="https://atendimento.teconsvonline.com.br/hc/pt-br/articles/360059919392-Qual-hor%C3%A1rio-de-funcionamento-Porto" TargetMode="External"/><Relationship Id="rId40" Type="http://schemas.openxmlformats.org/officeDocument/2006/relationships/hyperlink" Target="https://atendimento.teconsvonline.com.br/hc/pt-br/articles/34785884296717-FLUXO-VISTORIA-RFB" TargetMode="External"/><Relationship Id="rId42" Type="http://schemas.openxmlformats.org/officeDocument/2006/relationships/hyperlink" Target="https://atendimento.teconsvonline.com.br/hc/pt-br/articles/34775675603213-Informa%C3%A7%C3%B5es-sobre-Despacho-Aduaneiro" TargetMode="External"/><Relationship Id="rId41" Type="http://schemas.openxmlformats.org/officeDocument/2006/relationships/hyperlink" Target="https://atendimento.teconsvonline.com.br/hc/pt-br/articles/34785442835469-COMO-SOLICITAR-CADASTRO-DE-PR%C3%89VIA-AO-DEPOT" TargetMode="External"/><Relationship Id="rId44" Type="http://schemas.openxmlformats.org/officeDocument/2006/relationships/hyperlink" Target="https://atendimento.teconsvonline.com.br/hc/pt-br/articles/34753608699533-FAINA-ENTRADA-DE-CNTR-DEADLINE" TargetMode="External"/><Relationship Id="rId43" Type="http://schemas.openxmlformats.org/officeDocument/2006/relationships/hyperlink" Target="https://atendimento.teconsvonline.com.br/hc/pt-br/articles/34753844548493-COMO-CONSULTAR-DU-E-ATRAVEZ-DO-CONTAINER" TargetMode="External"/><Relationship Id="rId46" Type="http://schemas.openxmlformats.org/officeDocument/2006/relationships/hyperlink" Target="https://atendimento.teconsvonline.com.br/hc/pt-br/articles/34540951766413-EMAIL-PARA-INATIVIDADE-DE-CHAT" TargetMode="External"/><Relationship Id="rId45" Type="http://schemas.openxmlformats.org/officeDocument/2006/relationships/hyperlink" Target="https://atendimento.teconsvonline.com.br/hc/pt-br/articles/34752710223245-COMO-SOLICITAR-AO-ARMAZ%C3%89M-PARA-MANTER-JANELA-DE-ATENDIMENTO" TargetMode="External"/><Relationship Id="rId48" Type="http://schemas.openxmlformats.org/officeDocument/2006/relationships/hyperlink" Target="https://atendimento.teconsvonline.com.br/hc/pt-br/articles/34283089416717-Comunicado-Altera%C3%A7%C3%A3o-dos-agendamentos-Depot" TargetMode="External"/><Relationship Id="rId47" Type="http://schemas.openxmlformats.org/officeDocument/2006/relationships/hyperlink" Target="https://atendimento.teconsvonline.com.br/hc/pt-br/articles/34283158492045-AVISO-Regras-de-Circula%C3%A7%C3%A3o-no-Porto-de-Salvador" TargetMode="External"/><Relationship Id="rId49" Type="http://schemas.openxmlformats.org/officeDocument/2006/relationships/hyperlink" Target="https://atendimento.teconsvonline.com.br/hc/pt-br/articles/34283041708045-Comunicado-Novo-sistema-OCR" TargetMode="External"/><Relationship Id="rId31" Type="http://schemas.openxmlformats.org/officeDocument/2006/relationships/hyperlink" Target="https://atendimento.teconsvonline.com.br/hc/pt-br/articles/37396243677069-O-que-os-status-dos-agendamentos-significam" TargetMode="External"/><Relationship Id="rId30" Type="http://schemas.openxmlformats.org/officeDocument/2006/relationships/hyperlink" Target="https://atendimento.teconsvonline.com.br/hc/pt-br/articles/37396408254861-Como-solicitar-uma-desova-crossdocking" TargetMode="External"/><Relationship Id="rId33" Type="http://schemas.openxmlformats.org/officeDocument/2006/relationships/hyperlink" Target="https://atendimento.teconsvonline.com.br/hc/pt-br/articles/37068658033805-CONTATOS-REISTAR-ATUALIZADOS-DIVERG%C3%8ANCIA-DE-VOLUME" TargetMode="External"/><Relationship Id="rId32" Type="http://schemas.openxmlformats.org/officeDocument/2006/relationships/hyperlink" Target="https://atendimento.teconsvonline.com.br/hc/pt-br/articles/37172030444813-Reten%C3%A7%C3%A3o-SISCARGA-e-SISCOMEX" TargetMode="External"/><Relationship Id="rId35" Type="http://schemas.openxmlformats.org/officeDocument/2006/relationships/hyperlink" Target="https://atendimento.teconsvonline.com.br/hc/pt-br/articles/36546556060813-Diverg%C3%AAncia-De-Volume-Reistar-Contatos-Atualizados" TargetMode="External"/><Relationship Id="rId34" Type="http://schemas.openxmlformats.org/officeDocument/2006/relationships/hyperlink" Target="https://atendimento.teconsvonline.com.br/hc/pt-br/articles/36675349937549-OCR-OCR-Optical-Character-Recognition-Reconhecimento-%C3%93tico-de-Carac" TargetMode="External"/><Relationship Id="rId37" Type="http://schemas.openxmlformats.org/officeDocument/2006/relationships/hyperlink" Target="https://atendimento.teconsvonline.com.br/hc/pt-br/articles/35218213469069-Comunicado-Indisponibilidade-Tempor%C3%A1ria-de-Boletos" TargetMode="External"/><Relationship Id="rId36" Type="http://schemas.openxmlformats.org/officeDocument/2006/relationships/hyperlink" Target="https://atendimento.teconsvonline.com.br/hc/pt-br/articles/35520846588173-CONTATOS-ATUALIZADOS-DIVERG%C3%8ANCIA-DE-VOLUME-REISTAR" TargetMode="External"/><Relationship Id="rId39" Type="http://schemas.openxmlformats.org/officeDocument/2006/relationships/hyperlink" Target="https://atendimento.teconsvonline.com.br/hc/pt-br/articles/34794054641165-DIFEREN%C3%87A-ENTRE-ENTRADA-ANTECIPADA-E-LIBERA%C3%87%C3%83O-ESPECIAL" TargetMode="External"/><Relationship Id="rId38" Type="http://schemas.openxmlformats.org/officeDocument/2006/relationships/hyperlink" Target="https://atendimento.teconsvonline.com.br/hc/pt-br/articles/35175755935373-Contatos-diverg%C3%AAncia-de-volume-Reistar" TargetMode="External"/><Relationship Id="rId20" Type="http://schemas.openxmlformats.org/officeDocument/2006/relationships/hyperlink" Target="https://atendimento.teconsvonline.com.br/hc/pt-br/articles/38589735513741-CONTATOS-DA-SUPERVIS%C3%83O-OPERACIONAL" TargetMode="External"/><Relationship Id="rId22" Type="http://schemas.openxmlformats.org/officeDocument/2006/relationships/hyperlink" Target="https://atendimento.teconsvonline.com.br/hc/pt-br/articles/38589581068685-CONTATOS-DA-SUPERVIS%C3%83O-OPERACIONAL" TargetMode="External"/><Relationship Id="rId21" Type="http://schemas.openxmlformats.org/officeDocument/2006/relationships/hyperlink" Target="https://atendimento.teconsvonline.com.br/hc/pt-br/articles/38589596521357-CONTATOS-DA-SUPERVIS%C3%83O-OPERACIONAL" TargetMode="External"/><Relationship Id="rId24" Type="http://schemas.openxmlformats.org/officeDocument/2006/relationships/hyperlink" Target="https://atendimento.teconsvonline.com.br/hc/pt-br/articles/37399282484493-BLOQUEIOS-HOLDS-E-A%C3%87%C3%95ES-PT-1" TargetMode="External"/><Relationship Id="rId23" Type="http://schemas.openxmlformats.org/officeDocument/2006/relationships/hyperlink" Target="https://atendimento.teconsvonline.com.br/hc/pt-br/articles/38351856848781-Fluxograma-Allink" TargetMode="External"/><Relationship Id="rId26" Type="http://schemas.openxmlformats.org/officeDocument/2006/relationships/hyperlink" Target="https://atendimento.teconsvonline.com.br/hc/pt-br/articles/37398719932685-LIBERA%C3%87%C3%83O-DOCUMENTAL-DUIMP-DECLARA%C3%87%C3%83O-%C3%9ANICA-DE-IMPORTA%C3%87%C3%83O" TargetMode="External"/><Relationship Id="rId25" Type="http://schemas.openxmlformats.org/officeDocument/2006/relationships/hyperlink" Target="https://atendimento.teconsvonline.com.br/hc/pt-br/articles/37399135154189-LIBERA%C3%87%C3%83O-DOCUMENTAL-PAC-PROCESSO-ADMINISTRATIVO" TargetMode="External"/><Relationship Id="rId28" Type="http://schemas.openxmlformats.org/officeDocument/2006/relationships/hyperlink" Target="https://atendimento.teconsvonline.com.br/hc/pt-br/articles/37398134287757-LIBERA%C3%87%C3%83O-DOCUMENTAL-DI-Declara%C3%A7%C3%A3o-de-Importa%C3%A7%C3%A3o" TargetMode="External"/><Relationship Id="rId27" Type="http://schemas.openxmlformats.org/officeDocument/2006/relationships/hyperlink" Target="https://atendimento.teconsvonline.com.br/hc/pt-br/articles/37398529659277-LIBERA%C3%87%C3%83O-DOCUMENTAL-DSA-DESPACHO-SOBRE-%C3%81GUAS" TargetMode="External"/><Relationship Id="rId29" Type="http://schemas.openxmlformats.org/officeDocument/2006/relationships/hyperlink" Target="https://atendimento.teconsvonline.com.br/hc/pt-br/articles/37396586698509-Como-solicitar-um-carregamento-de-carga-solta" TargetMode="External"/><Relationship Id="rId11" Type="http://schemas.openxmlformats.org/officeDocument/2006/relationships/hyperlink" Target="https://atendimento.teconsvonline.com.br/hc/pt-br/articles/39441645259661-Informa%C3%A7%C3%B5es-sobre-a-Tabela-de-Pre%C3%A7os" TargetMode="External"/><Relationship Id="rId10" Type="http://schemas.openxmlformats.org/officeDocument/2006/relationships/hyperlink" Target="https://atendimento.teconsvonline.com.br/hc/pt-br/articles/39493737922701-CONTATOS-INTERNOS-WS" TargetMode="External"/><Relationship Id="rId13" Type="http://schemas.openxmlformats.org/officeDocument/2006/relationships/hyperlink" Target="https://atendimento.teconsvonline.com.br/hc/pt-br/articles/39441453704461-Informa%C3%A7%C3%B5es-sobre-servi%C3%A7os-realizados-no-Centro-Log%C3%ADstico-de-Salvador" TargetMode="External"/><Relationship Id="rId12" Type="http://schemas.openxmlformats.org/officeDocument/2006/relationships/hyperlink" Target="https://atendimento.teconsvonline.com.br/hc/pt-br/articles/39441546144909-Informa%C3%A7%C3%B5es-de-Agendamento-e-Atendimento-para-processos-de-Exporta%C3%A7%C3%A3o" TargetMode="External"/><Relationship Id="rId15" Type="http://schemas.openxmlformats.org/officeDocument/2006/relationships/hyperlink" Target="https://atendimento.teconsvonline.com.br/hc/pt-br/articles/39441101772813-Informa%C3%A7%C3%B5es-sobre-cargas-de-Projetos-Break-Bulk" TargetMode="External"/><Relationship Id="rId14" Type="http://schemas.openxmlformats.org/officeDocument/2006/relationships/hyperlink" Target="https://atendimento.teconsvonline.com.br/hc/pt-br/articles/39441330577549-Informa%C3%A7%C3%B5es-Gerais-sobre-o-processo-de-Cabotagem" TargetMode="External"/><Relationship Id="rId17" Type="http://schemas.openxmlformats.org/officeDocument/2006/relationships/hyperlink" Target="https://atendimento.teconsvonline.com.br/hc/pt-br/articles/38750663731597-INFORMA%C3%87%C3%95ES-GERAIS-FATURAMENTO" TargetMode="External"/><Relationship Id="rId16" Type="http://schemas.openxmlformats.org/officeDocument/2006/relationships/hyperlink" Target="https://atendimento.teconsvonline.com.br/hc/pt-br/articles/39440345586957-Quais-s%C3%A3o-os-custos-aplicados-para-os-processos-de-Importa%C3%A7%C3%A3o" TargetMode="External"/><Relationship Id="rId19" Type="http://schemas.openxmlformats.org/officeDocument/2006/relationships/hyperlink" Target="https://atendimento.teconsvonline.com.br/hc/pt-br/articles/38750034735245-INFORMA%C3%87%C3%95ES-GERAIS-PROJETOS-BREAK-BULK" TargetMode="External"/><Relationship Id="rId18" Type="http://schemas.openxmlformats.org/officeDocument/2006/relationships/hyperlink" Target="https://atendimento.teconsvonline.com.br/hc/pt-br/articles/38750474751501-INFORMA%C3%87%C3%95ES-GERAIS-CLS" TargetMode="External"/><Relationship Id="rId84" Type="http://schemas.openxmlformats.org/officeDocument/2006/relationships/hyperlink" Target="https://atendimento.teconsvonline.com.br/hc/pt-br/articles/24627515210381-Cadastro-de-booking" TargetMode="External"/><Relationship Id="rId83" Type="http://schemas.openxmlformats.org/officeDocument/2006/relationships/hyperlink" Target="https://atendimento.teconsvonline.com.br/hc/pt-br/articles/24629332843661-O-que-fazer-quando-o-CNTR-estiver-com-Minuta-Expirada-para-devolu%C3%A7%C3%A3o" TargetMode="External"/><Relationship Id="rId86" Type="http://schemas.openxmlformats.org/officeDocument/2006/relationships/hyperlink" Target="https://atendimento.teconsvonline.com.br/hc/pt-br/articles/24503908210701-Telefones-Atendimento" TargetMode="External"/><Relationship Id="rId85" Type="http://schemas.openxmlformats.org/officeDocument/2006/relationships/hyperlink" Target="https://atendimento.teconsvonline.com.br/hc/pt-br/articles/24503978193677-COMERCIAL" TargetMode="External"/><Relationship Id="rId88" Type="http://schemas.openxmlformats.org/officeDocument/2006/relationships/hyperlink" Target="https://atendimento.teconsvonline.com.br/hc/pt-br/articles/24503739866381-CSC-fornecedores-tratativas" TargetMode="External"/><Relationship Id="rId87" Type="http://schemas.openxmlformats.org/officeDocument/2006/relationships/hyperlink" Target="https://atendimento.teconsvonline.com.br/hc/pt-br/articles/24503817095821-CONTATOS-DEPOT" TargetMode="External"/><Relationship Id="rId89" Type="http://schemas.openxmlformats.org/officeDocument/2006/relationships/hyperlink" Target="https://atendimento.teconsvonline.com.br/hc/pt-br/articles/24503660244237-E-MAILS-INTERNOS" TargetMode="External"/><Relationship Id="rId80" Type="http://schemas.openxmlformats.org/officeDocument/2006/relationships/hyperlink" Target="https://atendimento.teconsvonline.com.br/hc/pt-br/articles/24708327125517-Tabela-Publica-Impostos-ISS-PIS-e-COFINS" TargetMode="External"/><Relationship Id="rId82" Type="http://schemas.openxmlformats.org/officeDocument/2006/relationships/hyperlink" Target="https://atendimento.teconsvonline.com.br/hc/pt-br/articles/24630553363725-COBRAN%C3%87A-DE-ARMAZENAGEM" TargetMode="External"/><Relationship Id="rId81" Type="http://schemas.openxmlformats.org/officeDocument/2006/relationships/hyperlink" Target="https://atendimento.teconsvonline.com.br/hc/pt-br/articles/24678305656077-Como-realizar-a-vincula%C3%A7%C3%A3o-de-despachante-a-BL-no-Tecsys" TargetMode="External"/><Relationship Id="rId73" Type="http://schemas.openxmlformats.org/officeDocument/2006/relationships/hyperlink" Target="https://atendimento.teconsvonline.com.br/hc/pt-br/articles/26116851130893-RESOLU%C3%87%C3%83O-ANTAQ-N%C2%BA-112-DE-12-DE-MAR%C3%87O-DE-2024-Direcionamento-de-custos-de-armazenagem" TargetMode="External"/><Relationship Id="rId72" Type="http://schemas.openxmlformats.org/officeDocument/2006/relationships/hyperlink" Target="https://atendimento.teconsvonline.com.br/hc/pt-br/articles/26238146165645-Instru%C3%A7%C3%B5es-para-cadastro-de-clientes" TargetMode="External"/><Relationship Id="rId75" Type="http://schemas.openxmlformats.org/officeDocument/2006/relationships/hyperlink" Target="https://atendimento.teconsvonline.com.br/hc/pt-br/articles/25867376725517-Marca%C3%A7%C3%A3o-ANP-para-containers-Killing" TargetMode="External"/><Relationship Id="rId74" Type="http://schemas.openxmlformats.org/officeDocument/2006/relationships/hyperlink" Target="https://atendimento.teconsvonline.com.br/hc/pt-br/articles/26098271911693-Comunicado-Novo-sistema-OCR" TargetMode="External"/><Relationship Id="rId77" Type="http://schemas.openxmlformats.org/officeDocument/2006/relationships/hyperlink" Target="https://atendimento.teconsvonline.com.br/hc/pt-br/articles/25558774085005-Instru%C3%A7%C3%B5es-de-uso-do-portal-Consultas-Movimenta%C3%A7%C3%A3o-de-Containers" TargetMode="External"/><Relationship Id="rId76" Type="http://schemas.openxmlformats.org/officeDocument/2006/relationships/hyperlink" Target="https://atendimento.teconsvonline.com.br/hc/pt-br/articles/25711257715981-Como-solicita-Boleto-Avulso" TargetMode="External"/><Relationship Id="rId79" Type="http://schemas.openxmlformats.org/officeDocument/2006/relationships/hyperlink" Target="https://atendimento.teconsvonline.com.br/hc/pt-br/articles/24923243522061-O-que-fazer-quando-uma-unidade-for-avariada" TargetMode="External"/><Relationship Id="rId78" Type="http://schemas.openxmlformats.org/officeDocument/2006/relationships/hyperlink" Target="https://atendimento.teconsvonline.com.br/hc/pt-br/articles/25041149577869-Alinhamento-Entrada-de-reefer" TargetMode="External"/><Relationship Id="rId71" Type="http://schemas.openxmlformats.org/officeDocument/2006/relationships/hyperlink" Target="https://atendimento.teconsvonline.com.br/hc/pt-br/articles/26832096452621-SOLICITA%C3%87%C3%83O-DE-AMPLIA%C3%87%C3%83O-DE-JANELAS" TargetMode="External"/><Relationship Id="rId70" Type="http://schemas.openxmlformats.org/officeDocument/2006/relationships/hyperlink" Target="https://atendimento.teconsvonline.com.br/hc/pt-br/articles/26833115189645-Script-de-Boas-Pr%C3%A1ticas-para-Atendimento-por-Telefone" TargetMode="External"/><Relationship Id="rId62" Type="http://schemas.openxmlformats.org/officeDocument/2006/relationships/hyperlink" Target="https://atendimento.teconsvonline.com.br/hc/pt-br/articles/27772709459853-Como-solicitar-um-boleto-avulso" TargetMode="External"/><Relationship Id="rId61" Type="http://schemas.openxmlformats.org/officeDocument/2006/relationships/hyperlink" Target="https://atendimento.teconsvonline.com.br/hc/pt-br/articles/27948299859213-Como-solicitar-uma-libera%C3%A7%C3%A3o-de-Cabotagem-atrav%C3%A9s-do-portal" TargetMode="External"/><Relationship Id="rId64" Type="http://schemas.openxmlformats.org/officeDocument/2006/relationships/hyperlink" Target="https://atendimento.teconsvonline.com.br/hc/pt-br/articles/27696971298701-Minha-unidade-j%C3%A1-foi-posicionada" TargetMode="External"/><Relationship Id="rId63" Type="http://schemas.openxmlformats.org/officeDocument/2006/relationships/hyperlink" Target="https://atendimento.teconsvonline.com.br/hc/pt-br/articles/27707345547405-Agendamento-de-carga-solta-manual-ou-mecanizado" TargetMode="External"/><Relationship Id="rId66" Type="http://schemas.openxmlformats.org/officeDocument/2006/relationships/hyperlink" Target="https://atendimento.teconsvonline.com.br/hc/pt-br/articles/27519478089613-Preciso-de-um-boleto-para-pagamento-e-ele-n%C3%A3o-est%C3%A1-dispon%C3%ADvel-no-portal" TargetMode="External"/><Relationship Id="rId65" Type="http://schemas.openxmlformats.org/officeDocument/2006/relationships/hyperlink" Target="https://atendimento.teconsvonline.com.br/hc/pt-br/articles/27637289639309-Como-consultar-averba%C3%A7%C3%A3o-de-processo" TargetMode="External"/><Relationship Id="rId68" Type="http://schemas.openxmlformats.org/officeDocument/2006/relationships/hyperlink" Target="https://atendimento.teconsvonline.com.br/hc/pt-br/articles/26874963139085-Inspe%C3%A7%C3%A3o-N%C3%A3o-Invasiva-Processos-de-Transbordo" TargetMode="External"/><Relationship Id="rId67" Type="http://schemas.openxmlformats.org/officeDocument/2006/relationships/hyperlink" Target="https://atendimento.teconsvonline.com.br/hc/pt-br/articles/27100081298445-Calculadora-de-Servi%C3%A7os-e-Pre%C3%A7os-Wilson-Sons-Tecon-Salvador" TargetMode="External"/><Relationship Id="rId60" Type="http://schemas.openxmlformats.org/officeDocument/2006/relationships/hyperlink" Target="https://atendimento.teconsvonline.com.br/hc/pt-br/articles/28123310185997-Como-solicitar-An%C3%A1lise-Cr%C3%ADtica" TargetMode="External"/><Relationship Id="rId69" Type="http://schemas.openxmlformats.org/officeDocument/2006/relationships/hyperlink" Target="https://atendimento.teconsvonline.com.br/hc/pt-br/articles/26862583438733-Fluxo-Libera%C3%A7%C3%A3o-Processos-Leil%C3%A3o-RFB" TargetMode="External"/><Relationship Id="rId51" Type="http://schemas.openxmlformats.org/officeDocument/2006/relationships/hyperlink" Target="https://atendimento.teconsvonline.com.br/hc/pt-br/articles/33908704901645-Cobran%C3%A7as-de-transporte-Modal-mar%C3%ADtimo" TargetMode="External"/><Relationship Id="rId50" Type="http://schemas.openxmlformats.org/officeDocument/2006/relationships/hyperlink" Target="https://atendimento.teconsvonline.com.br/hc/pt-br/articles/34282873411469-Programa%C3%A7%C3%A3o-de-funcionamento-Carnaval-2025" TargetMode="External"/><Relationship Id="rId53" Type="http://schemas.openxmlformats.org/officeDocument/2006/relationships/hyperlink" Target="https://atendimento.teconsvonline.com.br/hc/pt-br/articles/31609567057421-Cancelamento-de-placa" TargetMode="External"/><Relationship Id="rId52" Type="http://schemas.openxmlformats.org/officeDocument/2006/relationships/hyperlink" Target="https://atendimento.teconsvonline.com.br/hc/pt-br/articles/32752013473421-Minha-unidade-deu-scanner-suspeito-E-agora" TargetMode="External"/><Relationship Id="rId55" Type="http://schemas.openxmlformats.org/officeDocument/2006/relationships/hyperlink" Target="https://atendimento.teconsvonline.com.br/hc/pt-br/articles/29462863199501-Associar-Booking-Depot-Guia-de-Tela-para-Armadores" TargetMode="External"/><Relationship Id="rId54" Type="http://schemas.openxmlformats.org/officeDocument/2006/relationships/hyperlink" Target="https://atendimento.teconsvonline.com.br/hc/pt-br/articles/30609408808973-E-mails" TargetMode="External"/><Relationship Id="rId57" Type="http://schemas.openxmlformats.org/officeDocument/2006/relationships/hyperlink" Target="https://atendimento.teconsvonline.com.br/hc/pt-br/articles/29368705103245-RAMAIS" TargetMode="External"/><Relationship Id="rId56" Type="http://schemas.openxmlformats.org/officeDocument/2006/relationships/hyperlink" Target="https://atendimento.teconsvonline.com.br/hc/pt-br/articles/29407516852109-Associar-Booking-Depot" TargetMode="External"/><Relationship Id="rId59" Type="http://schemas.openxmlformats.org/officeDocument/2006/relationships/hyperlink" Target="https://atendimento.teconsvonline.com.br/hc/pt-br/articles/28261675994253-Como-funciona-o-desembara%C3%A7o-de-exporta%C3%A7%C3%A3o-com-o-Tecon-Salvador" TargetMode="External"/><Relationship Id="rId58" Type="http://schemas.openxmlformats.org/officeDocument/2006/relationships/hyperlink" Target="https://atendimento.teconsvonline.com.br/hc/pt-br/articles/28274881247117-Fluxo-de-Avarias-Internas" TargetMode="External"/><Relationship Id="rId107" Type="http://schemas.openxmlformats.org/officeDocument/2006/relationships/hyperlink" Target="https://atendimento.teconsvonline.com.br/hc/pt-br/articles/23943883896589-Aten%C3%A7%C3%A3o-Mudan%C3%A7as-no-acesso-de-carretas-ao-Centro-Log%C3%ADstico" TargetMode="External"/><Relationship Id="rId106" Type="http://schemas.openxmlformats.org/officeDocument/2006/relationships/hyperlink" Target="https://atendimento.teconsvonline.com.br/hc/pt-br/articles/24023737865997-NAVIO-EM-OPERA%C3%87%C3%83O" TargetMode="External"/><Relationship Id="rId105" Type="http://schemas.openxmlformats.org/officeDocument/2006/relationships/hyperlink" Target="https://atendimento.teconsvonline.com.br/hc/pt-br/articles/24204752747277-AVERBA%C3%87%C3%83O-BAGAGEM" TargetMode="External"/><Relationship Id="rId104" Type="http://schemas.openxmlformats.org/officeDocument/2006/relationships/hyperlink" Target="https://atendimento.teconsvonline.com.br/hc/pt-br/articles/24204949822605-SOLICITA%C3%87%C3%83O-DE-FOTOS-MERCADORIA" TargetMode="External"/><Relationship Id="rId109" Type="http://schemas.openxmlformats.org/officeDocument/2006/relationships/hyperlink" Target="https://atendimento.teconsvonline.com.br/hc/pt-br/articles/23331971505165-Regras-para-tratativa-Allink-LCL" TargetMode="External"/><Relationship Id="rId108" Type="http://schemas.openxmlformats.org/officeDocument/2006/relationships/hyperlink" Target="https://atendimento.teconsvonline.com.br/hc/pt-br/articles/23333132191117-KILLING-REEFER" TargetMode="External"/><Relationship Id="rId103" Type="http://schemas.openxmlformats.org/officeDocument/2006/relationships/hyperlink" Target="https://atendimento.teconsvonline.com.br/hc/pt-br/articles/24278130169997-Momento-cuidado-Resili%C3%AAncia-entenda-o-conceito-e-como-ser-mais-resiliente" TargetMode="External"/><Relationship Id="rId102" Type="http://schemas.openxmlformats.org/officeDocument/2006/relationships/hyperlink" Target="https://atendimento.teconsvonline.com.br/hc/pt-br/articles/24281357697933-MODULOS-DE-FATURAMENTO" TargetMode="External"/><Relationship Id="rId101" Type="http://schemas.openxmlformats.org/officeDocument/2006/relationships/hyperlink" Target="https://atendimento.teconsvonline.com.br/hc/pt-br/articles/24319729697549-RASCUNHO-CONTROLE-DE-ACESSO-VINCULA%C3%87%C3%83O-DE-CNPJ-A-USUARIOS" TargetMode="External"/><Relationship Id="rId100" Type="http://schemas.openxmlformats.org/officeDocument/2006/relationships/hyperlink" Target="https://atendimento.teconsvonline.com.br/hc/pt-br/articles/24329379792397-Como-realizar-a-Retirada-de-Obrigatoriedade-de-NF" TargetMode="External"/><Relationship Id="rId129" Type="http://schemas.openxmlformats.org/officeDocument/2006/relationships/hyperlink" Target="https://atendimento.teconsvonline.com.br/hc/pt-br/articles/18665299725581-Entrada-Antecipada" TargetMode="External"/><Relationship Id="rId128" Type="http://schemas.openxmlformats.org/officeDocument/2006/relationships/hyperlink" Target="https://atendimento.teconsvonline.com.br/hc/pt-br/articles/18727472957581-Regras-para-aplica%C3%A7%C3%A3o-de-dia-adicional-de-Armazenagem" TargetMode="External"/><Relationship Id="rId127" Type="http://schemas.openxmlformats.org/officeDocument/2006/relationships/hyperlink" Target="https://atendimento.teconsvonline.com.br/hc/pt-br/articles/18817200171021-Agendamento-de-devolu%C3%A7%C3%A3o-de-vazios-CLSSA-DEPOT" TargetMode="External"/><Relationship Id="rId126" Type="http://schemas.openxmlformats.org/officeDocument/2006/relationships/hyperlink" Target="https://atendimento.teconsvonline.com.br/hc/pt-br/articles/22419830133901-MK" TargetMode="External"/><Relationship Id="rId121" Type="http://schemas.openxmlformats.org/officeDocument/2006/relationships/hyperlink" Target="https://atendimento.teconsvonline.com.br/hc/pt-br/articles/22527023643277-Emails-DHO" TargetMode="External"/><Relationship Id="rId120" Type="http://schemas.openxmlformats.org/officeDocument/2006/relationships/hyperlink" Target="https://atendimento.teconsvonline.com.br/hc/pt-br/articles/22527297395469-Email-Seguran%C3%A7a-Patrimonial" TargetMode="External"/><Relationship Id="rId125" Type="http://schemas.openxmlformats.org/officeDocument/2006/relationships/hyperlink" Target="https://atendimento.teconsvonline.com.br/hc/pt-br/articles/22526318397453-Como-solicito-desova-parcial-consolidado-da-MK" TargetMode="External"/><Relationship Id="rId124" Type="http://schemas.openxmlformats.org/officeDocument/2006/relationships/hyperlink" Target="https://atendimento.teconsvonline.com.br/hc/pt-br/articles/22526541868941-E-mails-Armazem" TargetMode="External"/><Relationship Id="rId123" Type="http://schemas.openxmlformats.org/officeDocument/2006/relationships/hyperlink" Target="https://atendimento.teconsvonline.com.br/hc/pt-br/articles/22526646445837-Emails-Opera%C3%A7%C3%B5es" TargetMode="External"/><Relationship Id="rId122" Type="http://schemas.openxmlformats.org/officeDocument/2006/relationships/hyperlink" Target="https://atendimento.teconsvonline.com.br/hc/pt-br/articles/22526914045965-Emails-Depot" TargetMode="External"/><Relationship Id="rId95" Type="http://schemas.openxmlformats.org/officeDocument/2006/relationships/hyperlink" Target="https://atendimento.teconsvonline.com.br/hc/pt-br/articles/24415735639053-UNIDADE-COM-LACRE-AVARIADO" TargetMode="External"/><Relationship Id="rId94" Type="http://schemas.openxmlformats.org/officeDocument/2006/relationships/hyperlink" Target="https://atendimento.teconsvonline.com.br/hc/pt-br/articles/24416965172109-Como-seguir-com-desist%C3%AAncia-de-Embarque-Exporta%C3%A7%C3%A3o" TargetMode="External"/><Relationship Id="rId97" Type="http://schemas.openxmlformats.org/officeDocument/2006/relationships/hyperlink" Target="https://atendimento.teconsvonline.com.br/hc/pt-br/articles/24369015719949-RETIRADA-DE-CARGA-DTA-RECINTO" TargetMode="External"/><Relationship Id="rId96" Type="http://schemas.openxmlformats.org/officeDocument/2006/relationships/hyperlink" Target="https://atendimento.teconsvonline.com.br/hc/pt-br/articles/24415359538957-O-que-fazer-quando-receber-uma-contesta%C3%A7%C3%A3o-de-fatura" TargetMode="External"/><Relationship Id="rId99" Type="http://schemas.openxmlformats.org/officeDocument/2006/relationships/hyperlink" Target="https://atendimento.teconsvonline.com.br/hc/pt-br/articles/24364089757965-COMO-LIBERAR-AGENDAMENTO-SEM-OBRIGATORIEDADE-DE-NF" TargetMode="External"/><Relationship Id="rId98" Type="http://schemas.openxmlformats.org/officeDocument/2006/relationships/hyperlink" Target="https://atendimento.teconsvonline.com.br/hc/pt-br/articles/24364194894989-SERVI%C3%87O-DE-EXPORTA%C3%87%C3%83O" TargetMode="External"/><Relationship Id="rId91" Type="http://schemas.openxmlformats.org/officeDocument/2006/relationships/hyperlink" Target="https://atendimento.teconsvonline.com.br/hc/pt-br/articles/24500060040333-SOBRE-ABERTURA-DE-GATE" TargetMode="External"/><Relationship Id="rId90" Type="http://schemas.openxmlformats.org/officeDocument/2006/relationships/hyperlink" Target="https://atendimento.teconsvonline.com.br/hc/pt-br/articles/24500388349325-AGENDAMENTOS-ARMAZ%C3%89M-DESOVA-ACOMPANHADA" TargetMode="External"/><Relationship Id="rId93" Type="http://schemas.openxmlformats.org/officeDocument/2006/relationships/hyperlink" Target="https://atendimento.teconsvonline.com.br/hc/pt-br/articles/24466294676109-DIRECIONAMENTO-DA-CARGA" TargetMode="External"/><Relationship Id="rId92" Type="http://schemas.openxmlformats.org/officeDocument/2006/relationships/hyperlink" Target="https://atendimento.teconsvonline.com.br/hc/pt-br/articles/24499751348109-Como-negar-entrada-antecipada" TargetMode="External"/><Relationship Id="rId118" Type="http://schemas.openxmlformats.org/officeDocument/2006/relationships/hyperlink" Target="https://atendimento.teconsvonline.com.br/hc/pt-br/articles/22545719006093-Carga-que-entrar%C3%A1-em-Abandono" TargetMode="External"/><Relationship Id="rId117" Type="http://schemas.openxmlformats.org/officeDocument/2006/relationships/hyperlink" Target="https://atendimento.teconsvonline.com.br/hc/pt-br/articles/22601750339853-Portaria-n%C2%BA-11-de-26-05-23-Uso-dos-equipamentos-de-inspe%C3%A7%C3%A3o-n%C3%A3o-invasiva-em-SSA" TargetMode="External"/><Relationship Id="rId116" Type="http://schemas.openxmlformats.org/officeDocument/2006/relationships/hyperlink" Target="https://atendimento.teconsvonline.com.br/hc/pt-br/articles/22718603281805-CARTAS-PROTESTO" TargetMode="External"/><Relationship Id="rId115" Type="http://schemas.openxmlformats.org/officeDocument/2006/relationships/hyperlink" Target="https://atendimento.teconsvonline.com.br/hc/pt-br/articles/22859736115341-COMUNICAR-AVARIA-DE-ORIGEM" TargetMode="External"/><Relationship Id="rId119" Type="http://schemas.openxmlformats.org/officeDocument/2006/relationships/hyperlink" Target="https://atendimento.teconsvonline.com.br/hc/pt-br/articles/22528858942477-Emails-Suprimentos" TargetMode="External"/><Relationship Id="rId110" Type="http://schemas.openxmlformats.org/officeDocument/2006/relationships/hyperlink" Target="https://atendimento.teconsvonline.com.br/hc/pt-br/articles/23317440954509-CONTATOS-DM2" TargetMode="External"/><Relationship Id="rId114" Type="http://schemas.openxmlformats.org/officeDocument/2006/relationships/hyperlink" Target="https://atendimento.teconsvonline.com.br/hc/pt-br/articles/22883722491149-CONSULTAR-CADASTRO-PARA-LIBERA%C3%87%C3%83O-DE-BOOKING-CABOTAGEM" TargetMode="External"/><Relationship Id="rId113" Type="http://schemas.openxmlformats.org/officeDocument/2006/relationships/hyperlink" Target="https://atendimento.teconsvonline.com.br/hc/pt-br/articles/22884212670221-SOLICITA%C3%87%C3%83O-DE-ACESSO-AO-TERMINAL-Acesso-com-o-celular" TargetMode="External"/><Relationship Id="rId112" Type="http://schemas.openxmlformats.org/officeDocument/2006/relationships/hyperlink" Target="https://atendimento.teconsvonline.com.br/hc/pt-br/articles/23047723490061-Alinhamento-Peso-da-unidade-ultrapassando-Max-Gross" TargetMode="External"/><Relationship Id="rId111" Type="http://schemas.openxmlformats.org/officeDocument/2006/relationships/hyperlink" Target="https://atendimento.teconsvonline.com.br/hc/pt-br/articles/23120757650957-FLUXO-DE-DSA-202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atendimento.teconline.com.br/hc/pt-br/articles/360055863831-22-01-21-Feriado-de-Nossa-Senhora-dos-Navegantes" TargetMode="External"/><Relationship Id="rId194" Type="http://schemas.openxmlformats.org/officeDocument/2006/relationships/hyperlink" Target="https://atendimento.teconline.com.br/hc/pt-br/articles/360050927732-02-11-20-Feriado-de-Nossa-Senhora-Aparecida" TargetMode="External"/><Relationship Id="rId193" Type="http://schemas.openxmlformats.org/officeDocument/2006/relationships/hyperlink" Target="https://atendimento.teconline.com.br/hc/pt-br/articles/8705793155469-25-08-22-Novo-Procedimento-Estufagem-Altera%C3%A7%C3%A3o-e-mail" TargetMode="External"/><Relationship Id="rId192" Type="http://schemas.openxmlformats.org/officeDocument/2006/relationships/hyperlink" Target="https://atendimento.teconline.com.br/hc/pt-br/articles/360053518051-09-12-20-Hor%C3%A1rios-Natal-e-Ano-Novo" TargetMode="External"/><Relationship Id="rId191" Type="http://schemas.openxmlformats.org/officeDocument/2006/relationships/hyperlink" Target="https://atendimento.teconline.com.br/hc/pt-br/articles/9185581677197-15-09-22-Dia-do-cliente" TargetMode="External"/><Relationship Id="rId187" Type="http://schemas.openxmlformats.org/officeDocument/2006/relationships/hyperlink" Target="https://atendimento.teconline.com.br/hc/pt-br/articles/9717845832205-07-10-22-Placa-Ileg%C3%ADvel-Acesso-ao-terminal" TargetMode="External"/><Relationship Id="rId186" Type="http://schemas.openxmlformats.org/officeDocument/2006/relationships/hyperlink" Target="https://atendimento.teconline.com.br/hc/pt-br/articles/360058953071-25-03-21-Feriado-de-P%C3%A1scoa" TargetMode="External"/><Relationship Id="rId185" Type="http://schemas.openxmlformats.org/officeDocument/2006/relationships/hyperlink" Target="https://atendimento.teconline.com.br/hc/pt-br/articles/10106414825613-24-10-22-Vem-a%C3%AD-Uma-grande-melhoria-em-nosso-terminal-para-voc%C3%AA" TargetMode="External"/><Relationship Id="rId184" Type="http://schemas.openxmlformats.org/officeDocument/2006/relationships/hyperlink" Target="https://atendimento.teconline.com.br/hc/pt-br/articles/360059102152-07-04-21-Feriado-de-Tiradentes" TargetMode="External"/><Relationship Id="rId189" Type="http://schemas.openxmlformats.org/officeDocument/2006/relationships/hyperlink" Target="https://atendimento.teconline.com.br/hc/pt-br/articles/9467579676941-27-09-22-Substitui%C3%A7%C3%A3o-NF-Carga-no-Armaz%C3%A9m-de-Exporta%C3%A7%C3%A3o" TargetMode="External"/><Relationship Id="rId188" Type="http://schemas.openxmlformats.org/officeDocument/2006/relationships/hyperlink" Target="https://atendimento.teconline.com.br/hc/pt-br/articles/360056022232-11-02-21-Feriado-de-Carnaval" TargetMode="External"/><Relationship Id="rId183" Type="http://schemas.openxmlformats.org/officeDocument/2006/relationships/hyperlink" Target="https://atendimento.teconline.com.br/hc/pt-br/articles/10281175928077-31-10-22-SEIS-ANOS-de-um-triunfo-que-merece-ser-comemorado" TargetMode="External"/><Relationship Id="rId182" Type="http://schemas.openxmlformats.org/officeDocument/2006/relationships/hyperlink" Target="https://atendimento.teconline.com.br/hc/pt-br/articles/360060393971-26-04-21-Feriado-do-Dia-do-Trabalho" TargetMode="External"/><Relationship Id="rId181" Type="http://schemas.openxmlformats.org/officeDocument/2006/relationships/hyperlink" Target="https://atendimento.teconline.com.br/hc/pt-br/articles/10474798909965-08-11-22-Canais-de-Atendimento-Tecon-Rio-Grande" TargetMode="External"/><Relationship Id="rId180" Type="http://schemas.openxmlformats.org/officeDocument/2006/relationships/hyperlink" Target="https://atendimento.teconline.com.br/hc/pt-br/articles/360061589751-21-05-21-Feriado-de-Corpus-Christi" TargetMode="External"/><Relationship Id="rId176" Type="http://schemas.openxmlformats.org/officeDocument/2006/relationships/hyperlink" Target="https://atendimento.teconline.com.br/hc/pt-br/articles/4408192338701-30-08-21-Feriado-de-Independ%C3%AAncia-do-Brasil" TargetMode="External"/><Relationship Id="rId175" Type="http://schemas.openxmlformats.org/officeDocument/2006/relationships/hyperlink" Target="https://atendimento.teconline.com.br/hc/pt-br/articles/11427775089933-13-12-22-M%C3%8AS-NO-TECON-RG-Chegou-sua-atualiza%C3%A7%C3%A3o" TargetMode="External"/><Relationship Id="rId174" Type="http://schemas.openxmlformats.org/officeDocument/2006/relationships/hyperlink" Target="https://atendimento.teconline.com.br/hc/pt-br/articles/4408935937165-10-09-21-Feriado-da-Revolu%C3%A7%C3%A3o-Farroupilha" TargetMode="External"/><Relationship Id="rId173" Type="http://schemas.openxmlformats.org/officeDocument/2006/relationships/hyperlink" Target="https://atendimento.teconline.com.br/hc/pt-br/articles/11615891740941-20-12-22-Nomenclatura-de-Servi%C3%A7os-Armazenagem" TargetMode="External"/><Relationship Id="rId179" Type="http://schemas.openxmlformats.org/officeDocument/2006/relationships/hyperlink" Target="https://atendimento.teconline.com.br/hc/pt-br/articles/11032670727821-30-11-22-Nomenclatura-de-Servi%C3%A7os" TargetMode="External"/><Relationship Id="rId178" Type="http://schemas.openxmlformats.org/officeDocument/2006/relationships/hyperlink" Target="https://atendimento.teconline.com.br/hc/pt-br/articles/4402788262541-10-06-21-Feriado-de-S%C3%A3o-Pedro" TargetMode="External"/><Relationship Id="rId177" Type="http://schemas.openxmlformats.org/officeDocument/2006/relationships/hyperlink" Target="https://atendimento.teconline.com.br/hc/pt-br/articles/11184405951885-05-12-22-Comunicado-Importante-Servi%C3%A7o-de-Utiliza%C3%A7%C3%A3o-%C3%81rea-Especial" TargetMode="External"/><Relationship Id="rId198" Type="http://schemas.openxmlformats.org/officeDocument/2006/relationships/hyperlink" Target="https://atendimento.teconline.com.br/hc/pt-br/articles/360049012551-07-09-20-Feriado-da-Independ%C3%AAncia-do-Brasil" TargetMode="External"/><Relationship Id="rId197" Type="http://schemas.openxmlformats.org/officeDocument/2006/relationships/hyperlink" Target="https://atendimento.teconline.com.br/hc/pt-br/articles/9143835844749-15-07-22-Volume-extra-no-caminh%C3%A3o" TargetMode="External"/><Relationship Id="rId196" Type="http://schemas.openxmlformats.org/officeDocument/2006/relationships/hyperlink" Target="https://atendimento.teconline.com.br/hc/pt-br/articles/360050291092-12-10-20-Feriado-de-Nossa-Senhora-Aparecida" TargetMode="External"/><Relationship Id="rId195" Type="http://schemas.openxmlformats.org/officeDocument/2006/relationships/hyperlink" Target="https://atendimento.teconline.com.br/hc/pt-br/articles/8466998498957-16-08-22-Novo-Procedimento-Containers-em-bundle" TargetMode="External"/><Relationship Id="rId199" Type="http://schemas.openxmlformats.org/officeDocument/2006/relationships/hyperlink" Target="https://atendimento.teconline.com.br/hc/pt-br/articles/8315342664973-12-07-22-VOC%C3%8A-PEDIU-Melhorias-no-Agendamento" TargetMode="External"/><Relationship Id="rId150" Type="http://schemas.openxmlformats.org/officeDocument/2006/relationships/hyperlink" Target="https://atendimento.teconline.com.br/hc/pt-br/articles/16885100113165-19-06-2023-Queremos-Ouvir-Voc%C3%AA" TargetMode="External"/><Relationship Id="rId1" Type="http://schemas.openxmlformats.org/officeDocument/2006/relationships/hyperlink" Target="https://atendimento.teconline.com.br/hc/pt-br/articles/46580151525773-N%C3%A3o-perca-nossos-comunicados-Mantenha-os-contatos-da-sua-equipe-atualizados" TargetMode="External"/><Relationship Id="rId2" Type="http://schemas.openxmlformats.org/officeDocument/2006/relationships/hyperlink" Target="https://atendimento.teconline.com.br/hc/pt-br/articles/45969746240653-19-05-2026-Comunicado-Importante-Reprograma%C3%A7%C3%A3o-Agendamento-SMS" TargetMode="External"/><Relationship Id="rId3" Type="http://schemas.openxmlformats.org/officeDocument/2006/relationships/hyperlink" Target="https://atendimento.teconline.com.br/hc/pt-br/articles/45969542413965-Reprograma%C3%A7%C3%A3o-Agendamento-SMS" TargetMode="External"/><Relationship Id="rId149" Type="http://schemas.openxmlformats.org/officeDocument/2006/relationships/hyperlink" Target="https://atendimento.teconline.com.br/hc/pt-br/articles/360048847852-Canal-de-Atendimento-WhatsApp" TargetMode="External"/><Relationship Id="rId4" Type="http://schemas.openxmlformats.org/officeDocument/2006/relationships/hyperlink" Target="https://atendimento.teconline.com.br/hc/pt-br/articles/45640367424525-VOC%C3%8A-PEDIU-Novo-prazo-para-certificados-de-aera%C3%A7%C3%A3o" TargetMode="External"/><Relationship Id="rId148" Type="http://schemas.openxmlformats.org/officeDocument/2006/relationships/hyperlink" Target="https://atendimento.teconline.com.br/hc/pt-br/articles/10189750495757-27-10-22-Feriados-M%C3%AAs-de-Novembro" TargetMode="External"/><Relationship Id="rId9" Type="http://schemas.openxmlformats.org/officeDocument/2006/relationships/hyperlink" Target="https://atendimento.teconline.com.br/hc/pt-br/articles/43287279721485-05-02-2026-Comunicado-Importante-Feriado-de-Carnaval" TargetMode="External"/><Relationship Id="rId143" Type="http://schemas.openxmlformats.org/officeDocument/2006/relationships/hyperlink" Target="https://atendimento.teconline.com.br/hc/pt-br/articles/17287287948685-03-07-2023-Comunicado-Importante-Canal-de-Atendimento-Motoristas" TargetMode="External"/><Relationship Id="rId142" Type="http://schemas.openxmlformats.org/officeDocument/2006/relationships/hyperlink" Target="https://atendimento.teconline.com.br/hc/pt-br/articles/360000323871-Canais-de-Atendimento-ao-Cliente" TargetMode="External"/><Relationship Id="rId141" Type="http://schemas.openxmlformats.org/officeDocument/2006/relationships/hyperlink" Target="https://atendimento.teconline.com.br/hc/pt-br/articles/360000326551-Solicita%C3%A7%C3%A3o-ou-atualiza%C3%A7%C3%A3o-de-cadastro" TargetMode="External"/><Relationship Id="rId140" Type="http://schemas.openxmlformats.org/officeDocument/2006/relationships/hyperlink" Target="https://atendimento.teconline.com.br/hc/pt-br/articles/360000319152-Servi%C3%A7os-B%C3%A1sicos-de-Exporta%C3%A7%C3%A3o" TargetMode="External"/><Relationship Id="rId5" Type="http://schemas.openxmlformats.org/officeDocument/2006/relationships/hyperlink" Target="https://atendimento.teconline.com.br/hc/pt-br/articles/45445136445709--Hor%C3%A1rio-Especial-Tecon-Rio-Grande-Comunica" TargetMode="External"/><Relationship Id="rId147" Type="http://schemas.openxmlformats.org/officeDocument/2006/relationships/hyperlink" Target="https://atendimento.teconline.com.br/hc/pt-br/articles/16945680967821-21-06-2023-Novo-Procedimento-Registro-de-Integra%C3%A7%C3%A3o-Ag%C3%AAncia-Mar%C3%ADtima" TargetMode="External"/><Relationship Id="rId6" Type="http://schemas.openxmlformats.org/officeDocument/2006/relationships/hyperlink" Target="https://atendimento.teconline.com.br/hc/pt-br/articles/45398674305549--Novo-Procedimento-Novo-Fluxo-de-Entrega-de-Lacres" TargetMode="External"/><Relationship Id="rId146" Type="http://schemas.openxmlformats.org/officeDocument/2006/relationships/hyperlink" Target="https://atendimento.teconline.com.br/hc/pt-br/articles/360033450452-Carregamento-via-Barca%C3%A7a" TargetMode="External"/><Relationship Id="rId7" Type="http://schemas.openxmlformats.org/officeDocument/2006/relationships/hyperlink" Target="https://atendimento.teconline.com.br/hc/pt-br/articles/45175124069133-Feriados-M%C3%AAs-de-Abril" TargetMode="External"/><Relationship Id="rId145" Type="http://schemas.openxmlformats.org/officeDocument/2006/relationships/hyperlink" Target="https://atendimento.teconline.com.br/hc/pt-br/articles/360048851792-Canal-de-atendimento-Chat" TargetMode="External"/><Relationship Id="rId8" Type="http://schemas.openxmlformats.org/officeDocument/2006/relationships/hyperlink" Target="https://atendimento.teconline.com.br/hc/pt-br/articles/43417777244557-10-02-2026-Comunicado-Importante-Reten%C3%A7%C3%A3o-ISS-ISPS-Code" TargetMode="External"/><Relationship Id="rId144" Type="http://schemas.openxmlformats.org/officeDocument/2006/relationships/hyperlink" Target="https://atendimento.teconline.com.br/hc/pt-br/articles/10820058261261-18-11-22-Copa-do-Mundo-2022" TargetMode="External"/><Relationship Id="rId139" Type="http://schemas.openxmlformats.org/officeDocument/2006/relationships/hyperlink" Target="https://atendimento.teconline.com.br/hc/pt-br/articles/360033425552-Cadastro-de-CNH-e-FEPAM-para-agendamento-de-Container" TargetMode="External"/><Relationship Id="rId138" Type="http://schemas.openxmlformats.org/officeDocument/2006/relationships/hyperlink" Target="https://atendimento.teconline.com.br/hc/pt-br/articles/360033789491-Encerramento-de-OS-Vistoria-do-MAPA" TargetMode="External"/><Relationship Id="rId137" Type="http://schemas.openxmlformats.org/officeDocument/2006/relationships/hyperlink" Target="https://atendimento.teconline.com.br/hc/pt-br/articles/360033450332-Cargas-especiais-aceitas-no-terminal" TargetMode="External"/><Relationship Id="rId132" Type="http://schemas.openxmlformats.org/officeDocument/2006/relationships/hyperlink" Target="https://atendimento.teconline.com.br/hc/pt-br/articles/360033823631-Solicitar-Despachos-sobre-%C3%81guas-DSA" TargetMode="External"/><Relationship Id="rId131" Type="http://schemas.openxmlformats.org/officeDocument/2006/relationships/hyperlink" Target="https://atendimento.teconline.com.br/hc/pt-br/articles/360038372991-Consulta-Booking" TargetMode="External"/><Relationship Id="rId130" Type="http://schemas.openxmlformats.org/officeDocument/2006/relationships/hyperlink" Target="https://atendimento.teconline.com.br/hc/pt-br/articles/360038373511-Consulta-Nota-Fiscal-Exporta%C3%A7%C3%A3o" TargetMode="External"/><Relationship Id="rId136" Type="http://schemas.openxmlformats.org/officeDocument/2006/relationships/hyperlink" Target="https://atendimento.teconline.com.br/hc/pt-br/articles/360033810571-Libera%C3%A7%C3%A3o-DI-e-DTA" TargetMode="External"/><Relationship Id="rId135" Type="http://schemas.openxmlformats.org/officeDocument/2006/relationships/hyperlink" Target="https://atendimento.teconline.com.br/hc/pt-br/articles/360033811191-Ficha-de-Emerg%C3%AAncia-Processo-de-Exporta%C3%A7%C3%A3o-Cabotagem-Embarque" TargetMode="External"/><Relationship Id="rId134" Type="http://schemas.openxmlformats.org/officeDocument/2006/relationships/hyperlink" Target="https://atendimento.teconline.com.br/hc/pt-br/articles/360033812011-Retirada-de-container-Desist%C3%AAncia-de-Embarque-de-Exporta%C3%A7%C3%A3o" TargetMode="External"/><Relationship Id="rId133" Type="http://schemas.openxmlformats.org/officeDocument/2006/relationships/hyperlink" Target="https://atendimento.teconline.com.br/hc/pt-br/articles/360033453872-Solicita%C3%A7%C3%A3o-de-Carga-P%C3%A1tio" TargetMode="External"/><Relationship Id="rId172" Type="http://schemas.openxmlformats.org/officeDocument/2006/relationships/hyperlink" Target="https://atendimento.teconline.com.br/hc/pt-br/articles/4410747132941-05-10-21-Feriado-da-Nossa-Senhora-Aparecida" TargetMode="External"/><Relationship Id="rId171" Type="http://schemas.openxmlformats.org/officeDocument/2006/relationships/hyperlink" Target="https://atendimento.teconline.com.br/hc/pt-br/articles/11817143199245-28-12-22-Libera%C3%A7%C3%A3o-Documental-Cabotagem" TargetMode="External"/><Relationship Id="rId170" Type="http://schemas.openxmlformats.org/officeDocument/2006/relationships/hyperlink" Target="https://atendimento.teconline.com.br/hc/pt-br/articles/4411841376909-22-10-21-Feriado-de-Finados" TargetMode="External"/><Relationship Id="rId165" Type="http://schemas.openxmlformats.org/officeDocument/2006/relationships/hyperlink" Target="https://atendimento.teconline.com.br/hc/pt-br/articles/18167986236301-09-02-2023-Novo-Procedimento-Lista-de-Embarque" TargetMode="External"/><Relationship Id="rId164" Type="http://schemas.openxmlformats.org/officeDocument/2006/relationships/hyperlink" Target="https://atendimento.teconline.com.br/hc/pt-br/articles/4422723563405-24-01-22-Feriado-de-Nossa-Senhora-dos-Navegantes" TargetMode="External"/><Relationship Id="rId163" Type="http://schemas.openxmlformats.org/officeDocument/2006/relationships/hyperlink" Target="https://atendimento.teconline.com.br/hc/pt-br/articles/14178022837773-21-03-23-Comunicado-Importante-Armaz%C3%A9m-Exporta%C3%A7%C3%A3o" TargetMode="External"/><Relationship Id="rId162" Type="http://schemas.openxmlformats.org/officeDocument/2006/relationships/hyperlink" Target="https://atendimento.teconline.com.br/hc/pt-br/articles/4463234184333-21-02-22-Feriado-de-Carnaval" TargetMode="External"/><Relationship Id="rId169" Type="http://schemas.openxmlformats.org/officeDocument/2006/relationships/hyperlink" Target="https://atendimento.teconline.com.br/hc/pt-br/articles/12296696702221-16-01-23-Ficha-de-Emerg%C3%AAncia-Exporta%C3%A7%C3%A3o-e-Cabotagem" TargetMode="External"/><Relationship Id="rId168" Type="http://schemas.openxmlformats.org/officeDocument/2006/relationships/hyperlink" Target="https://atendimento.teconline.com.br/hc/pt-br/articles/4412732747917-04-11-21-Feriado-da-Proclama%C3%A7%C3%A3o-da-Rep%C3%BAblica" TargetMode="External"/><Relationship Id="rId167" Type="http://schemas.openxmlformats.org/officeDocument/2006/relationships/hyperlink" Target="https://atendimento.teconline.com.br/hc/pt-br/articles/12664438646797-30-01-23-Novo-Procedimento-Libera%C3%A7%C3%A3o-Documental-da-Importa%C3%A7%C3%A3o" TargetMode="External"/><Relationship Id="rId166" Type="http://schemas.openxmlformats.org/officeDocument/2006/relationships/hyperlink" Target="https://atendimento.teconline.com.br/hc/pt-br/articles/4415975176461-08-12-21-Feriado-de-Natal-e-Ano-Novo" TargetMode="External"/><Relationship Id="rId161" Type="http://schemas.openxmlformats.org/officeDocument/2006/relationships/hyperlink" Target="https://atendimento.teconline.com.br/hc/pt-br/articles/14621914526093-05-04-23-Novo-Procedimento-Levante-e-Sa%C3%ADda-de-Cargas-DI-DTA-Importa%C3%A7%C3%A3o" TargetMode="External"/><Relationship Id="rId160" Type="http://schemas.openxmlformats.org/officeDocument/2006/relationships/hyperlink" Target="https://atendimento.teconline.com.br/hc/pt-br/articles/5343888822925-06-04-22-Feriados-de-P%C3%A1scoa-e-Tiradentes" TargetMode="External"/><Relationship Id="rId159" Type="http://schemas.openxmlformats.org/officeDocument/2006/relationships/hyperlink" Target="https://atendimento.teconline.com.br/hc/pt-br/articles/15870500978701-17-05-23-Comunicado-Importante-Hor%C3%A1rio-de-Atendimento-Armaz%C3%A9m-Exporta%C3%A7%C3%A3o" TargetMode="External"/><Relationship Id="rId154" Type="http://schemas.openxmlformats.org/officeDocument/2006/relationships/hyperlink" Target="https://atendimento.teconline.com.br/hc/pt-br/articles/360000326591-Servi%C3%A7os-B%C3%A1sicos-de-Importa%C3%A7%C3%A3o" TargetMode="External"/><Relationship Id="rId153" Type="http://schemas.openxmlformats.org/officeDocument/2006/relationships/hyperlink" Target="https://atendimento.teconline.com.br/hc/pt-br/articles/9158185673869-14-09-22-Feriados-M%C3%AAs-de-Setembro" TargetMode="External"/><Relationship Id="rId152" Type="http://schemas.openxmlformats.org/officeDocument/2006/relationships/hyperlink" Target="https://atendimento.teconline.com.br/hc/pt-br/articles/16506253580429-26-05-2023-Novo-Procedimento-Estufagem-Armaz%C3%A9m" TargetMode="External"/><Relationship Id="rId151" Type="http://schemas.openxmlformats.org/officeDocument/2006/relationships/hyperlink" Target="https://atendimento.teconline.com.br/hc/pt-br/articles/9634096872333-04-10-22-Feriado-M%C3%AAs-de-Outubro" TargetMode="External"/><Relationship Id="rId158" Type="http://schemas.openxmlformats.org/officeDocument/2006/relationships/hyperlink" Target="https://atendimento.teconline.com.br/hc/pt-br/articles/7172806233485-24-06-22-Feriado-Municipal-de-S%C3%A3o-Pedro" TargetMode="External"/><Relationship Id="rId157" Type="http://schemas.openxmlformats.org/officeDocument/2006/relationships/hyperlink" Target="https://atendimento.teconline.com.br/hc/pt-br/articles/16234303919501-26-05-2023-Novo-Procedimento-Estufagem-Armaz%C3%A9m" TargetMode="External"/><Relationship Id="rId156" Type="http://schemas.openxmlformats.org/officeDocument/2006/relationships/hyperlink" Target="https://atendimento.teconline.com.br/hc/pt-br/articles/8852303339661-01-09-22-Feriados-M%C3%AAs-de-Setembro" TargetMode="External"/><Relationship Id="rId155" Type="http://schemas.openxmlformats.org/officeDocument/2006/relationships/hyperlink" Target="https://atendimento.teconline.com.br/hc/pt-br/articles/16314615075597-30-05-2023-Comunicado-Importante-Acesso-ao-P%C3%A1tio-Operacional-V%C3%ADdeo" TargetMode="External"/><Relationship Id="rId40" Type="http://schemas.openxmlformats.org/officeDocument/2006/relationships/hyperlink" Target="https://atendimento.teconline.com.br/hc/pt-br/articles/27323227298957-05-06-2024-Comunicado-Importante-Recebimento-de-Containers-Cheios-DRY" TargetMode="External"/><Relationship Id="rId42" Type="http://schemas.openxmlformats.org/officeDocument/2006/relationships/hyperlink" Target="https://atendimento.teconline.com.br/hc/pt-br/articles/27004238909453-Calculadora-de-Servi%C3%A7os-e-Pre%C3%A7os-Wilson-Sons-Tecon-Rio-Grande" TargetMode="External"/><Relationship Id="rId41" Type="http://schemas.openxmlformats.org/officeDocument/2006/relationships/hyperlink" Target="https://atendimento.teconline.com.br/hc/pt-br/articles/27127276969741-28-05-2024-Novo-Procedimento-Libera%C3%A7%C3%A3o-de-Ve%C3%ADculos-Importados" TargetMode="External"/><Relationship Id="rId44" Type="http://schemas.openxmlformats.org/officeDocument/2006/relationships/hyperlink" Target="https://atendimento.teconline.com.br/hc/pt-br/articles/26227407016205-26-04-2024-Hor%C3%A1rio-Especial-Tecon-Rio-Grande-Comunica" TargetMode="External"/><Relationship Id="rId43" Type="http://schemas.openxmlformats.org/officeDocument/2006/relationships/hyperlink" Target="https://atendimento.teconline.com.br/hc/pt-br/articles/26983378201357-23-05-2024-Novo-Procedimento-Carregamento-de-Container-%C3%81rea-RTG" TargetMode="External"/><Relationship Id="rId46" Type="http://schemas.openxmlformats.org/officeDocument/2006/relationships/hyperlink" Target="https://atendimento.teconline.com.br/hc/pt-br/articles/24152041145101-18-02-2024-Novo-Procedimento-Agendamento-Cargas-Armaz%C3%A9ns" TargetMode="External"/><Relationship Id="rId45" Type="http://schemas.openxmlformats.org/officeDocument/2006/relationships/hyperlink" Target="https://atendimento.teconline.com.br/hc/pt-br/articles/25137822806925-18-03-2024-Hor%C3%A1rio-Especial-Tecon-Rio-Grande-Comunica" TargetMode="External"/><Relationship Id="rId48" Type="http://schemas.openxmlformats.org/officeDocument/2006/relationships/hyperlink" Target="https://atendimento.teconline.com.br/hc/pt-br/articles/23611695756813-26-01-2024-Comunicado-Importante-Agendamento-Gates" TargetMode="External"/><Relationship Id="rId47" Type="http://schemas.openxmlformats.org/officeDocument/2006/relationships/hyperlink" Target="https://atendimento.teconline.com.br/hc/pt-br/articles/24151933493517-18-02-2024-Novo-Procedimento-Toler%C3%A2ncia-para-Agendamento-Cargas-Armaz%C3%A9ns" TargetMode="External"/><Relationship Id="rId49" Type="http://schemas.openxmlformats.org/officeDocument/2006/relationships/hyperlink" Target="https://atendimento.teconline.com.br/hc/pt-br/articles/23419183642381-18-01-2024-Novo-Procedimento-Acesso-Portarias-do-Terminal" TargetMode="External"/><Relationship Id="rId31" Type="http://schemas.openxmlformats.org/officeDocument/2006/relationships/hyperlink" Target="https://atendimento.teconline.com.br/hc/pt-br/articles/31784146316813-11-11-2024-Novo-Procedimento-Agendamento-de-Retirada-e-Entrega-de-Containers" TargetMode="External"/><Relationship Id="rId30" Type="http://schemas.openxmlformats.org/officeDocument/2006/relationships/hyperlink" Target="https://atendimento.teconline.com.br/hc/pt-br/articles/31894433750669-14-11-2024-Hor%C3%A1rio-Especial-Tecon-Rio-Grande-Comunica" TargetMode="External"/><Relationship Id="rId33" Type="http://schemas.openxmlformats.org/officeDocument/2006/relationships/hyperlink" Target="https://atendimento.teconline.com.br/hc/pt-br/articles/31482849083917-30-10-2024-Hor%C3%A1rio-Especial-Tecon-Rio-Grande-Comunica" TargetMode="External"/><Relationship Id="rId32" Type="http://schemas.openxmlformats.org/officeDocument/2006/relationships/hyperlink" Target="https://atendimento.teconline.com.br/hc/pt-br/articles/31598015164813-14-10-2024-Comunicado-Importante-Recebimento-de-Containers-Cheios-DRY" TargetMode="External"/><Relationship Id="rId35" Type="http://schemas.openxmlformats.org/officeDocument/2006/relationships/hyperlink" Target="https://atendimento.teconline.com.br/hc/pt-br/articles/30762383780749-01-10-2024-Hor%C3%A1rio-Especial-Tecon-Rio-Grande-Comunica" TargetMode="External"/><Relationship Id="rId34" Type="http://schemas.openxmlformats.org/officeDocument/2006/relationships/hyperlink" Target="https://atendimento.teconline.com.br/hc/pt-br/articles/31055242863629-14-07-2024-Comunicado-Importante-Recebimento-de-Containers-Cheios-DRY" TargetMode="External"/><Relationship Id="rId37" Type="http://schemas.openxmlformats.org/officeDocument/2006/relationships/hyperlink" Target="https://atendimento.teconline.com.br/hc/pt-br/articles/30354274293133-06-09-2024-Novo-Procedimento-Acesso-ao-Terminal-Scanner-2" TargetMode="External"/><Relationship Id="rId36" Type="http://schemas.openxmlformats.org/officeDocument/2006/relationships/hyperlink" Target="https://atendimento.teconline.com.br/hc/pt-br/articles/30761980899213-03-10-2024-Hor%C3%A1rio-Especial-Tecon-Rio-Grande-Comunica" TargetMode="External"/><Relationship Id="rId39" Type="http://schemas.openxmlformats.org/officeDocument/2006/relationships/hyperlink" Target="https://atendimento.teconline.com.br/hc/pt-br/articles/28301456374797-10-07-2024-Comunicado-Importante-Notifica%C3%A7%C3%A3o-Programa%C3%A7%C3%A3o-de-Navios" TargetMode="External"/><Relationship Id="rId38" Type="http://schemas.openxmlformats.org/officeDocument/2006/relationships/hyperlink" Target="https://atendimento.teconline.com.br/hc/pt-br/articles/29674349356173-19-08-2024-Hor%C3%A1rio-Especial-Tecon-Rio-Grande-Comunica" TargetMode="External"/><Relationship Id="rId20" Type="http://schemas.openxmlformats.org/officeDocument/2006/relationships/hyperlink" Target="https://atendimento.teconline.com.br/hc/pt-br/articles/37649625863565-26-06-2025-Comunicado-Importante-Retirada-de-Vazios-Castanhas" TargetMode="External"/><Relationship Id="rId22" Type="http://schemas.openxmlformats.org/officeDocument/2006/relationships/hyperlink" Target="https://atendimento.teconline.com.br/hc/pt-br/articles/35219054400013-21-03-2025-Container-Vazio" TargetMode="External"/><Relationship Id="rId21" Type="http://schemas.openxmlformats.org/officeDocument/2006/relationships/hyperlink" Target="https://atendimento.teconline.com.br/hc/pt-br/articles/35458668968205-31-03-2025-Hor%C3%A1rio-Especial-Tecon-Rio-Grande-Comunica" TargetMode="External"/><Relationship Id="rId24" Type="http://schemas.openxmlformats.org/officeDocument/2006/relationships/hyperlink" Target="https://atendimento.teconline.com.br/hc/pt-br/articles/34533744033293-Monitoramento-de-Hor%C3%A1rios-Esgotados" TargetMode="External"/><Relationship Id="rId23" Type="http://schemas.openxmlformats.org/officeDocument/2006/relationships/hyperlink" Target="https://atendimento.teconline.com.br/hc/pt-br/articles/34977454727309-07-03-2025-Comunicado-Importante-Hor%C3%A1rio-de-Agendamento" TargetMode="External"/><Relationship Id="rId26" Type="http://schemas.openxmlformats.org/officeDocument/2006/relationships/hyperlink" Target="https://atendimento.teconline.com.br/hc/pt-br/articles/32765029645453-16-12-2024-Comunicado-Importante-Passagem-no-Scanner-Orienta%C3%A7%C3%A3o-para-Motoristas" TargetMode="External"/><Relationship Id="rId25" Type="http://schemas.openxmlformats.org/officeDocument/2006/relationships/hyperlink" Target="https://atendimento.teconline.com.br/hc/pt-br/articles/32788615559437-17-12-2024-Comunicado-Importante-Passagem-no-Scanner-Orienta%C3%A7%C3%A3o-para-Motoristas" TargetMode="External"/><Relationship Id="rId28" Type="http://schemas.openxmlformats.org/officeDocument/2006/relationships/hyperlink" Target="https://atendimento.teconline.com.br/hc/pt-br/articles/32382131940749-03-12-24-Hor%C3%A1rio-Especial-Tecon-Rio-Grande-Comunica" TargetMode="External"/><Relationship Id="rId27" Type="http://schemas.openxmlformats.org/officeDocument/2006/relationships/hyperlink" Target="https://atendimento.teconline.com.br/hc/pt-br/articles/32750085420813-13-12-24-Comunicado-Importante-Novo-Link-de-Acesso-Rainbow" TargetMode="External"/><Relationship Id="rId29" Type="http://schemas.openxmlformats.org/officeDocument/2006/relationships/hyperlink" Target="https://atendimento.teconline.com.br/hc/pt-br/articles/32342362768781-02-12-2024-Comunicado-Importante-Altera%C3%A7%C3%A3o-no-Expediente-21-e-22-12-ERRATA" TargetMode="External"/><Relationship Id="rId11" Type="http://schemas.openxmlformats.org/officeDocument/2006/relationships/hyperlink" Target="https://atendimento.teconline.com.br/hc/pt-br/articles/41548829098765-Feriados-de-Natal-e-Ano-Novo" TargetMode="External"/><Relationship Id="rId10" Type="http://schemas.openxmlformats.org/officeDocument/2006/relationships/hyperlink" Target="https://atendimento.teconline.com.br/hc/pt-br/articles/43079305437069-Guia-de-Esclarecimentos-sobre-a-Emiss%C3%A3o-de-Faturas-na-Nova-Reforma-Tribut%C3%A1ria" TargetMode="External"/><Relationship Id="rId13" Type="http://schemas.openxmlformats.org/officeDocument/2006/relationships/hyperlink" Target="https://atendimento.teconline.com.br/hc/pt-br/articles/41200676487309-Regramento-de-Agendamento-para-Recebimento-de-Container-Cheio" TargetMode="External"/><Relationship Id="rId12" Type="http://schemas.openxmlformats.org/officeDocument/2006/relationships/hyperlink" Target="https://atendimento.teconline.com.br/hc/pt-br/articles/41200958123533-Reforma-Tribut%C3%A1ria-Nota-fiscal-e-Pre%C3%A7o-L%C3%ADquido" TargetMode="External"/><Relationship Id="rId15" Type="http://schemas.openxmlformats.org/officeDocument/2006/relationships/hyperlink" Target="https://atendimento.teconline.com.br/hc/pt-br/articles/40886099111565-Tampas-Traseiras-Acesso-Gate" TargetMode="External"/><Relationship Id="rId14" Type="http://schemas.openxmlformats.org/officeDocument/2006/relationships/hyperlink" Target="https://atendimento.teconline.com.br/hc/pt-br/articles/41200449568653-Altera%C3%A7%C3%A3o-no-Expediente-28-e-29-11" TargetMode="External"/><Relationship Id="rId17" Type="http://schemas.openxmlformats.org/officeDocument/2006/relationships/hyperlink" Target="https://atendimento.teconline.com.br/hc/pt-br/articles/39656940905229-26-08-2025-Comunicado-Importante-Feriados-M%C3%AAs-de-Setembro" TargetMode="External"/><Relationship Id="rId16" Type="http://schemas.openxmlformats.org/officeDocument/2006/relationships/hyperlink" Target="https://atendimento.teconline.com.br/hc/pt-br/articles/39657211014157-09-09-2025-Comunicado-Importante-Agendamento-Entrada-de-Container-Cheio" TargetMode="External"/><Relationship Id="rId19" Type="http://schemas.openxmlformats.org/officeDocument/2006/relationships/hyperlink" Target="https://atendimento.teconline.com.br/hc/pt-br/articles/38085354542221-Transfer%C3%AAncias-de-Lote" TargetMode="External"/><Relationship Id="rId18" Type="http://schemas.openxmlformats.org/officeDocument/2006/relationships/hyperlink" Target="https://atendimento.teconline.com.br/hc/pt-br/articles/39406117531405-Manual-de-Aprova%C3%A7%C3%A3o-de-Drafts" TargetMode="External"/><Relationship Id="rId84" Type="http://schemas.openxmlformats.org/officeDocument/2006/relationships/hyperlink" Target="https://atendimento.teconline.com.br/hc/pt-br/articles/10819800438797-21-11-22-Tecon-Santa-Clara-Comunica" TargetMode="External"/><Relationship Id="rId83" Type="http://schemas.openxmlformats.org/officeDocument/2006/relationships/hyperlink" Target="https://atendimento.teconline.com.br/hc/pt-br/articles/10820290343309-21-11-22-Altera%C3%A7%C3%A3o-no-Expediente" TargetMode="External"/><Relationship Id="rId86" Type="http://schemas.openxmlformats.org/officeDocument/2006/relationships/hyperlink" Target="https://atendimento.teconline.com.br/hc/pt-br/articles/6615245310605-Cadastro-e-valida%C3%A7%C3%A3o-de-Danfe-para-agendamento-DI" TargetMode="External"/><Relationship Id="rId85" Type="http://schemas.openxmlformats.org/officeDocument/2006/relationships/hyperlink" Target="https://atendimento.teconline.com.br/hc/pt-br/articles/9142649688077-Retifica%C3%A7%C3%A3o-Nota-Fiscal-de-Exporta%C3%A7%C3%A3o-Carga-Avulsa" TargetMode="External"/><Relationship Id="rId88" Type="http://schemas.openxmlformats.org/officeDocument/2006/relationships/hyperlink" Target="https://atendimento.teconline.com.br/hc/pt-br/articles/4412812626445-Procedimentos-para-Acesso-ao-Terminal" TargetMode="External"/><Relationship Id="rId87" Type="http://schemas.openxmlformats.org/officeDocument/2006/relationships/hyperlink" Target="https://atendimento.teconline.com.br/hc/pt-br/articles/4414741485197-Desova-Pier" TargetMode="External"/><Relationship Id="rId89" Type="http://schemas.openxmlformats.org/officeDocument/2006/relationships/hyperlink" Target="https://atendimento.teconline.com.br/hc/pt-br/articles/4410772250125-Canal-no-Telegram-para-motorista" TargetMode="External"/><Relationship Id="rId80" Type="http://schemas.openxmlformats.org/officeDocument/2006/relationships/hyperlink" Target="https://atendimento.teconline.com.br/hc/pt-br/articles/11267242185741-07-12-22-Feriado-de-Natal-e-Ano-Novo" TargetMode="External"/><Relationship Id="rId82" Type="http://schemas.openxmlformats.org/officeDocument/2006/relationships/hyperlink" Target="https://atendimento.teconline.com.br/hc/pt-br/articles/10903221771277-Libera%C3%A7%C3%A3o-e-Consulta-Documental-Cabotagem-Descarga" TargetMode="External"/><Relationship Id="rId81" Type="http://schemas.openxmlformats.org/officeDocument/2006/relationships/hyperlink" Target="https://atendimento.teconline.com.br/hc/pt-br/articles/10909721856525-25-11-22-Levante-de-Carga-em-DTA-Armaz%C3%A9m-Importa%C3%A7%C3%A3o" TargetMode="External"/><Relationship Id="rId73" Type="http://schemas.openxmlformats.org/officeDocument/2006/relationships/hyperlink" Target="https://atendimento.teconline.com.br/hc/pt-br/articles/16417342917901-31-05-23-Comunicado-Importante-Hor%C3%A1rio-Especial" TargetMode="External"/><Relationship Id="rId72" Type="http://schemas.openxmlformats.org/officeDocument/2006/relationships/hyperlink" Target="https://atendimento.teconline.com.br/hc/pt-br/articles/16818095609869-16-06-2023-Comunicado-Importante-Hor%C3%A1rio-Especial" TargetMode="External"/><Relationship Id="rId75" Type="http://schemas.openxmlformats.org/officeDocument/2006/relationships/hyperlink" Target="https://atendimento.teconline.com.br/hc/pt-br/articles/15237788044045-24-04-2023-Hor%C3%A1rio-Especial-Tecon-Rio-Grande-Comunica" TargetMode="External"/><Relationship Id="rId74" Type="http://schemas.openxmlformats.org/officeDocument/2006/relationships/hyperlink" Target="https://atendimento.teconline.com.br/hc/pt-br/articles/15611721936013-Estufagem-Armaz%C3%A9m" TargetMode="External"/><Relationship Id="rId77" Type="http://schemas.openxmlformats.org/officeDocument/2006/relationships/hyperlink" Target="https://atendimento.teconline.com.br/hc/pt-br/articles/13100388154637-13-02-23-Feriados-M%C3%AAs-de-Fevereiro" TargetMode="External"/><Relationship Id="rId76" Type="http://schemas.openxmlformats.org/officeDocument/2006/relationships/hyperlink" Target="https://atendimento.teconline.com.br/hc/pt-br/articles/14387162947725-28-03-23-Hor%C3%A1rio-Especial-Tecon-Rio-Grande-Comunica" TargetMode="External"/><Relationship Id="rId79" Type="http://schemas.openxmlformats.org/officeDocument/2006/relationships/hyperlink" Target="https://atendimento.teconline.com.br/hc/pt-br/articles/11848928325901-Libera%C3%A7%C3%A3o-Documental-Importa%C3%A7%C3%A3o" TargetMode="External"/><Relationship Id="rId78" Type="http://schemas.openxmlformats.org/officeDocument/2006/relationships/hyperlink" Target="https://atendimento.teconline.com.br/hc/pt-br/articles/12573680069389-26-01-23-Feriados-M%C3%AAs-de-Fevereiro" TargetMode="External"/><Relationship Id="rId71" Type="http://schemas.openxmlformats.org/officeDocument/2006/relationships/hyperlink" Target="https://atendimento.teconline.com.br/hc/pt-br/articles/17149292259213-28-06-2023-Comunicado-Importante-Hor%C3%A1rio-Especial" TargetMode="External"/><Relationship Id="rId70" Type="http://schemas.openxmlformats.org/officeDocument/2006/relationships/hyperlink" Target="https://atendimento.teconline.com.br/hc/pt-br/articles/17605571493901-06-07-2023-Comunicado-Importante-Scanner-02-Tecon-Rio-Grande" TargetMode="External"/><Relationship Id="rId62" Type="http://schemas.openxmlformats.org/officeDocument/2006/relationships/hyperlink" Target="https://atendimento.teconline.com.br/hc/pt-br/articles/20749961209101-26-10-2023-Hor%C3%A1rio-Especial-Tecon-Rio-Grande-Comunica" TargetMode="External"/><Relationship Id="rId61" Type="http://schemas.openxmlformats.org/officeDocument/2006/relationships/hyperlink" Target="https://atendimento.teconline.com.br/hc/pt-br/articles/20894965584013-31-10-2023-Comunicado-Importante-Hor%C3%A1rio-de-Agendamento-Containers-Cheios" TargetMode="External"/><Relationship Id="rId64" Type="http://schemas.openxmlformats.org/officeDocument/2006/relationships/hyperlink" Target="https://atendimento.teconline.com.br/hc/pt-br/articles/20472573985293-Libera%C3%A7%C3%A3o-Documental-Barca%C3%A7a" TargetMode="External"/><Relationship Id="rId63" Type="http://schemas.openxmlformats.org/officeDocument/2006/relationships/hyperlink" Target="https://atendimento.teconline.com.br/hc/pt-br/articles/20671333162509-24-10-2023-Novo-Procedimento-Solicita%C3%A7%C3%A3o-de-Retirada-via-Barca%C3%A7a" TargetMode="External"/><Relationship Id="rId66" Type="http://schemas.openxmlformats.org/officeDocument/2006/relationships/hyperlink" Target="https://atendimento.teconline.com.br/hc/pt-br/articles/19750990892173-22-09-2023-Novo-Procedimento-Solicita%C3%A7%C3%A3o-de-Desova-Direto-para-Caminh%C3%A3o" TargetMode="External"/><Relationship Id="rId65" Type="http://schemas.openxmlformats.org/officeDocument/2006/relationships/hyperlink" Target="https://atendimento.teconline.com.br/hc/pt-br/articles/20169865795085-06-10-2023-Hor%C3%A1rio-Especial-Tecon-Rio-Grande-Comunica" TargetMode="External"/><Relationship Id="rId68" Type="http://schemas.openxmlformats.org/officeDocument/2006/relationships/hyperlink" Target="https://atendimento.teconline.com.br/hc/pt-br/articles/19208038855565-Desova-direto-para-o-caminh%C3%A3o" TargetMode="External"/><Relationship Id="rId67" Type="http://schemas.openxmlformats.org/officeDocument/2006/relationships/hyperlink" Target="https://atendimento.teconline.com.br/hc/pt-br/articles/19539846987149-15-09-2023-Comunicado-Importante-Opera%C3%A7%C3%A3o-de-Gate-e-Teconline" TargetMode="External"/><Relationship Id="rId60" Type="http://schemas.openxmlformats.org/officeDocument/2006/relationships/hyperlink" Target="https://atendimento.teconline.com.br/hc/pt-br/articles/21140250551565-07-11-2023-Comunicado-Importante-Retirada-de-vazios-com-bitrem-dolly" TargetMode="External"/><Relationship Id="rId69" Type="http://schemas.openxmlformats.org/officeDocument/2006/relationships/hyperlink" Target="https://atendimento.teconline.com.br/hc/pt-br/articles/18983478092813-29-08-2023-Comunicado-Importante-Hor%C3%A1rio-Especial" TargetMode="External"/><Relationship Id="rId51" Type="http://schemas.openxmlformats.org/officeDocument/2006/relationships/hyperlink" Target="https://atendimento.teconline.com.br/hc/pt-br/articles/22740942433421-27-12-2023-Comunicado-Importante-Agendamento-Gates" TargetMode="External"/><Relationship Id="rId50" Type="http://schemas.openxmlformats.org/officeDocument/2006/relationships/hyperlink" Target="https://atendimento.teconline.com.br/hc/pt-br/articles/23064756986125-09-01-2024-Comunicado-Importante-Agendamento-Cargas-Armaz%C3%A9ns" TargetMode="External"/><Relationship Id="rId53" Type="http://schemas.openxmlformats.org/officeDocument/2006/relationships/hyperlink" Target="https://atendimento.teconline.com.br/hc/pt-br/articles/22306998271629-12-12-2023-Comunicado-Importante-Canal-de-Atendimento-Motoristas" TargetMode="External"/><Relationship Id="rId52" Type="http://schemas.openxmlformats.org/officeDocument/2006/relationships/hyperlink" Target="https://atendimento.teconline.com.br/hc/pt-br/articles/22450090828685-Agendamento-Carga-Importa%C3%A7%C3%A3o-e-Exporta%C3%A7%C3%A3o" TargetMode="External"/><Relationship Id="rId55" Type="http://schemas.openxmlformats.org/officeDocument/2006/relationships/hyperlink" Target="https://atendimento.teconline.com.br/hc/pt-br/articles/21970104444301-05-12-2023-Comunicado-Importante-Instabilidade-Atendimento-WhatsApp" TargetMode="External"/><Relationship Id="rId54" Type="http://schemas.openxmlformats.org/officeDocument/2006/relationships/hyperlink" Target="https://atendimento.teconline.com.br/hc/pt-br/articles/22119140551821-08-12-2023-Hor%C3%A1rio-Especial-Tecon-Rio-Grande-Comunica" TargetMode="External"/><Relationship Id="rId57" Type="http://schemas.openxmlformats.org/officeDocument/2006/relationships/hyperlink" Target="https://atendimento.teconline.com.br/hc/pt-br/articles/21570569609869-22-11-23-Comunicado-Importante-Altera%C3%A7%C3%A3o-no-Expediente" TargetMode="External"/><Relationship Id="rId56" Type="http://schemas.openxmlformats.org/officeDocument/2006/relationships/hyperlink" Target="https://atendimento.teconline.com.br/hc/pt-br/articles/21782606423309-29-11-2023-Comunicado-Importante-Altera%C3%A7%C3%A3o-no-Expediente" TargetMode="External"/><Relationship Id="rId59" Type="http://schemas.openxmlformats.org/officeDocument/2006/relationships/hyperlink" Target="https://atendimento.teconline.com.br/hc/pt-br/articles/21140353410061-08-11-2023-Hor%C3%A1rio-Especial-Tecon-Rio-Grande-Comunica" TargetMode="External"/><Relationship Id="rId58" Type="http://schemas.openxmlformats.org/officeDocument/2006/relationships/hyperlink" Target="https://atendimento.teconline.com.br/hc/pt-br/articles/21442794584717-17-11-2023-Comunicado-Importante-Diverg%C3%AAncia-de-Peso-Exporta%C3%A7%C3%A3o" TargetMode="External"/><Relationship Id="rId107" Type="http://schemas.openxmlformats.org/officeDocument/2006/relationships/hyperlink" Target="https://atendimento.teconline.com.br/hc/pt-br/articles/360039870111-Acompanhamento-de-Processo-Exporta%C3%A7%C3%A3o" TargetMode="External"/><Relationship Id="rId106" Type="http://schemas.openxmlformats.org/officeDocument/2006/relationships/hyperlink" Target="https://atendimento.teconline.com.br/hc/pt-br/articles/360039467172-Or%C3%A7amento-de-Exporta%C3%A7%C3%A3o" TargetMode="External"/><Relationship Id="rId105" Type="http://schemas.openxmlformats.org/officeDocument/2006/relationships/hyperlink" Target="https://atendimento.teconline.com.br/hc/pt-br/articles/360039870291-Consultar-Or%C3%A7amento-Importa%C3%A7%C3%A3o" TargetMode="External"/><Relationship Id="rId104" Type="http://schemas.openxmlformats.org/officeDocument/2006/relationships/hyperlink" Target="https://atendimento.teconline.com.br/hc/pt-br/articles/360040097051-Consulta-Containers" TargetMode="External"/><Relationship Id="rId109" Type="http://schemas.openxmlformats.org/officeDocument/2006/relationships/hyperlink" Target="https://atendimento.teconline.com.br/hc/pt-br/articles/360039125992-M%C3%B3dulo-Faturamento-Nota-Fiscal-Tecon" TargetMode="External"/><Relationship Id="rId108" Type="http://schemas.openxmlformats.org/officeDocument/2006/relationships/hyperlink" Target="https://atendimento.teconline.com.br/hc/pt-br/articles/360039866151-Criar-Or%C3%A7amento-de-Importa%C3%A7%C3%A3o" TargetMode="External"/><Relationship Id="rId103" Type="http://schemas.openxmlformats.org/officeDocument/2006/relationships/hyperlink" Target="https://atendimento.teconline.com.br/hc/pt-br/articles/360040837671-Agendamento-de-Container-Alugado" TargetMode="External"/><Relationship Id="rId102" Type="http://schemas.openxmlformats.org/officeDocument/2006/relationships/hyperlink" Target="https://atendimento.teconline.com.br/hc/pt-br/articles/360040840231-Agendamento-de-Exporta%C3%A7%C3%A3o-Cheio" TargetMode="External"/><Relationship Id="rId101" Type="http://schemas.openxmlformats.org/officeDocument/2006/relationships/hyperlink" Target="https://atendimento.teconline.com.br/hc/pt-br/articles/360040410632-Agendamento-de-Exporta%C3%A7%C3%A3o-Cheio-MAPA" TargetMode="External"/><Relationship Id="rId100" Type="http://schemas.openxmlformats.org/officeDocument/2006/relationships/hyperlink" Target="https://atendimento.teconline.com.br/hc/pt-br/articles/360040428672-Agendamento-de-Retirada-de-Devolu%C3%A7%C3%A3o-Exporta%C3%A7%C3%A3o-Cabotagem" TargetMode="External"/><Relationship Id="rId129" Type="http://schemas.openxmlformats.org/officeDocument/2006/relationships/hyperlink" Target="https://atendimento.teconline.com.br/hc/pt-br/articles/360038006272-Agendamento-de-Retirada-de-Vazio-Barca%C3%A7a" TargetMode="External"/><Relationship Id="rId128" Type="http://schemas.openxmlformats.org/officeDocument/2006/relationships/hyperlink" Target="https://atendimento.teconline.com.br/hc/pt-br/articles/360038374511-Agendamento-de-Retirada-de-Vazios-de-Importa%C3%A7%C3%A3o" TargetMode="External"/><Relationship Id="rId127" Type="http://schemas.openxmlformats.org/officeDocument/2006/relationships/hyperlink" Target="https://atendimento.teconline.com.br/hc/pt-br/articles/360038007032-Lan%C3%A7amento-de-Nota-Fiscal-Exporta%C3%A7%C3%A3o" TargetMode="External"/><Relationship Id="rId126" Type="http://schemas.openxmlformats.org/officeDocument/2006/relationships/hyperlink" Target="https://atendimento.teconline.com.br/hc/pt-br/articles/360038007532-Lan%C3%A7amento-de-nota-fiscal-bagagem-Exporta%C3%A7%C3%A3o" TargetMode="External"/><Relationship Id="rId121" Type="http://schemas.openxmlformats.org/officeDocument/2006/relationships/hyperlink" Target="https://atendimento.teconline.com.br/hc/pt-br/articles/360038414491-Agendamento-Retirada-de-DTA" TargetMode="External"/><Relationship Id="rId120" Type="http://schemas.openxmlformats.org/officeDocument/2006/relationships/hyperlink" Target="https://atendimento.teconline.com.br/hc/pt-br/articles/360038044472-Agendamento-Retirada-de-DTC" TargetMode="External"/><Relationship Id="rId125" Type="http://schemas.openxmlformats.org/officeDocument/2006/relationships/hyperlink" Target="https://atendimento.teconline.com.br/hc/pt-br/articles/360038007852-Agendamento-Entrada-de-Container-Vazio" TargetMode="External"/><Relationship Id="rId124" Type="http://schemas.openxmlformats.org/officeDocument/2006/relationships/hyperlink" Target="https://atendimento.teconline.com.br/hc/pt-br/articles/360038008092-Agendamento-Entrada-de-Container-Vazio-Barca%C3%A7a" TargetMode="External"/><Relationship Id="rId123" Type="http://schemas.openxmlformats.org/officeDocument/2006/relationships/hyperlink" Target="https://atendimento.teconline.com.br/hc/pt-br/articles/360038375771-Agendamento-Retirada-de-Carga-P%C3%A1tio" TargetMode="External"/><Relationship Id="rId122" Type="http://schemas.openxmlformats.org/officeDocument/2006/relationships/hyperlink" Target="https://atendimento.teconline.com.br/hc/pt-br/articles/360038414471-Agendamento-Retirada-de-DUIMP-DI-CTAC" TargetMode="External"/><Relationship Id="rId95" Type="http://schemas.openxmlformats.org/officeDocument/2006/relationships/hyperlink" Target="https://atendimento.teconline.com.br/hc/pt-br/articles/360053838232-Alterar-Cliente-DTA-P%C3%A1tio-e-DTC" TargetMode="External"/><Relationship Id="rId94" Type="http://schemas.openxmlformats.org/officeDocument/2006/relationships/hyperlink" Target="https://atendimento.teconline.com.br/hc/pt-br/articles/360058171672-Envio-de-Curr%C3%ADculo" TargetMode="External"/><Relationship Id="rId97" Type="http://schemas.openxmlformats.org/officeDocument/2006/relationships/hyperlink" Target="https://atendimento.teconline.com.br/hc/pt-br/articles/360052831411-Consulta-Sailing-Breakdown" TargetMode="External"/><Relationship Id="rId96" Type="http://schemas.openxmlformats.org/officeDocument/2006/relationships/hyperlink" Target="https://atendimento.teconline.com.br/hc/pt-br/articles/360053571571-Solicita%C3%A7%C3%A3o-de-Carga-P%C3%A1tio-e-DTC" TargetMode="External"/><Relationship Id="rId99" Type="http://schemas.openxmlformats.org/officeDocument/2006/relationships/hyperlink" Target="https://atendimento.teconline.com.br/hc/pt-br/articles/360043898131-Atualiza%C3%A7%C3%A3o-de-senha" TargetMode="External"/><Relationship Id="rId98" Type="http://schemas.openxmlformats.org/officeDocument/2006/relationships/hyperlink" Target="https://atendimento.teconline.com.br/hc/pt-br/articles/360050016032-Consulta-Sailing-Breakdown-Novo-Layout-Fernanda" TargetMode="External"/><Relationship Id="rId91" Type="http://schemas.openxmlformats.org/officeDocument/2006/relationships/hyperlink" Target="https://atendimento.teconline.com.br/hc/pt-br/articles/4408342400013-Rainbow" TargetMode="External"/><Relationship Id="rId90" Type="http://schemas.openxmlformats.org/officeDocument/2006/relationships/hyperlink" Target="https://atendimento.teconline.com.br/hc/pt-br/articles/4410447945741-Cadastro-Teconline" TargetMode="External"/><Relationship Id="rId93" Type="http://schemas.openxmlformats.org/officeDocument/2006/relationships/hyperlink" Target="https://atendimento.teconline.com.br/hc/pt-br/articles/360058846591-Lan%C3%A7amento-de-nota-fiscal-bagagem-Exporta%C3%A7%C3%A3o-Beta-com-Video" TargetMode="External"/><Relationship Id="rId92" Type="http://schemas.openxmlformats.org/officeDocument/2006/relationships/hyperlink" Target="https://atendimento.teconline.com.br/hc/pt-br/articles/4402863718029-Como-realizar-reclama%C3%A7%C3%A3o" TargetMode="External"/><Relationship Id="rId118" Type="http://schemas.openxmlformats.org/officeDocument/2006/relationships/hyperlink" Target="https://atendimento.teconline.com.br/hc/pt-br/articles/360038160532-Programa%C3%A7%C3%A3o-de-Navios" TargetMode="External"/><Relationship Id="rId117" Type="http://schemas.openxmlformats.org/officeDocument/2006/relationships/hyperlink" Target="https://atendimento.teconline.com.br/hc/pt-br/articles/360038794051-Acompanhamento-de-Processo-Importa%C3%A7%C3%A3o" TargetMode="External"/><Relationship Id="rId116" Type="http://schemas.openxmlformats.org/officeDocument/2006/relationships/hyperlink" Target="https://atendimento.teconline.com.br/hc/pt-br/articles/360039074331-Bloqueio-de-BL-Desdobramento" TargetMode="External"/><Relationship Id="rId115" Type="http://schemas.openxmlformats.org/officeDocument/2006/relationships/hyperlink" Target="https://atendimento.teconline.com.br/hc/pt-br/articles/360039119351-Consulta-Sailing-Breakdown" TargetMode="External"/><Relationship Id="rId119" Type="http://schemas.openxmlformats.org/officeDocument/2006/relationships/hyperlink" Target="https://atendimento.teconline.com.br/hc/pt-br/articles/360038044552-Informa%C3%A7%C3%B5es-Gate" TargetMode="External"/><Relationship Id="rId110" Type="http://schemas.openxmlformats.org/officeDocument/2006/relationships/hyperlink" Target="https://atendimento.teconline.com.br/hc/pt-br/articles/360039250551-Solicita%C3%A7%C3%A3o-de-VGM" TargetMode="External"/><Relationship Id="rId114" Type="http://schemas.openxmlformats.org/officeDocument/2006/relationships/hyperlink" Target="https://atendimento.teconline.com.br/hc/pt-br/articles/360039238731-Consulta-Movimenta%C3%A7%C3%A3o" TargetMode="External"/><Relationship Id="rId113" Type="http://schemas.openxmlformats.org/officeDocument/2006/relationships/hyperlink" Target="https://atendimento.teconline.com.br/hc/pt-br/articles/360038845112-Consulta-de-Nota-Fiscal-EDI-Exporta%C3%A7%C3%A3o-Cabotagem" TargetMode="External"/><Relationship Id="rId112" Type="http://schemas.openxmlformats.org/officeDocument/2006/relationships/hyperlink" Target="https://atendimento.teconline.com.br/hc/pt-br/articles/360039244611-Envio-de-Nota-Fiscal-via-EDI-Exporta%C3%A7%C3%A3o-Cabotagem" TargetMode="External"/><Relationship Id="rId111" Type="http://schemas.openxmlformats.org/officeDocument/2006/relationships/hyperlink" Target="https://atendimento.teconline.com.br/hc/pt-br/articles/360038852332-OS-WEB-Solicita%C3%A7%C3%A3o-e-Consulta-de-Servi%C3%A7os" TargetMode="External"/><Relationship Id="rId228" Type="http://schemas.openxmlformats.org/officeDocument/2006/relationships/hyperlink" Target="https://atendimento.teconline.com.br/hc/pt-br/articles/360029135751-27-05-19-Processo-de-Recebimento-de-Pagamentos-Tecon-Rio-Grande" TargetMode="External"/><Relationship Id="rId227" Type="http://schemas.openxmlformats.org/officeDocument/2006/relationships/hyperlink" Target="https://atendimento.teconline.com.br/hc/pt-br/articles/115013900628-30-05-19-Pol%C3%ADtica-de-Cancelamento-de-Nota-Fiscal" TargetMode="External"/><Relationship Id="rId226" Type="http://schemas.openxmlformats.org/officeDocument/2006/relationships/hyperlink" Target="https://atendimento.teconline.com.br/hc/pt-br/articles/360028822912-01-06-19-Processo-Padr%C3%A3o-de-Recebimento-dos-Faturamentos-Wilson-Sons" TargetMode="External"/><Relationship Id="rId225" Type="http://schemas.openxmlformats.org/officeDocument/2006/relationships/hyperlink" Target="https://atendimento.teconline.com.br/hc/pt-br/articles/360038284651-20-09-19-Comunicado-Ficha-de-Emerg%C3%AAncia" TargetMode="External"/><Relationship Id="rId229" Type="http://schemas.openxmlformats.org/officeDocument/2006/relationships/hyperlink" Target="https://atendimento.teconline.com.br/hc/pt-br/articles/360007056091-06-07-18-Comunicado-DUE-WEB" TargetMode="External"/><Relationship Id="rId220" Type="http://schemas.openxmlformats.org/officeDocument/2006/relationships/hyperlink" Target="https://atendimento.teconline.com.br/hc/pt-br/articles/360044574571-04-06-20-Novo-Procedimento-Armaz%C3%A9m-de-Exporta%C3%A7%C3%A3o" TargetMode="External"/><Relationship Id="rId224" Type="http://schemas.openxmlformats.org/officeDocument/2006/relationships/hyperlink" Target="https://atendimento.teconline.com.br/hc/pt-br/articles/360037925072-05-01-20-Novas-Nomenclaturas" TargetMode="External"/><Relationship Id="rId223" Type="http://schemas.openxmlformats.org/officeDocument/2006/relationships/hyperlink" Target="https://atendimento.teconline.com.br/hc/pt-br/articles/360038940492-07-01-20-Comunicado-Mudan%C3%A7as-nos-Endere%C3%A7os-de-E-mails" TargetMode="External"/><Relationship Id="rId222" Type="http://schemas.openxmlformats.org/officeDocument/2006/relationships/hyperlink" Target="https://atendimento.teconline.com.br/hc/pt-br/articles/360041450431-24-03-20-Documentos-Originais-Importa%C3%A7%C3%A3o-Termo-PDF-edit%C3%A1vel" TargetMode="External"/><Relationship Id="rId221" Type="http://schemas.openxmlformats.org/officeDocument/2006/relationships/hyperlink" Target="https://atendimento.teconline.com.br/hc/pt-br/articles/360044125672-03-06-20-Temperatura-Containers-Reefer-Importa%C3%A7%C3%A3o" TargetMode="External"/><Relationship Id="rId217" Type="http://schemas.openxmlformats.org/officeDocument/2006/relationships/hyperlink" Target="https://atendimento.teconline.com.br/hc/pt-br/articles/360052322631-04-11-20-Controle-de-pesagem" TargetMode="External"/><Relationship Id="rId216" Type="http://schemas.openxmlformats.org/officeDocument/2006/relationships/hyperlink" Target="https://atendimento.teconline.com.br/hc/pt-br/articles/360052322731-06-11-20-Envio-de-documentos" TargetMode="External"/><Relationship Id="rId215" Type="http://schemas.openxmlformats.org/officeDocument/2006/relationships/hyperlink" Target="https://atendimento.teconline.com.br/hc/pt-br/articles/360053183451-02-12-20-Emiss%C3%A3o-de-Notas-Fiscais-e-Faturamento" TargetMode="External"/><Relationship Id="rId214" Type="http://schemas.openxmlformats.org/officeDocument/2006/relationships/hyperlink" Target="https://atendimento.teconline.com.br/hc/pt-br/articles/360053114852-10-12-20-Carga-P%C3%A1tio-e-DTC" TargetMode="External"/><Relationship Id="rId219" Type="http://schemas.openxmlformats.org/officeDocument/2006/relationships/hyperlink" Target="https://atendimento.teconline.com.br/hc/pt-br/articles/360047722531-12-08-20-Faturamento-Tecon-Rio-Grande" TargetMode="External"/><Relationship Id="rId218" Type="http://schemas.openxmlformats.org/officeDocument/2006/relationships/hyperlink" Target="https://atendimento.teconline.com.br/hc/pt-br/articles/360051868352-03-11-20-Evite-acidentes-e-danos-materiais" TargetMode="External"/><Relationship Id="rId213" Type="http://schemas.openxmlformats.org/officeDocument/2006/relationships/hyperlink" Target="https://atendimento.teconline.com.br/hc/pt-br/articles/360055628451-19-01-21-Carga-n%C3%A3o-declarada" TargetMode="External"/><Relationship Id="rId212" Type="http://schemas.openxmlformats.org/officeDocument/2006/relationships/hyperlink" Target="https://atendimento.teconline.com.br/hc/pt-br/articles/360057727691-01-03-21-Cargas-Armaz%C3%A9m-de-Exporta%C3%A7%C3%A3o" TargetMode="External"/><Relationship Id="rId211" Type="http://schemas.openxmlformats.org/officeDocument/2006/relationships/hyperlink" Target="https://atendimento.teconline.com.br/hc/pt-br/articles/360061215691-12-05-21-Seguran%C3%A7a-em-primeiro-lugar" TargetMode="External"/><Relationship Id="rId210" Type="http://schemas.openxmlformats.org/officeDocument/2006/relationships/hyperlink" Target="https://atendimento.teconline.com.br/hc/pt-br/articles/360062373751-31-05-21-Agendamentos-Exporta%C3%A7%C3%A3o-e-Cabotagem" TargetMode="External"/><Relationship Id="rId230" Type="http://schemas.openxmlformats.org/officeDocument/2006/relationships/drawing" Target="../drawings/drawing4.xml"/><Relationship Id="rId206" Type="http://schemas.openxmlformats.org/officeDocument/2006/relationships/hyperlink" Target="https://atendimento.teconline.com.br/hc/pt-br/articles/4423660733069-31-01-22-Pagamento-via-PIX-para-facilitar-seu-dia-a-dia" TargetMode="External"/><Relationship Id="rId205" Type="http://schemas.openxmlformats.org/officeDocument/2006/relationships/hyperlink" Target="https://atendimento.teconline.com.br/hc/pt-br/articles/4488765940493-Onboarding-para-facilitar-seu-dia-a-dia" TargetMode="External"/><Relationship Id="rId204" Type="http://schemas.openxmlformats.org/officeDocument/2006/relationships/hyperlink" Target="https://atendimento.teconline.com.br/hc/pt-br/articles/4801646821901-14-03-22-Novo-Procedimento-Agendamento-de-Exporta%C3%A7%C3%A3o" TargetMode="External"/><Relationship Id="rId203" Type="http://schemas.openxmlformats.org/officeDocument/2006/relationships/hyperlink" Target="https://atendimento.teconline.com.br/hc/pt-br/articles/5063187725709-25-03-22-Altera%C3%A7%C3%A3o-de-Dom%C3%ADnio-do-E-mail" TargetMode="External"/><Relationship Id="rId209" Type="http://schemas.openxmlformats.org/officeDocument/2006/relationships/hyperlink" Target="https://atendimento.teconline.com.br/hc/pt-br/articles/4404537138189-06-07-21-Escaneamento-de-Containers-Exporta%C3%A7%C3%A3o" TargetMode="External"/><Relationship Id="rId208" Type="http://schemas.openxmlformats.org/officeDocument/2006/relationships/hyperlink" Target="https://atendimento.teconline.com.br/hc/pt-br/articles/4405629521421-19-07-21-Container-vazio-com-portas-abertas" TargetMode="External"/><Relationship Id="rId207" Type="http://schemas.openxmlformats.org/officeDocument/2006/relationships/hyperlink" Target="https://atendimento.teconline.com.br/hc/pt-br/articles/4420759921677-14-01-22-Solicita%C3%A7%C3%A3o-de-desova-via-Teconline" TargetMode="External"/><Relationship Id="rId202" Type="http://schemas.openxmlformats.org/officeDocument/2006/relationships/hyperlink" Target="https://atendimento.teconline.com.br/hc/pt-br/articles/6699678891277-06-06-22-Agendamento-de-Importa%C3%A7%C3%A3o-DANFE" TargetMode="External"/><Relationship Id="rId201" Type="http://schemas.openxmlformats.org/officeDocument/2006/relationships/hyperlink" Target="https://atendimento.teconline.com.br/hc/pt-br/articles/6790997731853-09-06-22-Agendamento-de-Vistoria-MAPA" TargetMode="External"/><Relationship Id="rId200" Type="http://schemas.openxmlformats.org/officeDocument/2006/relationships/hyperlink" Target="https://atendimento.teconline.com.br/hc/pt-br/articles/6887285472013-13-06-22-Carregamento-de-Container-Cheio"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ilsonsonstowage.zendesk.com/hc/en-us/articles/15794675334285-When-Turning-a-vessel-at-Rio-Grande-is-charged" TargetMode="External"/><Relationship Id="rId9" Type="http://schemas.openxmlformats.org/officeDocument/2006/relationships/hyperlink" Target="https://wilsonsonstowage.zendesk.com/hc/en-us/articles/15794575554829-For-Mooring-on-Buoy-or-anchoring-at-Anchorage" TargetMode="External"/><Relationship Id="rId5" Type="http://schemas.openxmlformats.org/officeDocument/2006/relationships/hyperlink" Target="https://wilsonsonstowage.zendesk.com/hc/en-us/articles/15794645210893-When-Turning-a-vessel-at-Paranagua-is-charged" TargetMode="External"/><Relationship Id="rId6" Type="http://schemas.openxmlformats.org/officeDocument/2006/relationships/hyperlink" Target="https://wilsonsonstowage.zendesk.com/hc/en-us/articles/15794641932557-Employment-of-the-5th-tug-at-Praia-Mole-Vit%C3%B3ria" TargetMode="External"/><Relationship Id="rId7" Type="http://schemas.openxmlformats.org/officeDocument/2006/relationships/hyperlink" Target="https://wilsonsonstowage.zendesk.com/hc/en-us/articles/15794606914701-Additional-tug-at-Ponta-Ubu-Vit%C3%B3ria" TargetMode="External"/><Relationship Id="rId8" Type="http://schemas.openxmlformats.org/officeDocument/2006/relationships/hyperlink" Target="https://wilsonsonstowage.zendesk.com/hc/en-us/articles/15794578117517-Tug-pushing-the-vessel-against-the-quay-at-Aracaju" TargetMode="External"/><Relationship Id="rId11" Type="http://schemas.openxmlformats.org/officeDocument/2006/relationships/hyperlink" Target="https://wilsonsonstowage.zendesk.com/hc/en-us/articles/15794519365773-Rates-for-up-to-4-tugs-in-4-tugs-out-for-vessel-up-to-DWT-250-000" TargetMode="External"/><Relationship Id="rId10" Type="http://schemas.openxmlformats.org/officeDocument/2006/relationships/hyperlink" Target="https://wilsonsonstowage.zendesk.com/hc/en-us/articles/15794522403597-Rates-for-up-to-4-tugs-in-4-tugs-out" TargetMode="External"/><Relationship Id="rId13" Type="http://schemas.openxmlformats.org/officeDocument/2006/relationships/hyperlink" Target="https://wilsonsonstowage.zendesk.com/hc/en-us/articles/15794232790157-When-charges-apply-to-passing-under-the-Bridge-in-Rio-de-Janeiro-Bay" TargetMode="External"/><Relationship Id="rId12" Type="http://schemas.openxmlformats.org/officeDocument/2006/relationships/hyperlink" Target="https://wilsonsonstowage.zendesk.com/hc/en-us/articles/15794541644685-When-do-Escort-Tug-Towing-maneuvers-occur" TargetMode="External"/><Relationship Id="rId15" Type="http://schemas.openxmlformats.org/officeDocument/2006/relationships/hyperlink" Target="https://wilsonsonstowage.zendesk.com/hc/en-us/articles/15794190489741-Move-the-vessel-alongside-the-quay-at-IMBITUBA" TargetMode="External"/><Relationship Id="rId14" Type="http://schemas.openxmlformats.org/officeDocument/2006/relationships/hyperlink" Target="https://wilsonsonstowage.zendesk.com/hc/en-us/articles/15794193866381-Why-MARAGOGIPE-ENSEADA-tariff-is-different-from-the-Salvador-and-Aratu-tariff" TargetMode="External"/><Relationship Id="rId17" Type="http://schemas.openxmlformats.org/officeDocument/2006/relationships/vmlDrawing" Target="../drawings/vmlDrawing1.vml"/><Relationship Id="rId1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ilsonsonsclsa.zendesk.com/hc/pt-br/articles/31974530052237-Dados-Cadastrais-e-do-Recinto" TargetMode="External"/><Relationship Id="rId2" Type="http://schemas.openxmlformats.org/officeDocument/2006/relationships/hyperlink" Target="https://wilsonsonsclsa.zendesk.com/hc/pt-br/articles/21546550050701-Averba%C3%A7%C3%A3o-de-processo-no-portal-log%C3%ADstica" TargetMode="External"/><Relationship Id="rId3" Type="http://schemas.openxmlformats.org/officeDocument/2006/relationships/hyperlink" Target="https://wilsonsonsclsa.zendesk.com/hc/pt-br/articles/21546200101389-Onde-consulto-as-informa%C3%A7%C3%B5es-da-minha-Carga" TargetMode="External"/><Relationship Id="rId4" Type="http://schemas.openxmlformats.org/officeDocument/2006/relationships/hyperlink" Target="https://wilsonsonsclsa.zendesk.com/hc/pt-br/articles/21535317991181-Como-solicitar-uma-proposta" TargetMode="External"/><Relationship Id="rId9" Type="http://schemas.openxmlformats.org/officeDocument/2006/relationships/hyperlink" Target="https://wilsonsonsclsa.zendesk.com/hc/pt-br/articles/21321143473549-N%C3%A3o-recebi-o-faturamento-ou-boleto-para-pagamento-o-que-eu-fa%C3%A7o" TargetMode="External"/><Relationship Id="rId5" Type="http://schemas.openxmlformats.org/officeDocument/2006/relationships/hyperlink" Target="https://wilsonsonsclsa.zendesk.com/hc/pt-br/articles/21437444874509-O-que-s%C3%A3o-os-Regimes-Aduaneiros-Especiais" TargetMode="External"/><Relationship Id="rId6" Type="http://schemas.openxmlformats.org/officeDocument/2006/relationships/hyperlink" Target="https://wilsonsonsclsa.zendesk.com/hc/pt-br/articles/21388893615245-Hor%C3%A1rios-de-Parametriza%C3%A7%C3%A3o-e-Desembara%C3%A7o-da-Receita-Federal" TargetMode="External"/><Relationship Id="rId7" Type="http://schemas.openxmlformats.org/officeDocument/2006/relationships/hyperlink" Target="https://wilsonsonsclsa.zendesk.com/hc/pt-br/articles/21335802337165-Primeiro-acesso-ao-Portal-Log%C3%ADstica" TargetMode="External"/><Relationship Id="rId8" Type="http://schemas.openxmlformats.org/officeDocument/2006/relationships/hyperlink" Target="https://wilsonsonsclsa.zendesk.com/hc/pt-br/articles/21321243806605-Como-fa%C3%A7o-para-negociar-ou-renegociar-minha-d%C3%ADvida" TargetMode="External"/><Relationship Id="rId31" Type="http://schemas.openxmlformats.org/officeDocument/2006/relationships/hyperlink" Target="https://wilsonsonsclsa.zendesk.com/hc/pt-br/articles/21545561544973-Como-solicitar-um-agendamento-de-remo%C3%A7%C3%A3o-de-DTA" TargetMode="External"/><Relationship Id="rId30" Type="http://schemas.openxmlformats.org/officeDocument/2006/relationships/hyperlink" Target="https://wilsonsonsclsa.zendesk.com/hc/pt-br/articles/21192934251021-Visitas-e-Auditorias" TargetMode="External"/><Relationship Id="rId33" Type="http://schemas.openxmlformats.org/officeDocument/2006/relationships/hyperlink" Target="https://wilsonsonsclsa.zendesk.com/hc/pt-br/articles/21539267227661-Quanto-tempo-posso-aguardar-para-nacionalizar-a-minha-carga" TargetMode="External"/><Relationship Id="rId32" Type="http://schemas.openxmlformats.org/officeDocument/2006/relationships/hyperlink" Target="https://wilsonsonsclsa.zendesk.com/hc/pt-br/articles/21539429059725-Informa%C3%A7%C3%B5es-sobre-a-carga-presen%C3%A7a-de-carga-armazenagem" TargetMode="External"/><Relationship Id="rId35" Type="http://schemas.openxmlformats.org/officeDocument/2006/relationships/drawing" Target="../drawings/drawing6.xml"/><Relationship Id="rId34" Type="http://schemas.openxmlformats.org/officeDocument/2006/relationships/hyperlink" Target="https://wilsonsonsclsa.zendesk.com/hc/pt-br/articles/21538565680269-Como-posso-saber-se-uma-carga-est%C3%A1-liberada-para-carregar" TargetMode="External"/><Relationship Id="rId20" Type="http://schemas.openxmlformats.org/officeDocument/2006/relationships/hyperlink" Target="https://wilsonsonsclsa.zendesk.com/hc/pt-br/articles/21334091379085-Reclama%C3%A7%C3%B5es-e-Elogios" TargetMode="External"/><Relationship Id="rId22" Type="http://schemas.openxmlformats.org/officeDocument/2006/relationships/hyperlink" Target="https://wilsonsonsclsa.zendesk.com/hc/pt-br/articles/31977286869773-Opera%C3%A7%C3%A3o-Armaz%C3%A9m-Alfandegado" TargetMode="External"/><Relationship Id="rId21" Type="http://schemas.openxmlformats.org/officeDocument/2006/relationships/hyperlink" Target="https://wilsonsonsclsa.zendesk.com/hc/pt-br/articles/21330992215437-Nossos-Canais-de-Atendimento" TargetMode="External"/><Relationship Id="rId24" Type="http://schemas.openxmlformats.org/officeDocument/2006/relationships/hyperlink" Target="https://wilsonsonsclsa.zendesk.com/hc/pt-br/articles/21538404709901-Como-posso-fazer-uma-retirada-de-carga-no-Armaz%C3%A9m-Alfandegado" TargetMode="External"/><Relationship Id="rId23" Type="http://schemas.openxmlformats.org/officeDocument/2006/relationships/hyperlink" Target="https://wilsonsonsclsa.zendesk.com/hc/pt-br/articles/21548644503437-Entreposto-Aduaneiro" TargetMode="External"/><Relationship Id="rId26" Type="http://schemas.openxmlformats.org/officeDocument/2006/relationships/hyperlink" Target="https://wilsonsonsclsa.zendesk.com/hc/pt-br/articles/31975424122253-Remo%C3%A7%C3%A3o-das-Mercadorias-Tr%C3%A2nsito-Aduaneiro" TargetMode="External"/><Relationship Id="rId25" Type="http://schemas.openxmlformats.org/officeDocument/2006/relationships/hyperlink" Target="https://wilsonsonsclsa.zendesk.com/hc/pt-br/articles/21335033812621-Esqueci-a-senha-do-Portal-WS-o-que-eu-fa%C3%A7o" TargetMode="External"/><Relationship Id="rId28" Type="http://schemas.openxmlformats.org/officeDocument/2006/relationships/hyperlink" Target="https://wilsonsonsclsa.zendesk.com/hc/pt-br/articles/21550086559245-Drawback" TargetMode="External"/><Relationship Id="rId27" Type="http://schemas.openxmlformats.org/officeDocument/2006/relationships/hyperlink" Target="https://wilsonsonsclsa.zendesk.com/hc/pt-br/articles/21441225233037-DAC-Dep%C3%B3sito-Alfandegado-Certificado" TargetMode="External"/><Relationship Id="rId29" Type="http://schemas.openxmlformats.org/officeDocument/2006/relationships/hyperlink" Target="https://wilsonsonsclsa.zendesk.com/hc/pt-br/articles/21538774959373-Solicita%C3%A7%C3%A3o-de-Visitas-e-Auditorias-Armaz%C3%A9m-Alfandegado" TargetMode="External"/><Relationship Id="rId11" Type="http://schemas.openxmlformats.org/officeDocument/2006/relationships/hyperlink" Target="https://wilsonsonsclsa.zendesk.com/hc/pt-br/articles/21194573757837-Solicita%C3%A7%C3%A3o-de-Visitas-e-Auditorias-Centro-de-Distribui%C3%A7%C3%A3o" TargetMode="External"/><Relationship Id="rId10" Type="http://schemas.openxmlformats.org/officeDocument/2006/relationships/hyperlink" Target="https://wilsonsonsclsa.zendesk.com/hc/pt-br/articles/21320366235149-Informa%C3%A7%C3%B5es-sobre-Faturamento" TargetMode="External"/><Relationship Id="rId13" Type="http://schemas.openxmlformats.org/officeDocument/2006/relationships/hyperlink" Target="https://wilsonsonsclsa.zendesk.com/hc/pt-br/articles/21191337151245-Onde-posso-consultar-a-Pol%C3%ADtica-de-Gest%C3%A3o-Integrada-definida-para-o-Centro-Log%C3%ADstico-Santo-Andr%C3%A9" TargetMode="External"/><Relationship Id="rId12" Type="http://schemas.openxmlformats.org/officeDocument/2006/relationships/hyperlink" Target="https://wilsonsonsclsa.zendesk.com/hc/pt-br/articles/21193197828493-Quais-certifica%C3%A7%C3%B5es-que-o-CLSA-possui" TargetMode="External"/><Relationship Id="rId15" Type="http://schemas.openxmlformats.org/officeDocument/2006/relationships/hyperlink" Target="https://wilsonsonsclsa.zendesk.com/hc/pt-br/articles/17576958544269-Quais-os-dados-do-Recinto-Alfandegado" TargetMode="External"/><Relationship Id="rId14" Type="http://schemas.openxmlformats.org/officeDocument/2006/relationships/hyperlink" Target="https://wilsonsonsclsa.zendesk.com/hc/pt-br/articles/21191019931405-Onde-posso-consultar-os-certificados-de-Qualidade-e-Meio-Ambiente-do-Centro-Log%C3%ADstico-Santo-Andr%C3%A9" TargetMode="External"/><Relationship Id="rId17" Type="http://schemas.openxmlformats.org/officeDocument/2006/relationships/hyperlink" Target="https://wilsonsonsclsa.zendesk.com/hc/pt-br/articles/17576960767501-Orienta%C3%A7%C3%A3o-Geral-na-Retirada-de-Amostras-INMETRO" TargetMode="External"/><Relationship Id="rId16" Type="http://schemas.openxmlformats.org/officeDocument/2006/relationships/hyperlink" Target="https://wilsonsonsclsa.zendesk.com/hc/pt-br/articles/17576949803149-Fluxo-Processo-de-Rotulagem-de-Bebidas-MAPA" TargetMode="External"/><Relationship Id="rId19" Type="http://schemas.openxmlformats.org/officeDocument/2006/relationships/hyperlink" Target="https://wilsonsonsclsa.zendesk.com/hc/pt-br/articles/21539182906509-Qual-o-hor%C3%A1rio-de-funcionamento-do-armaz%C3%A9m-alfandegado" TargetMode="External"/><Relationship Id="rId18" Type="http://schemas.openxmlformats.org/officeDocument/2006/relationships/hyperlink" Target="https://wilsonsonsclsa.zendesk.com/hc/pt-br/articles/21548989029773-Admiss%C3%A3o-Tempor%C3%A1ri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hidden="1" min="4" max="4" width="12.63"/>
    <col customWidth="1" min="5" max="5" width="19.25"/>
    <col hidden="1" min="6" max="6" width="12.63"/>
    <col hidden="1" min="9" max="12" width="12.63"/>
    <col customWidth="1" min="13" max="13" width="23.63"/>
    <col customWidth="1" min="14" max="15" width="29.25"/>
    <col customWidth="1" min="16" max="17" width="14.0"/>
    <col customWidth="1" min="18" max="18" width="30.88"/>
    <col customWidth="1" min="19" max="19" width="35.63"/>
    <col hidden="1" min="20" max="20" width="12.63"/>
    <col customWidth="1" min="22" max="22" width="25.13"/>
    <col customWidth="1" min="23" max="23" width="20.88"/>
    <col customWidth="1" min="24" max="24" width="37.25"/>
    <col customWidth="1" min="25" max="25" width="14.0"/>
    <col hidden="1" min="26" max="28" width="12.63"/>
    <col customWidth="1" min="29" max="29" width="34.0"/>
    <col customWidth="1" min="30" max="30" width="31826.5"/>
    <col hidden="1" min="31" max="31"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ht="56.25" customHeight="1">
      <c r="A2" s="1">
        <v>4.4508084248973E13</v>
      </c>
      <c r="B2" s="2" t="s">
        <v>31</v>
      </c>
      <c r="C2" s="2" t="s">
        <v>32</v>
      </c>
      <c r="D2" s="1">
        <v>2.5831957007E10</v>
      </c>
      <c r="E2" s="1" t="s">
        <v>33</v>
      </c>
      <c r="F2" s="1" t="b">
        <v>0</v>
      </c>
      <c r="G2" s="1" t="s">
        <v>34</v>
      </c>
      <c r="H2" s="1" t="b">
        <v>1</v>
      </c>
      <c r="I2" s="1">
        <v>0.0</v>
      </c>
      <c r="J2" s="1">
        <v>0.0</v>
      </c>
      <c r="K2" s="1">
        <v>0.0</v>
      </c>
      <c r="L2" s="1">
        <v>1.0516194287885E13</v>
      </c>
      <c r="M2" s="1" t="s">
        <v>35</v>
      </c>
      <c r="N2" s="1" t="str">
        <f t="array" ref="N2">XLOOKUP(A:A,'CategoriasSeções'!A:A,'CategoriasSeções'!B:B)</f>
        <v>APOIO ATENDIMENTO</v>
      </c>
      <c r="O2" s="1" t="s">
        <v>36</v>
      </c>
      <c r="P2" s="3">
        <v>46104.53055555555</v>
      </c>
      <c r="Q2" s="3">
        <v>46104.532638888886</v>
      </c>
      <c r="R2" s="1" t="s">
        <v>37</v>
      </c>
      <c r="S2" s="1" t="s">
        <v>37</v>
      </c>
      <c r="T2" s="1" t="s">
        <v>38</v>
      </c>
      <c r="U2" s="1" t="s">
        <v>38</v>
      </c>
      <c r="V2" s="1" t="s">
        <v>39</v>
      </c>
      <c r="W2" s="1" t="s">
        <v>39</v>
      </c>
      <c r="X2" s="1" t="s">
        <v>39</v>
      </c>
      <c r="Y2" s="3">
        <v>46104.53194444445</v>
      </c>
      <c r="Z2" s="1" t="s">
        <v>40</v>
      </c>
      <c r="AA2" s="1">
        <v>1666212.0</v>
      </c>
      <c r="AB2" s="1" t="s">
        <v>41</v>
      </c>
      <c r="AC2" s="1" t="s">
        <v>42</v>
      </c>
      <c r="AD2" s="1" t="s">
        <v>43</v>
      </c>
      <c r="AE2" s="1" t="s">
        <v>44</v>
      </c>
    </row>
    <row r="3" ht="56.25" customHeight="1">
      <c r="A3" s="1">
        <v>4.4507889059469E13</v>
      </c>
      <c r="B3" s="2" t="s">
        <v>45</v>
      </c>
      <c r="C3" s="2" t="s">
        <v>46</v>
      </c>
      <c r="D3" s="1">
        <v>2.5831957007E10</v>
      </c>
      <c r="E3" s="1" t="s">
        <v>33</v>
      </c>
      <c r="F3" s="1" t="b">
        <v>1</v>
      </c>
      <c r="G3" s="1" t="s">
        <v>47</v>
      </c>
      <c r="H3" s="1" t="b">
        <v>1</v>
      </c>
      <c r="I3" s="1">
        <v>0.0</v>
      </c>
      <c r="J3" s="1">
        <v>0.0</v>
      </c>
      <c r="K3" s="1">
        <v>0.0</v>
      </c>
      <c r="L3" s="1">
        <v>1.0516194287885E13</v>
      </c>
      <c r="M3" s="1" t="s">
        <v>35</v>
      </c>
      <c r="N3" s="1" t="str">
        <f t="array" ref="N3">XLOOKUP(A:A,'CategoriasSeções'!A:A,'CategoriasSeções'!B:B)</f>
        <v>APOIO ATENDIMENTO</v>
      </c>
      <c r="O3" s="1" t="s">
        <v>36</v>
      </c>
      <c r="P3" s="3">
        <v>46104.52638888889</v>
      </c>
      <c r="Q3" s="3">
        <v>46104.52638888889</v>
      </c>
      <c r="R3" s="1" t="s">
        <v>37</v>
      </c>
      <c r="S3" s="1" t="s">
        <v>37</v>
      </c>
      <c r="T3" s="1" t="s">
        <v>38</v>
      </c>
      <c r="U3" s="1" t="s">
        <v>38</v>
      </c>
      <c r="V3" s="1" t="s">
        <v>39</v>
      </c>
      <c r="W3" s="1" t="s">
        <v>39</v>
      </c>
      <c r="X3" s="1" t="s">
        <v>39</v>
      </c>
      <c r="Y3" s="3">
        <v>46104.52638888889</v>
      </c>
      <c r="Z3" s="1" t="s">
        <v>40</v>
      </c>
      <c r="AA3" s="1">
        <v>1666212.0</v>
      </c>
      <c r="AB3" s="1" t="s">
        <v>48</v>
      </c>
      <c r="AC3" s="1" t="s">
        <v>42</v>
      </c>
      <c r="AD3" s="1" t="s">
        <v>49</v>
      </c>
      <c r="AE3" s="1" t="s">
        <v>44</v>
      </c>
    </row>
    <row r="4" ht="56.25" customHeight="1">
      <c r="A4" s="1">
        <v>4.1600964186509E13</v>
      </c>
      <c r="B4" s="2" t="s">
        <v>50</v>
      </c>
      <c r="C4" s="2" t="s">
        <v>51</v>
      </c>
      <c r="D4" s="1">
        <v>3.8081988094349E13</v>
      </c>
      <c r="E4" s="1" t="s">
        <v>52</v>
      </c>
      <c r="F4" s="1" t="b">
        <v>0</v>
      </c>
      <c r="G4" s="1" t="s">
        <v>34</v>
      </c>
      <c r="H4" s="1" t="b">
        <v>0</v>
      </c>
      <c r="I4" s="1">
        <v>0.0</v>
      </c>
      <c r="J4" s="1">
        <v>0.0</v>
      </c>
      <c r="K4" s="1">
        <v>0.0</v>
      </c>
      <c r="L4" s="1">
        <v>3.60013317151E11</v>
      </c>
      <c r="M4" s="1" t="s">
        <v>35</v>
      </c>
      <c r="N4" s="1" t="str">
        <f t="array" ref="N4">XLOOKUP(A:A,'CategoriasSeções'!A:A,'CategoriasSeções'!B:B)</f>
        <v>APOIO ATENDIMENTO</v>
      </c>
      <c r="O4" s="1" t="s">
        <v>53</v>
      </c>
      <c r="P4" s="3">
        <v>45993.81527777778</v>
      </c>
      <c r="Q4" s="3">
        <v>45993.81527777778</v>
      </c>
      <c r="R4" s="1" t="s">
        <v>54</v>
      </c>
      <c r="S4" s="1" t="s">
        <v>54</v>
      </c>
      <c r="T4" s="1" t="s">
        <v>38</v>
      </c>
      <c r="U4" s="1" t="s">
        <v>38</v>
      </c>
      <c r="V4" s="1" t="s">
        <v>39</v>
      </c>
      <c r="W4" s="1" t="s">
        <v>39</v>
      </c>
      <c r="X4" s="1" t="s">
        <v>39</v>
      </c>
      <c r="Y4" s="3">
        <v>45993.81527777778</v>
      </c>
      <c r="Z4" s="1" t="s">
        <v>40</v>
      </c>
      <c r="AA4" s="1">
        <v>1666212.0</v>
      </c>
      <c r="AB4" s="1" t="s">
        <v>55</v>
      </c>
      <c r="AC4" s="1" t="s">
        <v>55</v>
      </c>
      <c r="AD4" s="1" t="s">
        <v>56</v>
      </c>
      <c r="AE4" s="1" t="s">
        <v>44</v>
      </c>
    </row>
    <row r="5" ht="56.25" customHeight="1">
      <c r="A5" s="4">
        <v>4.1483147497613E13</v>
      </c>
      <c r="B5" s="5" t="s">
        <v>57</v>
      </c>
      <c r="C5" s="5" t="s">
        <v>58</v>
      </c>
      <c r="D5" s="4">
        <v>3.8081988094349E13</v>
      </c>
      <c r="E5" s="4" t="s">
        <v>52</v>
      </c>
      <c r="F5" s="4" t="b">
        <v>0</v>
      </c>
      <c r="G5" s="4" t="s">
        <v>34</v>
      </c>
      <c r="H5" s="4" t="b">
        <v>0</v>
      </c>
      <c r="I5" s="4">
        <v>0.0</v>
      </c>
      <c r="J5" s="4">
        <v>0.0</v>
      </c>
      <c r="K5" s="4">
        <v>0.0</v>
      </c>
      <c r="L5" s="4">
        <v>3.60013317151E11</v>
      </c>
      <c r="M5" s="4" t="s">
        <v>35</v>
      </c>
      <c r="N5" s="4" t="str">
        <f t="array" ref="N5">XLOOKUP(A:A,'CategoriasSeções'!A:A,'CategoriasSeções'!B:B)</f>
        <v>APOIO ATENDIMENTO</v>
      </c>
      <c r="O5" s="4" t="s">
        <v>53</v>
      </c>
      <c r="P5" s="6">
        <v>45988.91180555556</v>
      </c>
      <c r="Q5" s="6">
        <v>45988.91180555556</v>
      </c>
      <c r="R5" s="4" t="s">
        <v>59</v>
      </c>
      <c r="S5" s="4" t="s">
        <v>59</v>
      </c>
      <c r="T5" s="4" t="s">
        <v>38</v>
      </c>
      <c r="U5" s="4" t="s">
        <v>38</v>
      </c>
      <c r="V5" s="4" t="s">
        <v>39</v>
      </c>
      <c r="W5" s="4" t="s">
        <v>39</v>
      </c>
      <c r="X5" s="4" t="s">
        <v>39</v>
      </c>
      <c r="Y5" s="6">
        <v>45988.91180555556</v>
      </c>
      <c r="Z5" s="4" t="s">
        <v>40</v>
      </c>
      <c r="AA5" s="4">
        <v>1666212.0</v>
      </c>
      <c r="AB5" s="4" t="s">
        <v>55</v>
      </c>
      <c r="AC5" s="4" t="s">
        <v>55</v>
      </c>
      <c r="AD5" s="4" t="s">
        <v>60</v>
      </c>
      <c r="AE5" s="4" t="s">
        <v>44</v>
      </c>
      <c r="AF5" s="7"/>
      <c r="AG5" s="7"/>
    </row>
    <row r="6" ht="56.25" customHeight="1">
      <c r="A6" s="8">
        <v>4.1454970746765E13</v>
      </c>
      <c r="B6" s="9" t="s">
        <v>61</v>
      </c>
      <c r="C6" s="9" t="s">
        <v>62</v>
      </c>
      <c r="D6" s="8">
        <v>3.9502149359501E13</v>
      </c>
      <c r="E6" s="8" t="s">
        <v>63</v>
      </c>
      <c r="F6" s="8" t="b">
        <v>0</v>
      </c>
      <c r="G6" s="8" t="s">
        <v>34</v>
      </c>
      <c r="H6" s="8" t="b">
        <v>0</v>
      </c>
      <c r="I6" s="8">
        <v>0.0</v>
      </c>
      <c r="J6" s="8">
        <v>0.0</v>
      </c>
      <c r="K6" s="8">
        <v>0.0</v>
      </c>
      <c r="L6" s="8">
        <v>3.60013317151E11</v>
      </c>
      <c r="M6" s="8" t="s">
        <v>35</v>
      </c>
      <c r="N6" s="8" t="str">
        <f t="array" ref="N6">XLOOKUP(A:A,'CategoriasSeções'!A:A,'CategoriasSeções'!B:B)</f>
        <v>APOIO ATENDIMENTO</v>
      </c>
      <c r="O6" s="8" t="s">
        <v>53</v>
      </c>
      <c r="P6" s="10">
        <v>45987.82708333333</v>
      </c>
      <c r="Q6" s="10">
        <v>45987.82708333333</v>
      </c>
      <c r="R6" s="8" t="s">
        <v>64</v>
      </c>
      <c r="S6" s="8" t="s">
        <v>64</v>
      </c>
      <c r="T6" s="8" t="s">
        <v>38</v>
      </c>
      <c r="U6" s="8" t="s">
        <v>38</v>
      </c>
      <c r="V6" s="8" t="s">
        <v>39</v>
      </c>
      <c r="W6" s="8" t="s">
        <v>39</v>
      </c>
      <c r="X6" s="8" t="s">
        <v>39</v>
      </c>
      <c r="Y6" s="10">
        <v>45987.82708333333</v>
      </c>
      <c r="Z6" s="8" t="s">
        <v>40</v>
      </c>
      <c r="AA6" s="8">
        <v>1666212.0</v>
      </c>
      <c r="AB6" s="8" t="s">
        <v>55</v>
      </c>
      <c r="AC6" s="8" t="s">
        <v>55</v>
      </c>
      <c r="AD6" s="8" t="s">
        <v>65</v>
      </c>
      <c r="AE6" s="8" t="s">
        <v>44</v>
      </c>
      <c r="AF6" s="11"/>
      <c r="AG6" s="11"/>
    </row>
    <row r="7" ht="56.25" customHeight="1">
      <c r="A7" s="8">
        <v>4.1421370993293E13</v>
      </c>
      <c r="B7" s="9" t="s">
        <v>66</v>
      </c>
      <c r="C7" s="9" t="s">
        <v>67</v>
      </c>
      <c r="D7" s="8">
        <v>3.8081988094349E13</v>
      </c>
      <c r="E7" s="8" t="s">
        <v>52</v>
      </c>
      <c r="F7" s="8" t="b">
        <v>0</v>
      </c>
      <c r="G7" s="8" t="s">
        <v>34</v>
      </c>
      <c r="H7" s="8" t="b">
        <v>0</v>
      </c>
      <c r="I7" s="8">
        <v>0.0</v>
      </c>
      <c r="J7" s="8">
        <v>0.0</v>
      </c>
      <c r="K7" s="8">
        <v>0.0</v>
      </c>
      <c r="L7" s="8">
        <v>3.60013317151E11</v>
      </c>
      <c r="M7" s="8" t="s">
        <v>35</v>
      </c>
      <c r="N7" s="8" t="str">
        <f t="array" ref="N7">XLOOKUP(A:A,'CategoriasSeções'!A:A,'CategoriasSeções'!B:B)</f>
        <v>APOIO ATENDIMENTO</v>
      </c>
      <c r="O7" s="8" t="s">
        <v>53</v>
      </c>
      <c r="P7" s="10">
        <v>45986.7875</v>
      </c>
      <c r="Q7" s="10">
        <v>45988.74791666667</v>
      </c>
      <c r="R7" s="8" t="s">
        <v>68</v>
      </c>
      <c r="S7" s="8" t="s">
        <v>68</v>
      </c>
      <c r="T7" s="8" t="s">
        <v>38</v>
      </c>
      <c r="U7" s="8" t="s">
        <v>38</v>
      </c>
      <c r="V7" s="8" t="s">
        <v>39</v>
      </c>
      <c r="W7" s="8" t="s">
        <v>69</v>
      </c>
      <c r="X7" s="8" t="s">
        <v>69</v>
      </c>
      <c r="Y7" s="10">
        <v>45988.74791666667</v>
      </c>
      <c r="Z7" s="11"/>
      <c r="AA7" s="8">
        <v>1666212.0</v>
      </c>
      <c r="AB7" s="8" t="s">
        <v>55</v>
      </c>
      <c r="AC7" s="8" t="s">
        <v>55</v>
      </c>
      <c r="AD7" s="8" t="s">
        <v>70</v>
      </c>
      <c r="AE7" s="8" t="s">
        <v>55</v>
      </c>
      <c r="AF7" s="11"/>
      <c r="AG7" s="11"/>
    </row>
    <row r="8" ht="56.25" customHeight="1">
      <c r="A8" s="1">
        <v>4.1414964107277E13</v>
      </c>
      <c r="B8" s="2" t="s">
        <v>71</v>
      </c>
      <c r="C8" s="2" t="s">
        <v>72</v>
      </c>
      <c r="D8" s="1">
        <v>3.8217702843789E13</v>
      </c>
      <c r="E8" s="1" t="s">
        <v>73</v>
      </c>
      <c r="F8" s="1" t="b">
        <v>0</v>
      </c>
      <c r="G8" s="1" t="s">
        <v>34</v>
      </c>
      <c r="H8" s="1" t="b">
        <v>0</v>
      </c>
      <c r="I8" s="1">
        <v>0.0</v>
      </c>
      <c r="J8" s="1">
        <v>0.0</v>
      </c>
      <c r="K8" s="1">
        <v>0.0</v>
      </c>
      <c r="L8" s="1">
        <v>3.60013317151E11</v>
      </c>
      <c r="M8" s="1" t="s">
        <v>35</v>
      </c>
      <c r="N8" s="1" t="str">
        <f t="array" ref="N8">XLOOKUP(A:A,'CategoriasSeções'!A:A,'CategoriasSeções'!B:B)</f>
        <v>APOIO ATENDIMENTO</v>
      </c>
      <c r="O8" s="1" t="s">
        <v>53</v>
      </c>
      <c r="P8" s="12">
        <v>45986.66736111111</v>
      </c>
      <c r="Q8" s="12">
        <v>45986.66805555556</v>
      </c>
      <c r="R8" s="1" t="s">
        <v>74</v>
      </c>
      <c r="S8" s="1" t="s">
        <v>74</v>
      </c>
      <c r="T8" s="1" t="s">
        <v>38</v>
      </c>
      <c r="U8" s="1" t="s">
        <v>38</v>
      </c>
      <c r="V8" s="1" t="s">
        <v>75</v>
      </c>
      <c r="W8" s="1" t="s">
        <v>39</v>
      </c>
      <c r="X8" s="1" t="s">
        <v>39</v>
      </c>
      <c r="Y8" s="12">
        <v>45986.66736111111</v>
      </c>
      <c r="Z8" s="1" t="s">
        <v>40</v>
      </c>
      <c r="AA8" s="1">
        <v>1666192.0</v>
      </c>
      <c r="AB8" s="1" t="s">
        <v>55</v>
      </c>
      <c r="AC8" s="1" t="s">
        <v>55</v>
      </c>
      <c r="AD8" s="1" t="s">
        <v>76</v>
      </c>
      <c r="AE8" s="1" t="s">
        <v>44</v>
      </c>
    </row>
    <row r="9" ht="56.25" customHeight="1">
      <c r="A9" s="1">
        <v>3.9796803468557E13</v>
      </c>
      <c r="B9" s="2" t="s">
        <v>77</v>
      </c>
      <c r="C9" s="2" t="s">
        <v>78</v>
      </c>
      <c r="D9" s="1">
        <v>2.5831957007E10</v>
      </c>
      <c r="E9" s="1" t="s">
        <v>33</v>
      </c>
      <c r="F9" s="1" t="b">
        <v>0</v>
      </c>
      <c r="G9" s="1" t="s">
        <v>34</v>
      </c>
      <c r="H9" s="1" t="b">
        <v>0</v>
      </c>
      <c r="I9" s="1">
        <v>0.0</v>
      </c>
      <c r="J9" s="1">
        <v>0.0</v>
      </c>
      <c r="K9" s="1">
        <v>0.0</v>
      </c>
      <c r="L9" s="1">
        <v>1.0516194287885E13</v>
      </c>
      <c r="M9" s="1" t="s">
        <v>35</v>
      </c>
      <c r="N9" s="1" t="str">
        <f t="array" ref="N9">XLOOKUP(A:A,'CategoriasSeções'!A:A,'CategoriasSeções'!B:B)</f>
        <v>APOIO ATENDIMENTO</v>
      </c>
      <c r="O9" s="1" t="s">
        <v>36</v>
      </c>
      <c r="P9" s="3">
        <v>45923.68194444444</v>
      </c>
      <c r="Q9" s="3">
        <v>45923.68263888889</v>
      </c>
      <c r="R9" s="1" t="s">
        <v>79</v>
      </c>
      <c r="S9" s="1" t="s">
        <v>79</v>
      </c>
      <c r="T9" s="1" t="s">
        <v>38</v>
      </c>
      <c r="U9" s="1" t="s">
        <v>38</v>
      </c>
      <c r="V9" s="1" t="s">
        <v>39</v>
      </c>
      <c r="W9" s="1" t="s">
        <v>69</v>
      </c>
      <c r="X9" s="1" t="s">
        <v>69</v>
      </c>
      <c r="Y9" s="3">
        <v>45923.68263888889</v>
      </c>
      <c r="AA9" s="1">
        <v>1666212.0</v>
      </c>
      <c r="AB9" s="1" t="s">
        <v>80</v>
      </c>
      <c r="AC9" s="1" t="s">
        <v>55</v>
      </c>
      <c r="AD9" s="1" t="s">
        <v>81</v>
      </c>
      <c r="AE9" s="1" t="s">
        <v>55</v>
      </c>
    </row>
    <row r="10" ht="56.25" customHeight="1">
      <c r="A10" s="1">
        <v>3.9605716395661E13</v>
      </c>
      <c r="B10" s="2" t="s">
        <v>82</v>
      </c>
      <c r="C10" s="2" t="s">
        <v>83</v>
      </c>
      <c r="D10" s="1">
        <v>5.939921558925E12</v>
      </c>
      <c r="E10" s="1" t="s">
        <v>84</v>
      </c>
      <c r="F10" s="1" t="b">
        <v>1</v>
      </c>
      <c r="G10" s="1" t="s">
        <v>47</v>
      </c>
      <c r="H10" s="1" t="b">
        <v>0</v>
      </c>
      <c r="I10" s="1">
        <v>0.0</v>
      </c>
      <c r="J10" s="1">
        <v>0.0</v>
      </c>
      <c r="K10" s="1">
        <v>0.0</v>
      </c>
      <c r="L10" s="1">
        <v>3.60010154272E11</v>
      </c>
      <c r="M10" s="1" t="s">
        <v>35</v>
      </c>
      <c r="N10" s="1" t="str">
        <f t="array" ref="N10">XLOOKUP(A:A,'CategoriasSeções'!A:A,'CategoriasSeções'!B:B)</f>
        <v>Dúvidas Gerais</v>
      </c>
      <c r="O10" s="1" t="s">
        <v>85</v>
      </c>
      <c r="P10" s="3">
        <v>45916.50208333333</v>
      </c>
      <c r="Q10" s="3">
        <v>45916.50208333333</v>
      </c>
      <c r="R10" s="1" t="s">
        <v>86</v>
      </c>
      <c r="S10" s="1" t="s">
        <v>86</v>
      </c>
      <c r="T10" s="1" t="s">
        <v>38</v>
      </c>
      <c r="U10" s="1" t="s">
        <v>38</v>
      </c>
      <c r="V10" s="1" t="s">
        <v>75</v>
      </c>
      <c r="W10" s="1" t="s">
        <v>39</v>
      </c>
      <c r="X10" s="1" t="s">
        <v>39</v>
      </c>
      <c r="Y10" s="3">
        <v>45916.50208333333</v>
      </c>
      <c r="Z10" s="1" t="s">
        <v>40</v>
      </c>
      <c r="AA10" s="1">
        <v>1666192.0</v>
      </c>
      <c r="AB10" s="1" t="s">
        <v>55</v>
      </c>
      <c r="AC10" s="1" t="s">
        <v>55</v>
      </c>
      <c r="AD10" s="1" t="s">
        <v>87</v>
      </c>
      <c r="AE10" s="1" t="s">
        <v>44</v>
      </c>
    </row>
    <row r="11" ht="56.25" customHeight="1">
      <c r="A11" s="1">
        <v>3.9493737922701E13</v>
      </c>
      <c r="B11" s="2" t="s">
        <v>88</v>
      </c>
      <c r="C11" s="2" t="s">
        <v>89</v>
      </c>
      <c r="D11" s="1">
        <v>2.5656150621581E13</v>
      </c>
      <c r="E11" s="1" t="s">
        <v>90</v>
      </c>
      <c r="F11" s="1" t="b">
        <v>0</v>
      </c>
      <c r="G11" s="1" t="s">
        <v>34</v>
      </c>
      <c r="H11" s="1" t="b">
        <v>0</v>
      </c>
      <c r="I11" s="1">
        <v>0.0</v>
      </c>
      <c r="J11" s="1">
        <v>0.0</v>
      </c>
      <c r="K11" s="1">
        <v>0.0</v>
      </c>
      <c r="L11" s="1">
        <v>3.60013317151E11</v>
      </c>
      <c r="M11" s="1" t="s">
        <v>35</v>
      </c>
      <c r="N11" s="1" t="str">
        <f t="array" ref="N11">XLOOKUP(A:A,'CategoriasSeções'!A:A,'CategoriasSeções'!B:B)</f>
        <v>APOIO ATENDIMENTO</v>
      </c>
      <c r="O11" s="1" t="s">
        <v>53</v>
      </c>
      <c r="P11" s="3">
        <v>45911.566666666666</v>
      </c>
      <c r="Q11" s="3">
        <v>45911.566666666666</v>
      </c>
      <c r="R11" s="1" t="s">
        <v>91</v>
      </c>
      <c r="S11" s="1" t="s">
        <v>91</v>
      </c>
      <c r="T11" s="1" t="s">
        <v>38</v>
      </c>
      <c r="U11" s="1" t="s">
        <v>38</v>
      </c>
      <c r="V11" s="1" t="s">
        <v>39</v>
      </c>
      <c r="W11" s="1" t="s">
        <v>39</v>
      </c>
      <c r="X11" s="1" t="s">
        <v>39</v>
      </c>
      <c r="Y11" s="3">
        <v>45911.566666666666</v>
      </c>
      <c r="Z11" s="1" t="s">
        <v>40</v>
      </c>
      <c r="AA11" s="1">
        <v>1666212.0</v>
      </c>
      <c r="AB11" s="1" t="s">
        <v>55</v>
      </c>
      <c r="AC11" s="1" t="s">
        <v>55</v>
      </c>
      <c r="AD11" s="1" t="s">
        <v>92</v>
      </c>
      <c r="AE11" s="1" t="s">
        <v>44</v>
      </c>
    </row>
    <row r="12" ht="56.25" customHeight="1">
      <c r="A12" s="1">
        <v>3.9441645259661E13</v>
      </c>
      <c r="B12" s="2" t="s">
        <v>93</v>
      </c>
      <c r="C12" s="2" t="s">
        <v>94</v>
      </c>
      <c r="D12" s="1">
        <v>2.8367526975117E13</v>
      </c>
      <c r="E12" s="1" t="s">
        <v>95</v>
      </c>
      <c r="F12" s="1" t="b">
        <v>0</v>
      </c>
      <c r="G12" s="1" t="s">
        <v>34</v>
      </c>
      <c r="H12" s="1" t="b">
        <v>0</v>
      </c>
      <c r="I12" s="1">
        <v>0.0</v>
      </c>
      <c r="J12" s="1">
        <v>0.0</v>
      </c>
      <c r="K12" s="1">
        <v>0.0</v>
      </c>
      <c r="L12" s="1">
        <v>3.60013315531E11</v>
      </c>
      <c r="M12" s="1" t="s">
        <v>35</v>
      </c>
      <c r="N12" s="1" t="str">
        <f t="array" ref="N12">XLOOKUP(A:A,'CategoriasSeções'!A:A,'CategoriasSeções'!B:B)</f>
        <v>Dúvidas Gerais</v>
      </c>
      <c r="O12" s="1" t="s">
        <v>96</v>
      </c>
      <c r="P12" s="3">
        <v>45909.717361111114</v>
      </c>
      <c r="Q12" s="3">
        <v>45912.604166666664</v>
      </c>
      <c r="R12" s="1" t="s">
        <v>97</v>
      </c>
      <c r="S12" s="1" t="s">
        <v>97</v>
      </c>
      <c r="T12" s="1" t="s">
        <v>38</v>
      </c>
      <c r="U12" s="1" t="s">
        <v>38</v>
      </c>
      <c r="V12" s="1" t="s">
        <v>75</v>
      </c>
      <c r="W12" s="1" t="s">
        <v>69</v>
      </c>
      <c r="X12" s="1" t="s">
        <v>69</v>
      </c>
      <c r="Y12" s="3">
        <v>45912.604166666664</v>
      </c>
      <c r="AA12" s="1">
        <v>1666192.0</v>
      </c>
      <c r="AB12" s="1" t="s">
        <v>98</v>
      </c>
      <c r="AC12" s="1" t="s">
        <v>99</v>
      </c>
      <c r="AD12" s="1" t="s">
        <v>100</v>
      </c>
      <c r="AE12" s="1" t="s">
        <v>55</v>
      </c>
    </row>
    <row r="13" ht="56.25" customHeight="1">
      <c r="A13" s="1">
        <v>3.9441546144909E13</v>
      </c>
      <c r="B13" s="2" t="s">
        <v>101</v>
      </c>
      <c r="C13" s="2" t="s">
        <v>102</v>
      </c>
      <c r="D13" s="1">
        <v>2.8367526975117E13</v>
      </c>
      <c r="E13" s="1" t="s">
        <v>95</v>
      </c>
      <c r="F13" s="1" t="b">
        <v>0</v>
      </c>
      <c r="G13" s="1" t="s">
        <v>34</v>
      </c>
      <c r="H13" s="1" t="b">
        <v>0</v>
      </c>
      <c r="I13" s="1">
        <v>0.0</v>
      </c>
      <c r="J13" s="1">
        <v>1.0</v>
      </c>
      <c r="K13" s="1">
        <v>1.0</v>
      </c>
      <c r="L13" s="1">
        <v>3.60013202372E11</v>
      </c>
      <c r="M13" s="1" t="s">
        <v>35</v>
      </c>
      <c r="N13" s="1" t="str">
        <f t="array" ref="N13">XLOOKUP(A:A,'CategoriasSeções'!A:A,'CategoriasSeções'!B:B)</f>
        <v>Dúvidas Gerais</v>
      </c>
      <c r="O13" s="1" t="s">
        <v>103</v>
      </c>
      <c r="P13" s="3">
        <v>45909.71597222222</v>
      </c>
      <c r="Q13" s="3">
        <v>45912.60833333333</v>
      </c>
      <c r="R13" s="1" t="s">
        <v>104</v>
      </c>
      <c r="S13" s="1" t="s">
        <v>104</v>
      </c>
      <c r="T13" s="1" t="s">
        <v>38</v>
      </c>
      <c r="U13" s="1" t="s">
        <v>38</v>
      </c>
      <c r="V13" s="1" t="s">
        <v>75</v>
      </c>
      <c r="W13" s="1" t="s">
        <v>69</v>
      </c>
      <c r="X13" s="1" t="s">
        <v>69</v>
      </c>
      <c r="Y13" s="3">
        <v>45912.60833333333</v>
      </c>
      <c r="AA13" s="1">
        <v>1666192.0</v>
      </c>
      <c r="AB13" s="1" t="s">
        <v>105</v>
      </c>
      <c r="AC13" s="1" t="s">
        <v>106</v>
      </c>
      <c r="AD13" s="1" t="s">
        <v>107</v>
      </c>
      <c r="AE13" s="1" t="s">
        <v>55</v>
      </c>
    </row>
    <row r="14" ht="56.25" customHeight="1">
      <c r="A14" s="1">
        <v>3.9441453704461E13</v>
      </c>
      <c r="B14" s="2" t="s">
        <v>108</v>
      </c>
      <c r="C14" s="2" t="s">
        <v>109</v>
      </c>
      <c r="D14" s="1">
        <v>2.8367526975117E13</v>
      </c>
      <c r="E14" s="1" t="s">
        <v>95</v>
      </c>
      <c r="F14" s="1" t="b">
        <v>0</v>
      </c>
      <c r="G14" s="1" t="s">
        <v>34</v>
      </c>
      <c r="H14" s="1" t="b">
        <v>0</v>
      </c>
      <c r="I14" s="1">
        <v>0.0</v>
      </c>
      <c r="J14" s="1">
        <v>0.0</v>
      </c>
      <c r="K14" s="1">
        <v>0.0</v>
      </c>
      <c r="L14" s="1">
        <v>3.60010154272E11</v>
      </c>
      <c r="M14" s="1" t="s">
        <v>35</v>
      </c>
      <c r="N14" s="1" t="str">
        <f t="array" ref="N14">XLOOKUP(A:A,'CategoriasSeções'!A:A,'CategoriasSeções'!B:B)</f>
        <v>Dúvidas Gerais</v>
      </c>
      <c r="O14" s="1" t="s">
        <v>85</v>
      </c>
      <c r="P14" s="3">
        <v>45909.71388888889</v>
      </c>
      <c r="Q14" s="3">
        <v>45912.6125</v>
      </c>
      <c r="R14" s="1" t="s">
        <v>110</v>
      </c>
      <c r="S14" s="1" t="s">
        <v>110</v>
      </c>
      <c r="T14" s="1" t="s">
        <v>38</v>
      </c>
      <c r="U14" s="1" t="s">
        <v>38</v>
      </c>
      <c r="V14" s="1" t="s">
        <v>75</v>
      </c>
      <c r="W14" s="1" t="s">
        <v>69</v>
      </c>
      <c r="X14" s="1" t="s">
        <v>69</v>
      </c>
      <c r="Y14" s="3">
        <v>45912.6125</v>
      </c>
      <c r="AA14" s="1">
        <v>1666192.0</v>
      </c>
      <c r="AB14" s="1" t="s">
        <v>111</v>
      </c>
      <c r="AC14" s="1" t="s">
        <v>112</v>
      </c>
      <c r="AD14" s="1" t="s">
        <v>113</v>
      </c>
      <c r="AE14" s="1" t="s">
        <v>55</v>
      </c>
    </row>
    <row r="15" ht="56.25" customHeight="1">
      <c r="A15" s="1">
        <v>3.9441330577549E13</v>
      </c>
      <c r="B15" s="2" t="s">
        <v>114</v>
      </c>
      <c r="C15" s="2" t="s">
        <v>115</v>
      </c>
      <c r="D15" s="1">
        <v>2.8367526975117E13</v>
      </c>
      <c r="E15" s="1" t="s">
        <v>95</v>
      </c>
      <c r="F15" s="1" t="b">
        <v>0</v>
      </c>
      <c r="G15" s="1" t="s">
        <v>34</v>
      </c>
      <c r="H15" s="1" t="b">
        <v>0</v>
      </c>
      <c r="I15" s="1">
        <v>0.0</v>
      </c>
      <c r="J15" s="1">
        <v>0.0</v>
      </c>
      <c r="K15" s="1">
        <v>0.0</v>
      </c>
      <c r="L15" s="1">
        <v>3.60013202392E11</v>
      </c>
      <c r="M15" s="1" t="s">
        <v>35</v>
      </c>
      <c r="N15" s="1" t="str">
        <f t="array" ref="N15">XLOOKUP(A:A,'CategoriasSeções'!A:A,'CategoriasSeções'!B:B)</f>
        <v>Dúvidas Gerais</v>
      </c>
      <c r="O15" s="1" t="s">
        <v>116</v>
      </c>
      <c r="P15" s="3">
        <v>45909.711805555555</v>
      </c>
      <c r="Q15" s="3">
        <v>45912.60555555556</v>
      </c>
      <c r="R15" s="1" t="s">
        <v>117</v>
      </c>
      <c r="S15" s="1" t="s">
        <v>117</v>
      </c>
      <c r="T15" s="1" t="s">
        <v>38</v>
      </c>
      <c r="U15" s="1" t="s">
        <v>38</v>
      </c>
      <c r="V15" s="1" t="s">
        <v>75</v>
      </c>
      <c r="W15" s="1" t="s">
        <v>69</v>
      </c>
      <c r="X15" s="1" t="s">
        <v>69</v>
      </c>
      <c r="Y15" s="3">
        <v>45912.60555555556</v>
      </c>
      <c r="AA15" s="1">
        <v>1666192.0</v>
      </c>
      <c r="AB15" s="1" t="s">
        <v>118</v>
      </c>
      <c r="AC15" s="1" t="s">
        <v>119</v>
      </c>
      <c r="AD15" s="1" t="s">
        <v>120</v>
      </c>
      <c r="AE15" s="1" t="s">
        <v>55</v>
      </c>
    </row>
    <row r="16" ht="56.25" customHeight="1">
      <c r="A16" s="1">
        <v>3.9441101772813E13</v>
      </c>
      <c r="B16" s="2" t="s">
        <v>121</v>
      </c>
      <c r="C16" s="2" t="s">
        <v>122</v>
      </c>
      <c r="D16" s="1">
        <v>2.8367526975117E13</v>
      </c>
      <c r="E16" s="1" t="s">
        <v>95</v>
      </c>
      <c r="F16" s="1" t="b">
        <v>0</v>
      </c>
      <c r="G16" s="1" t="s">
        <v>34</v>
      </c>
      <c r="H16" s="1" t="b">
        <v>0</v>
      </c>
      <c r="I16" s="1">
        <v>0.0</v>
      </c>
      <c r="J16" s="1">
        <v>0.0</v>
      </c>
      <c r="K16" s="1">
        <v>0.0</v>
      </c>
      <c r="L16" s="1">
        <v>3.60010154272E11</v>
      </c>
      <c r="M16" s="1" t="s">
        <v>35</v>
      </c>
      <c r="N16" s="1" t="str">
        <f t="array" ref="N16">XLOOKUP(A:A,'CategoriasSeções'!A:A,'CategoriasSeções'!B:B)</f>
        <v>Dúvidas Gerais</v>
      </c>
      <c r="O16" s="1" t="s">
        <v>85</v>
      </c>
      <c r="P16" s="3">
        <v>45909.709027777775</v>
      </c>
      <c r="Q16" s="3">
        <v>45912.61319444444</v>
      </c>
      <c r="R16" s="1" t="s">
        <v>123</v>
      </c>
      <c r="S16" s="1" t="s">
        <v>123</v>
      </c>
      <c r="T16" s="1" t="s">
        <v>38</v>
      </c>
      <c r="U16" s="1" t="s">
        <v>38</v>
      </c>
      <c r="V16" s="1" t="s">
        <v>75</v>
      </c>
      <c r="W16" s="1" t="s">
        <v>69</v>
      </c>
      <c r="X16" s="1" t="s">
        <v>69</v>
      </c>
      <c r="Y16" s="3">
        <v>45912.61319444444</v>
      </c>
      <c r="AA16" s="1">
        <v>1666192.0</v>
      </c>
      <c r="AB16" s="1" t="s">
        <v>124</v>
      </c>
      <c r="AC16" s="1" t="s">
        <v>125</v>
      </c>
      <c r="AD16" s="1" t="s">
        <v>126</v>
      </c>
      <c r="AE16" s="1" t="s">
        <v>55</v>
      </c>
    </row>
    <row r="17" ht="56.25" customHeight="1">
      <c r="A17" s="1">
        <v>3.9440345586957E13</v>
      </c>
      <c r="B17" s="2" t="s">
        <v>127</v>
      </c>
      <c r="C17" s="2" t="s">
        <v>128</v>
      </c>
      <c r="D17" s="1">
        <v>2.8367526975117E13</v>
      </c>
      <c r="E17" s="1" t="s">
        <v>95</v>
      </c>
      <c r="F17" s="1" t="b">
        <v>0</v>
      </c>
      <c r="G17" s="1" t="s">
        <v>34</v>
      </c>
      <c r="H17" s="1" t="b">
        <v>0</v>
      </c>
      <c r="I17" s="1">
        <v>0.0</v>
      </c>
      <c r="J17" s="1">
        <v>0.0</v>
      </c>
      <c r="K17" s="1">
        <v>0.0</v>
      </c>
      <c r="L17" s="1">
        <v>3.60013315511E11</v>
      </c>
      <c r="M17" s="1" t="s">
        <v>35</v>
      </c>
      <c r="N17" s="1" t="str">
        <f t="array" ref="N17">XLOOKUP(A:A,'CategoriasSeções'!A:A,'CategoriasSeções'!B:B)</f>
        <v>Dúvidas Gerais</v>
      </c>
      <c r="O17" s="1" t="s">
        <v>129</v>
      </c>
      <c r="P17" s="3">
        <v>45909.69583333333</v>
      </c>
      <c r="Q17" s="3">
        <v>45912.61111111111</v>
      </c>
      <c r="R17" s="1" t="s">
        <v>130</v>
      </c>
      <c r="S17" s="1" t="s">
        <v>130</v>
      </c>
      <c r="T17" s="1" t="s">
        <v>38</v>
      </c>
      <c r="U17" s="1" t="s">
        <v>38</v>
      </c>
      <c r="V17" s="1" t="s">
        <v>75</v>
      </c>
      <c r="W17" s="1" t="s">
        <v>69</v>
      </c>
      <c r="X17" s="1" t="s">
        <v>69</v>
      </c>
      <c r="Y17" s="3">
        <v>45912.61111111111</v>
      </c>
      <c r="AA17" s="1">
        <v>1666192.0</v>
      </c>
      <c r="AB17" s="1" t="s">
        <v>131</v>
      </c>
      <c r="AC17" s="1" t="s">
        <v>132</v>
      </c>
      <c r="AD17" s="1" t="s">
        <v>133</v>
      </c>
      <c r="AE17" s="1" t="s">
        <v>55</v>
      </c>
    </row>
    <row r="18" ht="56.25" customHeight="1">
      <c r="A18" s="1">
        <v>3.8750663731597E13</v>
      </c>
      <c r="B18" s="2" t="s">
        <v>134</v>
      </c>
      <c r="C18" s="2" t="s">
        <v>135</v>
      </c>
      <c r="D18" s="1">
        <v>2.8367526975117E13</v>
      </c>
      <c r="E18" s="1" t="s">
        <v>95</v>
      </c>
      <c r="F18" s="1" t="b">
        <v>0</v>
      </c>
      <c r="G18" s="1" t="s">
        <v>34</v>
      </c>
      <c r="H18" s="1" t="b">
        <v>0</v>
      </c>
      <c r="I18" s="1">
        <v>0.0</v>
      </c>
      <c r="J18" s="1">
        <v>0.0</v>
      </c>
      <c r="K18" s="1">
        <v>0.0</v>
      </c>
      <c r="L18" s="1">
        <v>1.0516194287885E13</v>
      </c>
      <c r="M18" s="1" t="s">
        <v>35</v>
      </c>
      <c r="N18" s="1" t="str">
        <f t="array" ref="N18">XLOOKUP(A:A,'CategoriasSeções'!A:A,'CategoriasSeções'!B:B)</f>
        <v>APOIO ATENDIMENTO</v>
      </c>
      <c r="O18" s="1" t="s">
        <v>36</v>
      </c>
      <c r="P18" s="3">
        <v>45881.521527777775</v>
      </c>
      <c r="Q18" s="3">
        <v>45881.521527777775</v>
      </c>
      <c r="R18" s="1" t="s">
        <v>136</v>
      </c>
      <c r="S18" s="1" t="s">
        <v>136</v>
      </c>
      <c r="T18" s="1" t="s">
        <v>38</v>
      </c>
      <c r="U18" s="1" t="s">
        <v>38</v>
      </c>
      <c r="V18" s="1" t="s">
        <v>75</v>
      </c>
      <c r="W18" s="1" t="s">
        <v>39</v>
      </c>
      <c r="X18" s="1" t="s">
        <v>39</v>
      </c>
      <c r="Y18" s="3">
        <v>45881.521527777775</v>
      </c>
      <c r="Z18" s="1" t="s">
        <v>40</v>
      </c>
      <c r="AA18" s="1">
        <v>1666192.0</v>
      </c>
      <c r="AB18" s="1" t="s">
        <v>137</v>
      </c>
      <c r="AC18" s="1" t="s">
        <v>55</v>
      </c>
      <c r="AD18" s="1" t="s">
        <v>138</v>
      </c>
      <c r="AE18" s="1" t="s">
        <v>44</v>
      </c>
    </row>
    <row r="19" ht="56.25" customHeight="1">
      <c r="A19" s="1">
        <v>3.8750474751501E13</v>
      </c>
      <c r="B19" s="2" t="s">
        <v>139</v>
      </c>
      <c r="C19" s="2" t="s">
        <v>140</v>
      </c>
      <c r="D19" s="1">
        <v>2.8367526975117E13</v>
      </c>
      <c r="E19" s="1" t="s">
        <v>95</v>
      </c>
      <c r="F19" s="1" t="b">
        <v>0</v>
      </c>
      <c r="G19" s="1" t="s">
        <v>34</v>
      </c>
      <c r="H19" s="1" t="b">
        <v>0</v>
      </c>
      <c r="I19" s="1">
        <v>0.0</v>
      </c>
      <c r="J19" s="1">
        <v>0.0</v>
      </c>
      <c r="K19" s="1">
        <v>0.0</v>
      </c>
      <c r="L19" s="1">
        <v>1.0516194287885E13</v>
      </c>
      <c r="M19" s="1" t="s">
        <v>35</v>
      </c>
      <c r="N19" s="1" t="str">
        <f t="array" ref="N19">XLOOKUP(A:A,'CategoriasSeções'!A:A,'CategoriasSeções'!B:B)</f>
        <v>APOIO ATENDIMENTO</v>
      </c>
      <c r="O19" s="1" t="s">
        <v>36</v>
      </c>
      <c r="P19" s="3">
        <v>45881.51597222222</v>
      </c>
      <c r="Q19" s="3">
        <v>45881.51597222222</v>
      </c>
      <c r="R19" s="1" t="s">
        <v>141</v>
      </c>
      <c r="S19" s="1" t="s">
        <v>141</v>
      </c>
      <c r="T19" s="1" t="s">
        <v>38</v>
      </c>
      <c r="U19" s="1" t="s">
        <v>38</v>
      </c>
      <c r="V19" s="1" t="s">
        <v>75</v>
      </c>
      <c r="W19" s="1" t="s">
        <v>39</v>
      </c>
      <c r="X19" s="1" t="s">
        <v>39</v>
      </c>
      <c r="Y19" s="3">
        <v>45881.51597222222</v>
      </c>
      <c r="Z19" s="1" t="s">
        <v>40</v>
      </c>
      <c r="AA19" s="1">
        <v>1666192.0</v>
      </c>
      <c r="AB19" s="1" t="s">
        <v>142</v>
      </c>
      <c r="AC19" s="1" t="s">
        <v>55</v>
      </c>
      <c r="AD19" s="1" t="s">
        <v>143</v>
      </c>
      <c r="AE19" s="1" t="s">
        <v>44</v>
      </c>
    </row>
    <row r="20" ht="56.25" customHeight="1">
      <c r="A20" s="1">
        <v>3.8750034735245E13</v>
      </c>
      <c r="B20" s="2" t="s">
        <v>144</v>
      </c>
      <c r="C20" s="2" t="s">
        <v>145</v>
      </c>
      <c r="D20" s="1">
        <v>2.8367526975117E13</v>
      </c>
      <c r="E20" s="1" t="s">
        <v>95</v>
      </c>
      <c r="F20" s="1" t="b">
        <v>0</v>
      </c>
      <c r="G20" s="1" t="s">
        <v>34</v>
      </c>
      <c r="H20" s="1" t="b">
        <v>0</v>
      </c>
      <c r="I20" s="1">
        <v>0.0</v>
      </c>
      <c r="J20" s="1">
        <v>0.0</v>
      </c>
      <c r="K20" s="1">
        <v>0.0</v>
      </c>
      <c r="L20" s="1">
        <v>1.0516194287885E13</v>
      </c>
      <c r="M20" s="1" t="s">
        <v>35</v>
      </c>
      <c r="N20" s="1" t="str">
        <f t="array" ref="N20">XLOOKUP(A:A,'CategoriasSeções'!A:A,'CategoriasSeções'!B:B)</f>
        <v>APOIO ATENDIMENTO</v>
      </c>
      <c r="O20" s="1" t="s">
        <v>36</v>
      </c>
      <c r="P20" s="3">
        <v>45881.50277777778</v>
      </c>
      <c r="Q20" s="3">
        <v>45881.51111111111</v>
      </c>
      <c r="R20" s="1" t="s">
        <v>146</v>
      </c>
      <c r="S20" s="1" t="s">
        <v>146</v>
      </c>
      <c r="T20" s="1" t="s">
        <v>38</v>
      </c>
      <c r="U20" s="1" t="s">
        <v>38</v>
      </c>
      <c r="V20" s="1" t="s">
        <v>75</v>
      </c>
      <c r="W20" s="1" t="s">
        <v>39</v>
      </c>
      <c r="X20" s="1" t="s">
        <v>39</v>
      </c>
      <c r="Y20" s="3">
        <v>45881.51111111111</v>
      </c>
      <c r="Z20" s="1" t="s">
        <v>40</v>
      </c>
      <c r="AA20" s="1">
        <v>1666192.0</v>
      </c>
      <c r="AB20" s="1" t="s">
        <v>147</v>
      </c>
      <c r="AC20" s="1" t="s">
        <v>55</v>
      </c>
      <c r="AD20" s="1" t="s">
        <v>148</v>
      </c>
      <c r="AE20" s="1" t="s">
        <v>44</v>
      </c>
    </row>
    <row r="21" ht="56.25" customHeight="1">
      <c r="A21" s="1">
        <v>3.8589735513741E13</v>
      </c>
      <c r="B21" s="2" t="s">
        <v>149</v>
      </c>
      <c r="C21" s="2" t="s">
        <v>150</v>
      </c>
      <c r="D21" s="1">
        <v>2.8367526975117E13</v>
      </c>
      <c r="E21" s="1" t="s">
        <v>95</v>
      </c>
      <c r="F21" s="1" t="b">
        <v>0</v>
      </c>
      <c r="G21" s="1" t="s">
        <v>34</v>
      </c>
      <c r="H21" s="1" t="b">
        <v>0</v>
      </c>
      <c r="I21" s="1">
        <v>0.0</v>
      </c>
      <c r="J21" s="1">
        <v>0.0</v>
      </c>
      <c r="K21" s="1">
        <v>0.0</v>
      </c>
      <c r="L21" s="1">
        <v>4.652571072653E12</v>
      </c>
      <c r="M21" s="1" t="s">
        <v>35</v>
      </c>
      <c r="N21" s="1" t="str">
        <f t="array" ref="N21">XLOOKUP(A:A,'CategoriasSeções'!A:A,'CategoriasSeções'!B:B)</f>
        <v>APOIO ATENDIMENTO</v>
      </c>
      <c r="O21" s="1" t="s">
        <v>151</v>
      </c>
      <c r="P21" s="3">
        <v>45874.75347222222</v>
      </c>
      <c r="Q21" s="3">
        <v>45911.5375</v>
      </c>
      <c r="R21" s="1" t="s">
        <v>152</v>
      </c>
      <c r="S21" s="1" t="s">
        <v>152</v>
      </c>
      <c r="T21" s="1" t="s">
        <v>38</v>
      </c>
      <c r="U21" s="1" t="s">
        <v>38</v>
      </c>
      <c r="V21" s="1" t="s">
        <v>39</v>
      </c>
      <c r="W21" s="1" t="s">
        <v>39</v>
      </c>
      <c r="X21" s="1" t="s">
        <v>39</v>
      </c>
      <c r="Y21" s="3">
        <v>45874.75347222222</v>
      </c>
      <c r="Z21" s="1" t="s">
        <v>40</v>
      </c>
      <c r="AA21" s="1">
        <v>1666212.0</v>
      </c>
      <c r="AB21" s="1" t="s">
        <v>153</v>
      </c>
      <c r="AC21" s="1" t="s">
        <v>55</v>
      </c>
      <c r="AD21" s="1" t="s">
        <v>154</v>
      </c>
      <c r="AE21" s="1" t="s">
        <v>44</v>
      </c>
    </row>
    <row r="22" ht="56.25" customHeight="1">
      <c r="A22" s="1">
        <v>3.8589596521357E13</v>
      </c>
      <c r="B22" s="2" t="s">
        <v>155</v>
      </c>
      <c r="C22" s="2" t="s">
        <v>156</v>
      </c>
      <c r="D22" s="1">
        <v>2.8367526975117E13</v>
      </c>
      <c r="E22" s="1" t="s">
        <v>95</v>
      </c>
      <c r="F22" s="1" t="b">
        <v>0</v>
      </c>
      <c r="G22" s="1" t="s">
        <v>34</v>
      </c>
      <c r="H22" s="1" t="b">
        <v>0</v>
      </c>
      <c r="I22" s="1">
        <v>0.0</v>
      </c>
      <c r="J22" s="1">
        <v>0.0</v>
      </c>
      <c r="K22" s="1">
        <v>0.0</v>
      </c>
      <c r="L22" s="1">
        <v>1.0516194287885E13</v>
      </c>
      <c r="M22" s="1" t="s">
        <v>35</v>
      </c>
      <c r="N22" s="1" t="str">
        <f t="array" ref="N22">XLOOKUP(A:A,'CategoriasSeções'!A:A,'CategoriasSeções'!B:B)</f>
        <v>APOIO ATENDIMENTO</v>
      </c>
      <c r="O22" s="1" t="s">
        <v>36</v>
      </c>
      <c r="P22" s="3">
        <v>45874.751388888886</v>
      </c>
      <c r="Q22" s="3">
        <v>45874.75347222222</v>
      </c>
      <c r="R22" s="1" t="s">
        <v>152</v>
      </c>
      <c r="S22" s="1" t="s">
        <v>152</v>
      </c>
      <c r="T22" s="1" t="s">
        <v>38</v>
      </c>
      <c r="U22" s="1" t="s">
        <v>38</v>
      </c>
      <c r="V22" s="1" t="s">
        <v>39</v>
      </c>
      <c r="W22" s="1" t="s">
        <v>39</v>
      </c>
      <c r="X22" s="1" t="s">
        <v>39</v>
      </c>
      <c r="Y22" s="3">
        <v>45874.75347222222</v>
      </c>
      <c r="Z22" s="1" t="s">
        <v>40</v>
      </c>
      <c r="AA22" s="1">
        <v>1666212.0</v>
      </c>
      <c r="AB22" s="1" t="s">
        <v>55</v>
      </c>
      <c r="AC22" s="1" t="s">
        <v>55</v>
      </c>
      <c r="AD22" s="1" t="s">
        <v>154</v>
      </c>
      <c r="AE22" s="1" t="s">
        <v>44</v>
      </c>
    </row>
    <row r="23" ht="56.25" customHeight="1">
      <c r="A23" s="1">
        <v>3.8589581068685E13</v>
      </c>
      <c r="B23" s="2" t="s">
        <v>157</v>
      </c>
      <c r="C23" s="2" t="s">
        <v>158</v>
      </c>
      <c r="D23" s="1">
        <v>2.8367526975117E13</v>
      </c>
      <c r="E23" s="1" t="s">
        <v>95</v>
      </c>
      <c r="F23" s="1" t="b">
        <v>0</v>
      </c>
      <c r="G23" s="1" t="s">
        <v>34</v>
      </c>
      <c r="H23" s="1" t="b">
        <v>0</v>
      </c>
      <c r="I23" s="1">
        <v>0.0</v>
      </c>
      <c r="J23" s="1">
        <v>0.0</v>
      </c>
      <c r="K23" s="1">
        <v>0.0</v>
      </c>
      <c r="L23" s="1">
        <v>3.60013317151E11</v>
      </c>
      <c r="M23" s="1" t="s">
        <v>35</v>
      </c>
      <c r="N23" s="1" t="str">
        <f t="array" ref="N23">XLOOKUP(A:A,'CategoriasSeções'!A:A,'CategoriasSeções'!B:B)</f>
        <v>APOIO ATENDIMENTO</v>
      </c>
      <c r="O23" s="1" t="s">
        <v>53</v>
      </c>
      <c r="P23" s="3">
        <v>45874.751388888886</v>
      </c>
      <c r="Q23" s="3">
        <v>45874.75347222222</v>
      </c>
      <c r="R23" s="1" t="s">
        <v>152</v>
      </c>
      <c r="S23" s="1" t="s">
        <v>152</v>
      </c>
      <c r="T23" s="1" t="s">
        <v>38</v>
      </c>
      <c r="U23" s="1" t="s">
        <v>38</v>
      </c>
      <c r="V23" s="1" t="s">
        <v>39</v>
      </c>
      <c r="W23" s="1" t="s">
        <v>39</v>
      </c>
      <c r="X23" s="1" t="s">
        <v>39</v>
      </c>
      <c r="Y23" s="3">
        <v>45874.75347222222</v>
      </c>
      <c r="Z23" s="1" t="s">
        <v>40</v>
      </c>
      <c r="AA23" s="1">
        <v>1666212.0</v>
      </c>
      <c r="AB23" s="1" t="s">
        <v>159</v>
      </c>
      <c r="AC23" s="1" t="s">
        <v>55</v>
      </c>
      <c r="AD23" s="1" t="s">
        <v>154</v>
      </c>
      <c r="AE23" s="1" t="s">
        <v>44</v>
      </c>
    </row>
    <row r="24" ht="56.25" customHeight="1">
      <c r="A24" s="1">
        <v>3.8351856848781E13</v>
      </c>
      <c r="B24" s="2" t="s">
        <v>160</v>
      </c>
      <c r="C24" s="2" t="s">
        <v>161</v>
      </c>
      <c r="D24" s="1">
        <v>5.939921558925E12</v>
      </c>
      <c r="E24" s="1" t="s">
        <v>84</v>
      </c>
      <c r="F24" s="1" t="b">
        <v>0</v>
      </c>
      <c r="G24" s="1" t="s">
        <v>34</v>
      </c>
      <c r="H24" s="1" t="b">
        <v>0</v>
      </c>
      <c r="I24" s="1">
        <v>0.0</v>
      </c>
      <c r="J24" s="1">
        <v>0.0</v>
      </c>
      <c r="K24" s="1">
        <v>0.0</v>
      </c>
      <c r="L24" s="1">
        <v>1.0516194287885E13</v>
      </c>
      <c r="M24" s="1" t="s">
        <v>35</v>
      </c>
      <c r="N24" s="1" t="str">
        <f t="array" ref="N24">XLOOKUP(A:A,'CategoriasSeções'!A:A,'CategoriasSeções'!B:B)</f>
        <v>APOIO ATENDIMENTO</v>
      </c>
      <c r="O24" s="1" t="s">
        <v>36</v>
      </c>
      <c r="P24" s="3">
        <v>45864.7625</v>
      </c>
      <c r="Q24" s="3">
        <v>45864.7625</v>
      </c>
      <c r="R24" s="1" t="s">
        <v>162</v>
      </c>
      <c r="S24" s="1" t="s">
        <v>162</v>
      </c>
      <c r="T24" s="1" t="s">
        <v>38</v>
      </c>
      <c r="U24" s="1" t="s">
        <v>38</v>
      </c>
      <c r="V24" s="1" t="s">
        <v>75</v>
      </c>
      <c r="W24" s="1" t="s">
        <v>39</v>
      </c>
      <c r="X24" s="1" t="s">
        <v>163</v>
      </c>
      <c r="Y24" s="3">
        <v>45864.7625</v>
      </c>
      <c r="Z24" s="1" t="s">
        <v>40</v>
      </c>
      <c r="AA24" s="1">
        <v>1666192.0</v>
      </c>
      <c r="AB24" s="1" t="s">
        <v>55</v>
      </c>
      <c r="AC24" s="1" t="s">
        <v>55</v>
      </c>
      <c r="AD24" s="1" t="s">
        <v>164</v>
      </c>
      <c r="AE24" s="1" t="s">
        <v>165</v>
      </c>
    </row>
    <row r="25" ht="56.25" customHeight="1">
      <c r="A25" s="1">
        <v>3.7399282484493E13</v>
      </c>
      <c r="B25" s="2" t="s">
        <v>166</v>
      </c>
      <c r="C25" s="2" t="s">
        <v>167</v>
      </c>
      <c r="D25" s="1">
        <v>2.8367526975117E13</v>
      </c>
      <c r="E25" s="1" t="s">
        <v>95</v>
      </c>
      <c r="F25" s="1" t="b">
        <v>0</v>
      </c>
      <c r="G25" s="1" t="s">
        <v>34</v>
      </c>
      <c r="H25" s="1" t="b">
        <v>0</v>
      </c>
      <c r="I25" s="1">
        <v>0.0</v>
      </c>
      <c r="J25" s="1">
        <v>0.0</v>
      </c>
      <c r="K25" s="1">
        <v>0.0</v>
      </c>
      <c r="L25" s="1">
        <v>1.0516194287885E13</v>
      </c>
      <c r="M25" s="1" t="s">
        <v>35</v>
      </c>
      <c r="N25" s="1" t="str">
        <f t="array" ref="N25">XLOOKUP(A:A,'CategoriasSeções'!A:A,'CategoriasSeções'!B:B)</f>
        <v>APOIO ATENDIMENTO</v>
      </c>
      <c r="O25" s="1" t="s">
        <v>36</v>
      </c>
      <c r="P25" s="3">
        <v>45824.59027777778</v>
      </c>
      <c r="Q25" s="3">
        <v>45824.59097222222</v>
      </c>
      <c r="R25" s="1" t="s">
        <v>168</v>
      </c>
      <c r="S25" s="1" t="s">
        <v>168</v>
      </c>
      <c r="T25" s="1" t="s">
        <v>38</v>
      </c>
      <c r="U25" s="1" t="s">
        <v>38</v>
      </c>
      <c r="V25" s="1" t="s">
        <v>39</v>
      </c>
      <c r="W25" s="1" t="s">
        <v>39</v>
      </c>
      <c r="X25" s="1" t="s">
        <v>39</v>
      </c>
      <c r="Y25" s="3">
        <v>45824.59097222222</v>
      </c>
      <c r="Z25" s="1" t="s">
        <v>40</v>
      </c>
      <c r="AA25" s="1">
        <v>1666212.0</v>
      </c>
      <c r="AB25" s="1" t="s">
        <v>169</v>
      </c>
      <c r="AC25" s="1" t="s">
        <v>55</v>
      </c>
      <c r="AD25" s="1" t="s">
        <v>170</v>
      </c>
      <c r="AE25" s="1" t="s">
        <v>44</v>
      </c>
    </row>
    <row r="26" ht="56.25" customHeight="1">
      <c r="A26" s="1">
        <v>3.7399135154189E13</v>
      </c>
      <c r="B26" s="2" t="s">
        <v>171</v>
      </c>
      <c r="C26" s="2" t="s">
        <v>172</v>
      </c>
      <c r="D26" s="1">
        <v>2.8367526975117E13</v>
      </c>
      <c r="E26" s="1" t="s">
        <v>95</v>
      </c>
      <c r="F26" s="1" t="b">
        <v>0</v>
      </c>
      <c r="G26" s="1" t="s">
        <v>34</v>
      </c>
      <c r="H26" s="1" t="b">
        <v>0</v>
      </c>
      <c r="I26" s="1">
        <v>0.0</v>
      </c>
      <c r="J26" s="1">
        <v>0.0</v>
      </c>
      <c r="K26" s="1">
        <v>0.0</v>
      </c>
      <c r="L26" s="1">
        <v>1.0516194287885E13</v>
      </c>
      <c r="M26" s="1" t="s">
        <v>35</v>
      </c>
      <c r="N26" s="1" t="str">
        <f t="array" ref="N26">XLOOKUP(A:A,'CategoriasSeções'!A:A,'CategoriasSeções'!B:B)</f>
        <v>APOIO ATENDIMENTO</v>
      </c>
      <c r="O26" s="1" t="s">
        <v>36</v>
      </c>
      <c r="P26" s="3">
        <v>45824.586805555555</v>
      </c>
      <c r="Q26" s="3">
        <v>45824.586805555555</v>
      </c>
      <c r="R26" s="1" t="s">
        <v>173</v>
      </c>
      <c r="S26" s="1" t="s">
        <v>173</v>
      </c>
      <c r="T26" s="1" t="s">
        <v>38</v>
      </c>
      <c r="U26" s="1" t="s">
        <v>38</v>
      </c>
      <c r="V26" s="1" t="s">
        <v>39</v>
      </c>
      <c r="W26" s="1" t="s">
        <v>39</v>
      </c>
      <c r="X26" s="1" t="s">
        <v>39</v>
      </c>
      <c r="Y26" s="3">
        <v>45824.586805555555</v>
      </c>
      <c r="Z26" s="1" t="s">
        <v>40</v>
      </c>
      <c r="AA26" s="1">
        <v>1666212.0</v>
      </c>
      <c r="AB26" s="1" t="s">
        <v>174</v>
      </c>
      <c r="AC26" s="1" t="s">
        <v>55</v>
      </c>
      <c r="AD26" s="1" t="s">
        <v>175</v>
      </c>
      <c r="AE26" s="1" t="s">
        <v>44</v>
      </c>
    </row>
    <row r="27" ht="56.25" customHeight="1">
      <c r="A27" s="1">
        <v>3.7398719932685E13</v>
      </c>
      <c r="B27" s="2" t="s">
        <v>176</v>
      </c>
      <c r="C27" s="2" t="s">
        <v>177</v>
      </c>
      <c r="D27" s="1">
        <v>2.8367526975117E13</v>
      </c>
      <c r="E27" s="1" t="s">
        <v>95</v>
      </c>
      <c r="F27" s="1" t="b">
        <v>0</v>
      </c>
      <c r="G27" s="1" t="s">
        <v>34</v>
      </c>
      <c r="H27" s="1" t="b">
        <v>0</v>
      </c>
      <c r="I27" s="1">
        <v>0.0</v>
      </c>
      <c r="J27" s="1">
        <v>0.0</v>
      </c>
      <c r="K27" s="1">
        <v>0.0</v>
      </c>
      <c r="L27" s="1">
        <v>1.0516194287885E13</v>
      </c>
      <c r="M27" s="1" t="s">
        <v>35</v>
      </c>
      <c r="N27" s="1" t="str">
        <f t="array" ref="N27">XLOOKUP(A:A,'CategoriasSeções'!A:A,'CategoriasSeções'!B:B)</f>
        <v>APOIO ATENDIMENTO</v>
      </c>
      <c r="O27" s="1" t="s">
        <v>36</v>
      </c>
      <c r="P27" s="3">
        <v>45824.57986111111</v>
      </c>
      <c r="Q27" s="3">
        <v>45824.57986111111</v>
      </c>
      <c r="R27" s="1" t="s">
        <v>178</v>
      </c>
      <c r="S27" s="1" t="s">
        <v>178</v>
      </c>
      <c r="T27" s="1" t="s">
        <v>38</v>
      </c>
      <c r="U27" s="1" t="s">
        <v>38</v>
      </c>
      <c r="V27" s="1" t="s">
        <v>39</v>
      </c>
      <c r="W27" s="1" t="s">
        <v>39</v>
      </c>
      <c r="X27" s="1" t="s">
        <v>39</v>
      </c>
      <c r="Y27" s="3">
        <v>45824.57986111111</v>
      </c>
      <c r="Z27" s="1" t="s">
        <v>40</v>
      </c>
      <c r="AA27" s="1">
        <v>1666212.0</v>
      </c>
      <c r="AB27" s="1" t="s">
        <v>174</v>
      </c>
      <c r="AC27" s="1" t="s">
        <v>55</v>
      </c>
      <c r="AD27" s="1" t="s">
        <v>179</v>
      </c>
      <c r="AE27" s="1" t="s">
        <v>44</v>
      </c>
    </row>
    <row r="28" ht="56.25" customHeight="1">
      <c r="A28" s="1">
        <v>3.7398529659277E13</v>
      </c>
      <c r="B28" s="2" t="s">
        <v>180</v>
      </c>
      <c r="C28" s="2" t="s">
        <v>181</v>
      </c>
      <c r="D28" s="1">
        <v>2.8367526975117E13</v>
      </c>
      <c r="E28" s="1" t="s">
        <v>95</v>
      </c>
      <c r="F28" s="1" t="b">
        <v>0</v>
      </c>
      <c r="G28" s="1" t="s">
        <v>34</v>
      </c>
      <c r="H28" s="1" t="b">
        <v>0</v>
      </c>
      <c r="I28" s="1">
        <v>0.0</v>
      </c>
      <c r="J28" s="1">
        <v>0.0</v>
      </c>
      <c r="K28" s="1">
        <v>0.0</v>
      </c>
      <c r="L28" s="1">
        <v>1.0516194287885E13</v>
      </c>
      <c r="M28" s="1" t="s">
        <v>35</v>
      </c>
      <c r="N28" s="1" t="str">
        <f t="array" ref="N28">XLOOKUP(A:A,'CategoriasSeções'!A:A,'CategoriasSeções'!B:B)</f>
        <v>APOIO ATENDIMENTO</v>
      </c>
      <c r="O28" s="1" t="s">
        <v>36</v>
      </c>
      <c r="P28" s="3">
        <v>45824.575694444444</v>
      </c>
      <c r="Q28" s="3">
        <v>45824.575694444444</v>
      </c>
      <c r="R28" s="1" t="s">
        <v>182</v>
      </c>
      <c r="S28" s="1" t="s">
        <v>182</v>
      </c>
      <c r="T28" s="1" t="s">
        <v>38</v>
      </c>
      <c r="U28" s="1" t="s">
        <v>38</v>
      </c>
      <c r="V28" s="1" t="s">
        <v>39</v>
      </c>
      <c r="W28" s="1" t="s">
        <v>39</v>
      </c>
      <c r="X28" s="1" t="s">
        <v>39</v>
      </c>
      <c r="Y28" s="3">
        <v>45824.575694444444</v>
      </c>
      <c r="Z28" s="1" t="s">
        <v>40</v>
      </c>
      <c r="AA28" s="1">
        <v>1666212.0</v>
      </c>
      <c r="AB28" s="1" t="s">
        <v>174</v>
      </c>
      <c r="AC28" s="1" t="s">
        <v>55</v>
      </c>
      <c r="AD28" s="1" t="s">
        <v>183</v>
      </c>
      <c r="AE28" s="1" t="s">
        <v>44</v>
      </c>
    </row>
    <row r="29" ht="56.25" customHeight="1">
      <c r="A29" s="1">
        <v>3.7398134287757E13</v>
      </c>
      <c r="B29" s="2" t="s">
        <v>184</v>
      </c>
      <c r="C29" s="2" t="s">
        <v>185</v>
      </c>
      <c r="D29" s="1">
        <v>2.8367526975117E13</v>
      </c>
      <c r="E29" s="1" t="s">
        <v>95</v>
      </c>
      <c r="F29" s="1" t="b">
        <v>0</v>
      </c>
      <c r="G29" s="1" t="s">
        <v>34</v>
      </c>
      <c r="H29" s="1" t="b">
        <v>0</v>
      </c>
      <c r="I29" s="1">
        <v>0.0</v>
      </c>
      <c r="J29" s="1">
        <v>0.0</v>
      </c>
      <c r="K29" s="1">
        <v>0.0</v>
      </c>
      <c r="L29" s="1">
        <v>1.0516194287885E13</v>
      </c>
      <c r="M29" s="1" t="s">
        <v>35</v>
      </c>
      <c r="N29" s="1" t="str">
        <f t="array" ref="N29">XLOOKUP(A:A,'CategoriasSeções'!A:A,'CategoriasSeções'!B:B)</f>
        <v>APOIO ATENDIMENTO</v>
      </c>
      <c r="O29" s="1" t="s">
        <v>36</v>
      </c>
      <c r="P29" s="3">
        <v>45824.56736111111</v>
      </c>
      <c r="Q29" s="3">
        <v>45824.56736111111</v>
      </c>
      <c r="R29" s="1" t="s">
        <v>186</v>
      </c>
      <c r="S29" s="1" t="s">
        <v>186</v>
      </c>
      <c r="T29" s="1" t="s">
        <v>38</v>
      </c>
      <c r="U29" s="1" t="s">
        <v>38</v>
      </c>
      <c r="V29" s="1" t="s">
        <v>39</v>
      </c>
      <c r="W29" s="1" t="s">
        <v>39</v>
      </c>
      <c r="X29" s="1" t="s">
        <v>39</v>
      </c>
      <c r="Y29" s="3">
        <v>45824.56736111111</v>
      </c>
      <c r="Z29" s="1" t="s">
        <v>40</v>
      </c>
      <c r="AA29" s="1">
        <v>1666212.0</v>
      </c>
      <c r="AB29" s="1" t="s">
        <v>187</v>
      </c>
      <c r="AC29" s="1" t="s">
        <v>55</v>
      </c>
      <c r="AD29" s="1" t="s">
        <v>188</v>
      </c>
      <c r="AE29" s="1" t="s">
        <v>44</v>
      </c>
    </row>
    <row r="30" ht="56.25" customHeight="1">
      <c r="A30" s="1">
        <v>3.7396586698509E13</v>
      </c>
      <c r="B30" s="2" t="s">
        <v>189</v>
      </c>
      <c r="C30" s="2" t="s">
        <v>190</v>
      </c>
      <c r="D30" s="1">
        <v>2.8367526975117E13</v>
      </c>
      <c r="E30" s="1" t="s">
        <v>95</v>
      </c>
      <c r="F30" s="1" t="b">
        <v>0</v>
      </c>
      <c r="G30" s="1" t="s">
        <v>34</v>
      </c>
      <c r="H30" s="1" t="b">
        <v>0</v>
      </c>
      <c r="I30" s="1">
        <v>0.0</v>
      </c>
      <c r="J30" s="1">
        <v>0.0</v>
      </c>
      <c r="K30" s="1">
        <v>0.0</v>
      </c>
      <c r="L30" s="1">
        <v>1.0516194287885E13</v>
      </c>
      <c r="M30" s="1" t="s">
        <v>35</v>
      </c>
      <c r="N30" s="1" t="str">
        <f t="array" ref="N30">XLOOKUP(A:A,'CategoriasSeções'!A:A,'CategoriasSeções'!B:B)</f>
        <v>APOIO ATENDIMENTO</v>
      </c>
      <c r="O30" s="1" t="s">
        <v>36</v>
      </c>
      <c r="P30" s="3">
        <v>45824.53472222222</v>
      </c>
      <c r="Q30" s="3">
        <v>45824.53472222222</v>
      </c>
      <c r="R30" s="1" t="s">
        <v>191</v>
      </c>
      <c r="S30" s="1" t="s">
        <v>191</v>
      </c>
      <c r="T30" s="1" t="s">
        <v>38</v>
      </c>
      <c r="U30" s="1" t="s">
        <v>38</v>
      </c>
      <c r="V30" s="1" t="s">
        <v>39</v>
      </c>
      <c r="W30" s="1" t="s">
        <v>39</v>
      </c>
      <c r="X30" s="1" t="s">
        <v>39</v>
      </c>
      <c r="Y30" s="3">
        <v>45824.53472222222</v>
      </c>
      <c r="Z30" s="1" t="s">
        <v>40</v>
      </c>
      <c r="AA30" s="1">
        <v>1666212.0</v>
      </c>
      <c r="AB30" s="1" t="s">
        <v>192</v>
      </c>
      <c r="AC30" s="1" t="s">
        <v>55</v>
      </c>
      <c r="AD30" s="1" t="s">
        <v>193</v>
      </c>
      <c r="AE30" s="1" t="s">
        <v>44</v>
      </c>
    </row>
    <row r="31" ht="56.25" customHeight="1">
      <c r="A31" s="1">
        <v>3.7396408254861E13</v>
      </c>
      <c r="B31" s="2" t="s">
        <v>194</v>
      </c>
      <c r="C31" s="2" t="s">
        <v>195</v>
      </c>
      <c r="D31" s="1">
        <v>2.8367526975117E13</v>
      </c>
      <c r="E31" s="1" t="s">
        <v>95</v>
      </c>
      <c r="F31" s="1" t="b">
        <v>0</v>
      </c>
      <c r="G31" s="1" t="s">
        <v>34</v>
      </c>
      <c r="H31" s="1" t="b">
        <v>0</v>
      </c>
      <c r="I31" s="1">
        <v>0.0</v>
      </c>
      <c r="J31" s="1">
        <v>0.0</v>
      </c>
      <c r="K31" s="1">
        <v>0.0</v>
      </c>
      <c r="L31" s="1">
        <v>4.652571072653E12</v>
      </c>
      <c r="M31" s="1" t="s">
        <v>35</v>
      </c>
      <c r="N31" s="1" t="str">
        <f t="array" ref="N31">XLOOKUP(A:A,'CategoriasSeções'!A:A,'CategoriasSeções'!B:B)</f>
        <v>APOIO ATENDIMENTO</v>
      </c>
      <c r="O31" s="1" t="s">
        <v>151</v>
      </c>
      <c r="P31" s="3">
        <v>45824.529861111114</v>
      </c>
      <c r="Q31" s="3">
        <v>45824.529861111114</v>
      </c>
      <c r="R31" s="1" t="s">
        <v>196</v>
      </c>
      <c r="S31" s="1" t="s">
        <v>196</v>
      </c>
      <c r="T31" s="1" t="s">
        <v>38</v>
      </c>
      <c r="U31" s="1" t="s">
        <v>38</v>
      </c>
      <c r="V31" s="1" t="s">
        <v>39</v>
      </c>
      <c r="W31" s="1" t="s">
        <v>39</v>
      </c>
      <c r="X31" s="1" t="s">
        <v>39</v>
      </c>
      <c r="Y31" s="3">
        <v>45824.529861111114</v>
      </c>
      <c r="Z31" s="1" t="s">
        <v>40</v>
      </c>
      <c r="AA31" s="1">
        <v>1666212.0</v>
      </c>
      <c r="AB31" s="1" t="s">
        <v>197</v>
      </c>
      <c r="AC31" s="1" t="s">
        <v>55</v>
      </c>
      <c r="AD31" s="1" t="s">
        <v>198</v>
      </c>
      <c r="AE31" s="1" t="s">
        <v>44</v>
      </c>
    </row>
    <row r="32" ht="56.25" customHeight="1">
      <c r="A32" s="1">
        <v>3.7396243677069E13</v>
      </c>
      <c r="B32" s="2" t="s">
        <v>199</v>
      </c>
      <c r="C32" s="2" t="s">
        <v>200</v>
      </c>
      <c r="D32" s="1">
        <v>2.8367526975117E13</v>
      </c>
      <c r="E32" s="1" t="s">
        <v>95</v>
      </c>
      <c r="F32" s="1" t="b">
        <v>0</v>
      </c>
      <c r="G32" s="1" t="s">
        <v>34</v>
      </c>
      <c r="H32" s="1" t="b">
        <v>0</v>
      </c>
      <c r="I32" s="1">
        <v>0.0</v>
      </c>
      <c r="J32" s="1">
        <v>0.0</v>
      </c>
      <c r="K32" s="1">
        <v>0.0</v>
      </c>
      <c r="L32" s="1">
        <v>1.0516194287885E13</v>
      </c>
      <c r="M32" s="1" t="s">
        <v>35</v>
      </c>
      <c r="N32" s="1" t="str">
        <f t="array" ref="N32">XLOOKUP(A:A,'CategoriasSeções'!A:A,'CategoriasSeções'!B:B)</f>
        <v>APOIO ATENDIMENTO</v>
      </c>
      <c r="O32" s="1" t="s">
        <v>36</v>
      </c>
      <c r="P32" s="3">
        <v>45824.52569444444</v>
      </c>
      <c r="Q32" s="3">
        <v>45824.52569444444</v>
      </c>
      <c r="R32" s="1" t="s">
        <v>201</v>
      </c>
      <c r="S32" s="1" t="s">
        <v>201</v>
      </c>
      <c r="T32" s="1" t="s">
        <v>38</v>
      </c>
      <c r="U32" s="1" t="s">
        <v>38</v>
      </c>
      <c r="V32" s="1" t="s">
        <v>39</v>
      </c>
      <c r="W32" s="1" t="s">
        <v>39</v>
      </c>
      <c r="X32" s="1" t="s">
        <v>39</v>
      </c>
      <c r="Y32" s="3">
        <v>45824.52569444444</v>
      </c>
      <c r="Z32" s="1" t="s">
        <v>40</v>
      </c>
      <c r="AA32" s="1">
        <v>1666212.0</v>
      </c>
      <c r="AB32" s="1" t="s">
        <v>202</v>
      </c>
      <c r="AC32" s="1" t="s">
        <v>55</v>
      </c>
      <c r="AD32" s="1" t="s">
        <v>203</v>
      </c>
      <c r="AE32" s="1" t="s">
        <v>44</v>
      </c>
    </row>
    <row r="33" ht="56.25" customHeight="1">
      <c r="A33" s="1">
        <v>3.7172030444813E13</v>
      </c>
      <c r="B33" s="2" t="s">
        <v>204</v>
      </c>
      <c r="C33" s="2" t="s">
        <v>205</v>
      </c>
      <c r="D33" s="1">
        <v>3.1110021937421E13</v>
      </c>
      <c r="E33" s="1" t="s">
        <v>206</v>
      </c>
      <c r="F33" s="1" t="b">
        <v>1</v>
      </c>
      <c r="G33" s="1" t="s">
        <v>47</v>
      </c>
      <c r="H33" s="1" t="b">
        <v>0</v>
      </c>
      <c r="I33" s="1">
        <v>0.0</v>
      </c>
      <c r="J33" s="1">
        <v>0.0</v>
      </c>
      <c r="K33" s="1">
        <v>0.0</v>
      </c>
      <c r="L33" s="1">
        <v>1.0516194287885E13</v>
      </c>
      <c r="M33" s="1" t="s">
        <v>35</v>
      </c>
      <c r="N33" s="1" t="str">
        <f t="array" ref="N33">XLOOKUP(A:A,'CategoriasSeções'!A:A,'CategoriasSeções'!B:B)</f>
        <v>APOIO ATENDIMENTO</v>
      </c>
      <c r="O33" s="1" t="s">
        <v>36</v>
      </c>
      <c r="P33" s="3">
        <v>45813.82708333333</v>
      </c>
      <c r="Q33" s="3">
        <v>45813.82708333333</v>
      </c>
      <c r="R33" s="1" t="s">
        <v>207</v>
      </c>
      <c r="S33" s="1" t="s">
        <v>207</v>
      </c>
      <c r="T33" s="1" t="s">
        <v>38</v>
      </c>
      <c r="U33" s="1" t="s">
        <v>38</v>
      </c>
      <c r="V33" s="1" t="s">
        <v>39</v>
      </c>
      <c r="W33" s="1" t="s">
        <v>39</v>
      </c>
      <c r="X33" s="1" t="s">
        <v>39</v>
      </c>
      <c r="Y33" s="3">
        <v>45813.82708333333</v>
      </c>
      <c r="Z33" s="1" t="s">
        <v>40</v>
      </c>
      <c r="AA33" s="1">
        <v>1666212.0</v>
      </c>
      <c r="AB33" s="1" t="s">
        <v>55</v>
      </c>
      <c r="AC33" s="1" t="s">
        <v>55</v>
      </c>
      <c r="AD33" s="1" t="s">
        <v>208</v>
      </c>
      <c r="AE33" s="1" t="s">
        <v>44</v>
      </c>
    </row>
    <row r="34" ht="56.25" customHeight="1">
      <c r="A34" s="1">
        <v>3.7068658033805E13</v>
      </c>
      <c r="B34" s="2" t="s">
        <v>209</v>
      </c>
      <c r="C34" s="2" t="s">
        <v>210</v>
      </c>
      <c r="D34" s="1">
        <v>2.5831957007E10</v>
      </c>
      <c r="E34" s="1" t="s">
        <v>33</v>
      </c>
      <c r="F34" s="1" t="b">
        <v>1</v>
      </c>
      <c r="G34" s="1" t="s">
        <v>47</v>
      </c>
      <c r="H34" s="1" t="b">
        <v>0</v>
      </c>
      <c r="I34" s="1">
        <v>0.0</v>
      </c>
      <c r="J34" s="1">
        <v>0.0</v>
      </c>
      <c r="K34" s="1">
        <v>0.0</v>
      </c>
      <c r="L34" s="1">
        <v>3.60013317151E11</v>
      </c>
      <c r="M34" s="1" t="s">
        <v>35</v>
      </c>
      <c r="N34" s="1" t="str">
        <f t="array" ref="N34">XLOOKUP(A:A,'CategoriasSeções'!A:A,'CategoriasSeções'!B:B)</f>
        <v>APOIO ATENDIMENTO</v>
      </c>
      <c r="O34" s="1" t="s">
        <v>53</v>
      </c>
      <c r="P34" s="3">
        <v>45810.51736111111</v>
      </c>
      <c r="Q34" s="3">
        <v>45810.51736111111</v>
      </c>
      <c r="R34" s="1" t="s">
        <v>211</v>
      </c>
      <c r="S34" s="1" t="s">
        <v>211</v>
      </c>
      <c r="T34" s="1" t="s">
        <v>38</v>
      </c>
      <c r="U34" s="1" t="s">
        <v>38</v>
      </c>
      <c r="V34" s="1" t="s">
        <v>39</v>
      </c>
      <c r="W34" s="1" t="s">
        <v>69</v>
      </c>
      <c r="X34" s="1" t="s">
        <v>69</v>
      </c>
      <c r="Y34" s="3">
        <v>45810.51736111111</v>
      </c>
      <c r="AA34" s="1">
        <v>1666212.0</v>
      </c>
      <c r="AB34" s="1" t="s">
        <v>55</v>
      </c>
      <c r="AC34" s="1" t="s">
        <v>55</v>
      </c>
      <c r="AD34" s="1" t="s">
        <v>212</v>
      </c>
      <c r="AE34" s="1" t="s">
        <v>55</v>
      </c>
    </row>
    <row r="35" ht="56.25" customHeight="1">
      <c r="A35" s="1">
        <v>3.6675349937549E13</v>
      </c>
      <c r="B35" s="2" t="s">
        <v>213</v>
      </c>
      <c r="C35" s="2" t="s">
        <v>214</v>
      </c>
      <c r="D35" s="1">
        <v>2.8367526975117E13</v>
      </c>
      <c r="E35" s="1" t="s">
        <v>95</v>
      </c>
      <c r="F35" s="1" t="b">
        <v>1</v>
      </c>
      <c r="G35" s="1" t="s">
        <v>47</v>
      </c>
      <c r="H35" s="1" t="b">
        <v>0</v>
      </c>
      <c r="I35" s="1">
        <v>0.0</v>
      </c>
      <c r="J35" s="1">
        <v>0.0</v>
      </c>
      <c r="K35" s="1">
        <v>0.0</v>
      </c>
      <c r="L35" s="1">
        <v>1.0516194287885E13</v>
      </c>
      <c r="M35" s="1" t="s">
        <v>35</v>
      </c>
      <c r="N35" s="1" t="str">
        <f t="array" ref="N35">XLOOKUP(A:A,'CategoriasSeções'!A:A,'CategoriasSeções'!B:B)</f>
        <v>APOIO ATENDIMENTO</v>
      </c>
      <c r="O35" s="1" t="s">
        <v>36</v>
      </c>
      <c r="P35" s="3">
        <v>45793.79722222222</v>
      </c>
      <c r="Q35" s="3">
        <v>45793.79722222222</v>
      </c>
      <c r="R35" s="1" t="s">
        <v>215</v>
      </c>
      <c r="S35" s="1" t="s">
        <v>215</v>
      </c>
      <c r="T35" s="1" t="s">
        <v>38</v>
      </c>
      <c r="U35" s="1" t="s">
        <v>38</v>
      </c>
      <c r="V35" s="1" t="s">
        <v>75</v>
      </c>
      <c r="W35" s="1" t="s">
        <v>39</v>
      </c>
      <c r="X35" s="1" t="s">
        <v>39</v>
      </c>
      <c r="Y35" s="3">
        <v>45793.79722222222</v>
      </c>
      <c r="Z35" s="1" t="s">
        <v>40</v>
      </c>
      <c r="AA35" s="1">
        <v>1666192.0</v>
      </c>
      <c r="AB35" s="1" t="s">
        <v>55</v>
      </c>
      <c r="AC35" s="1" t="s">
        <v>55</v>
      </c>
      <c r="AD35" s="1" t="s">
        <v>216</v>
      </c>
      <c r="AE35" s="1" t="s">
        <v>44</v>
      </c>
    </row>
    <row r="36" ht="56.25" customHeight="1">
      <c r="A36" s="1">
        <v>3.6546556060813E13</v>
      </c>
      <c r="B36" s="2" t="s">
        <v>217</v>
      </c>
      <c r="C36" s="2" t="s">
        <v>218</v>
      </c>
      <c r="D36" s="1">
        <v>2.5831957007E10</v>
      </c>
      <c r="E36" s="1" t="s">
        <v>33</v>
      </c>
      <c r="F36" s="1" t="b">
        <v>1</v>
      </c>
      <c r="G36" s="1" t="s">
        <v>47</v>
      </c>
      <c r="H36" s="1" t="b">
        <v>0</v>
      </c>
      <c r="I36" s="1">
        <v>0.0</v>
      </c>
      <c r="J36" s="1">
        <v>0.0</v>
      </c>
      <c r="K36" s="1">
        <v>0.0</v>
      </c>
      <c r="L36" s="1">
        <v>3.60013317151E11</v>
      </c>
      <c r="M36" s="1" t="s">
        <v>35</v>
      </c>
      <c r="N36" s="1" t="str">
        <f t="array" ref="N36">XLOOKUP(A:A,'CategoriasSeções'!A:A,'CategoriasSeções'!B:B)</f>
        <v>APOIO ATENDIMENTO</v>
      </c>
      <c r="O36" s="1" t="s">
        <v>53</v>
      </c>
      <c r="P36" s="3">
        <v>45789.74375</v>
      </c>
      <c r="Q36" s="3">
        <v>45789.74375</v>
      </c>
      <c r="R36" s="1" t="s">
        <v>219</v>
      </c>
      <c r="S36" s="1" t="s">
        <v>219</v>
      </c>
      <c r="T36" s="1" t="s">
        <v>38</v>
      </c>
      <c r="U36" s="1" t="s">
        <v>38</v>
      </c>
      <c r="V36" s="1" t="s">
        <v>39</v>
      </c>
      <c r="W36" s="1" t="s">
        <v>69</v>
      </c>
      <c r="X36" s="1" t="s">
        <v>69</v>
      </c>
      <c r="Y36" s="3">
        <v>45789.74375</v>
      </c>
      <c r="AA36" s="1">
        <v>1666212.0</v>
      </c>
      <c r="AB36" s="1" t="s">
        <v>55</v>
      </c>
      <c r="AC36" s="1" t="s">
        <v>55</v>
      </c>
      <c r="AD36" s="1" t="s">
        <v>220</v>
      </c>
      <c r="AE36" s="1" t="s">
        <v>55</v>
      </c>
    </row>
    <row r="37" ht="56.25" customHeight="1">
      <c r="A37" s="1">
        <v>3.5520846588173E13</v>
      </c>
      <c r="B37" s="2" t="s">
        <v>221</v>
      </c>
      <c r="C37" s="2" t="s">
        <v>222</v>
      </c>
      <c r="D37" s="1">
        <v>2.5831957007E10</v>
      </c>
      <c r="E37" s="1" t="s">
        <v>33</v>
      </c>
      <c r="F37" s="1" t="b">
        <v>1</v>
      </c>
      <c r="G37" s="1" t="s">
        <v>47</v>
      </c>
      <c r="H37" s="1" t="b">
        <v>0</v>
      </c>
      <c r="I37" s="1">
        <v>0.0</v>
      </c>
      <c r="J37" s="1">
        <v>0.0</v>
      </c>
      <c r="K37" s="1">
        <v>0.0</v>
      </c>
      <c r="L37" s="1">
        <v>3.60013317151E11</v>
      </c>
      <c r="M37" s="1" t="s">
        <v>35</v>
      </c>
      <c r="N37" s="1" t="str">
        <f t="array" ref="N37">XLOOKUP(A:A,'CategoriasSeções'!A:A,'CategoriasSeções'!B:B)</f>
        <v>APOIO ATENDIMENTO</v>
      </c>
      <c r="O37" s="1" t="s">
        <v>53</v>
      </c>
      <c r="P37" s="3">
        <v>45749.62222222222</v>
      </c>
      <c r="Q37" s="3">
        <v>45749.62222222222</v>
      </c>
      <c r="R37" s="1" t="s">
        <v>223</v>
      </c>
      <c r="S37" s="1" t="s">
        <v>223</v>
      </c>
      <c r="T37" s="1" t="s">
        <v>38</v>
      </c>
      <c r="U37" s="1" t="s">
        <v>38</v>
      </c>
      <c r="V37" s="1" t="s">
        <v>39</v>
      </c>
      <c r="W37" s="1" t="s">
        <v>69</v>
      </c>
      <c r="X37" s="1" t="s">
        <v>69</v>
      </c>
      <c r="Y37" s="3">
        <v>45749.62222222222</v>
      </c>
      <c r="AA37" s="1">
        <v>1666212.0</v>
      </c>
      <c r="AB37" s="1" t="s">
        <v>224</v>
      </c>
      <c r="AC37" s="1" t="s">
        <v>55</v>
      </c>
      <c r="AD37" s="1" t="s">
        <v>225</v>
      </c>
      <c r="AE37" s="1" t="s">
        <v>55</v>
      </c>
    </row>
    <row r="38" ht="56.25" customHeight="1">
      <c r="A38" s="1">
        <v>3.5218213469069E13</v>
      </c>
      <c r="B38" s="2" t="s">
        <v>226</v>
      </c>
      <c r="C38" s="2" t="s">
        <v>227</v>
      </c>
      <c r="D38" s="1">
        <v>2.2417886859405E13</v>
      </c>
      <c r="E38" s="1" t="s">
        <v>228</v>
      </c>
      <c r="F38" s="1" t="b">
        <v>0</v>
      </c>
      <c r="G38" s="1" t="s">
        <v>34</v>
      </c>
      <c r="H38" s="1" t="b">
        <v>0</v>
      </c>
      <c r="I38" s="1">
        <v>0.0</v>
      </c>
      <c r="J38" s="1">
        <v>0.0</v>
      </c>
      <c r="K38" s="1">
        <v>0.0</v>
      </c>
      <c r="L38" s="1">
        <v>3.60010090031E11</v>
      </c>
      <c r="M38" s="1" t="s">
        <v>35</v>
      </c>
      <c r="N38" s="1" t="str">
        <f t="array" ref="N38">XLOOKUP(A:A,'CategoriasSeções'!A:A,'CategoriasSeções'!B:B)</f>
        <v>Comunicados</v>
      </c>
      <c r="O38" s="1" t="s">
        <v>229</v>
      </c>
      <c r="P38" s="3">
        <v>45737.819444444445</v>
      </c>
      <c r="Q38" s="3">
        <v>45737.819444444445</v>
      </c>
      <c r="R38" s="1" t="s">
        <v>230</v>
      </c>
      <c r="S38" s="1" t="s">
        <v>230</v>
      </c>
      <c r="T38" s="1" t="s">
        <v>38</v>
      </c>
      <c r="U38" s="1" t="s">
        <v>38</v>
      </c>
      <c r="V38" s="1" t="s">
        <v>75</v>
      </c>
      <c r="W38" s="1" t="s">
        <v>69</v>
      </c>
      <c r="X38" s="1" t="s">
        <v>69</v>
      </c>
      <c r="Y38" s="3">
        <v>45737.819444444445</v>
      </c>
      <c r="AA38" s="1">
        <v>1666192.0</v>
      </c>
      <c r="AB38" s="1" t="s">
        <v>231</v>
      </c>
      <c r="AC38" s="1" t="s">
        <v>232</v>
      </c>
      <c r="AD38" s="1" t="s">
        <v>233</v>
      </c>
      <c r="AE38" s="1" t="s">
        <v>55</v>
      </c>
    </row>
    <row r="39" ht="56.25" customHeight="1">
      <c r="A39" s="1">
        <v>3.5175755935373E13</v>
      </c>
      <c r="B39" s="2" t="s">
        <v>234</v>
      </c>
      <c r="C39" s="2" t="s">
        <v>235</v>
      </c>
      <c r="D39" s="1">
        <v>2.5831957007E10</v>
      </c>
      <c r="E39" s="1" t="s">
        <v>33</v>
      </c>
      <c r="F39" s="1" t="b">
        <v>0</v>
      </c>
      <c r="G39" s="1" t="s">
        <v>34</v>
      </c>
      <c r="H39" s="1" t="b">
        <v>0</v>
      </c>
      <c r="I39" s="1">
        <v>0.0</v>
      </c>
      <c r="J39" s="1">
        <v>0.0</v>
      </c>
      <c r="K39" s="1">
        <v>0.0</v>
      </c>
      <c r="L39" s="1">
        <v>3.60013317151E11</v>
      </c>
      <c r="M39" s="1" t="s">
        <v>35</v>
      </c>
      <c r="N39" s="1" t="str">
        <f t="array" ref="N39">XLOOKUP(A:A,'CategoriasSeções'!A:A,'CategoriasSeções'!B:B)</f>
        <v>APOIO ATENDIMENTO</v>
      </c>
      <c r="O39" s="1" t="s">
        <v>53</v>
      </c>
      <c r="P39" s="3">
        <v>45736.59930555556</v>
      </c>
      <c r="Q39" s="3">
        <v>45810.82638888889</v>
      </c>
      <c r="R39" s="1" t="s">
        <v>236</v>
      </c>
      <c r="S39" s="1" t="s">
        <v>236</v>
      </c>
      <c r="T39" s="1" t="s">
        <v>38</v>
      </c>
      <c r="U39" s="1" t="s">
        <v>38</v>
      </c>
      <c r="V39" s="1" t="s">
        <v>39</v>
      </c>
      <c r="W39" s="1" t="s">
        <v>39</v>
      </c>
      <c r="X39" s="1" t="s">
        <v>39</v>
      </c>
      <c r="Y39" s="3">
        <v>45810.82638888889</v>
      </c>
      <c r="Z39" s="1" t="s">
        <v>40</v>
      </c>
      <c r="AA39" s="1">
        <v>1666212.0</v>
      </c>
      <c r="AB39" s="1" t="s">
        <v>237</v>
      </c>
      <c r="AC39" s="1" t="s">
        <v>238</v>
      </c>
      <c r="AD39" s="1" t="s">
        <v>239</v>
      </c>
      <c r="AE39" s="1" t="s">
        <v>44</v>
      </c>
    </row>
    <row r="40" ht="56.25" customHeight="1">
      <c r="A40" s="1">
        <v>3.4794054641165E13</v>
      </c>
      <c r="B40" s="2" t="s">
        <v>240</v>
      </c>
      <c r="C40" s="2" t="s">
        <v>241</v>
      </c>
      <c r="D40" s="1">
        <v>2.8367526975117E13</v>
      </c>
      <c r="E40" s="1" t="s">
        <v>95</v>
      </c>
      <c r="F40" s="1" t="b">
        <v>1</v>
      </c>
      <c r="G40" s="1" t="s">
        <v>47</v>
      </c>
      <c r="H40" s="1" t="b">
        <v>0</v>
      </c>
      <c r="I40" s="1">
        <v>0.0</v>
      </c>
      <c r="J40" s="1">
        <v>0.0</v>
      </c>
      <c r="K40" s="1">
        <v>0.0</v>
      </c>
      <c r="L40" s="1">
        <v>1.0516194287885E13</v>
      </c>
      <c r="M40" s="1" t="s">
        <v>35</v>
      </c>
      <c r="N40" s="1" t="str">
        <f t="array" ref="N40">XLOOKUP(A:A,'CategoriasSeções'!A:A,'CategoriasSeções'!B:B)</f>
        <v>APOIO ATENDIMENTO</v>
      </c>
      <c r="O40" s="1" t="s">
        <v>36</v>
      </c>
      <c r="P40" s="3">
        <v>45722.825694444444</v>
      </c>
      <c r="Q40" s="3">
        <v>45722.825694444444</v>
      </c>
      <c r="R40" s="1" t="s">
        <v>242</v>
      </c>
      <c r="S40" s="1" t="s">
        <v>242</v>
      </c>
      <c r="T40" s="1" t="s">
        <v>38</v>
      </c>
      <c r="U40" s="1" t="s">
        <v>38</v>
      </c>
      <c r="V40" s="1" t="s">
        <v>75</v>
      </c>
      <c r="W40" s="1" t="s">
        <v>39</v>
      </c>
      <c r="X40" s="1" t="s">
        <v>39</v>
      </c>
      <c r="Y40" s="3">
        <v>45722.825694444444</v>
      </c>
      <c r="Z40" s="1" t="s">
        <v>40</v>
      </c>
      <c r="AA40" s="1">
        <v>1666192.0</v>
      </c>
      <c r="AB40" s="1" t="s">
        <v>55</v>
      </c>
      <c r="AC40" s="1" t="s">
        <v>55</v>
      </c>
      <c r="AD40" s="1" t="s">
        <v>243</v>
      </c>
      <c r="AE40" s="1" t="s">
        <v>44</v>
      </c>
    </row>
    <row r="41" ht="56.25" customHeight="1">
      <c r="A41" s="1">
        <v>3.4785884296717E13</v>
      </c>
      <c r="B41" s="2" t="s">
        <v>244</v>
      </c>
      <c r="C41" s="2" t="s">
        <v>245</v>
      </c>
      <c r="D41" s="1">
        <v>2.8367526975117E13</v>
      </c>
      <c r="E41" s="1" t="s">
        <v>95</v>
      </c>
      <c r="F41" s="1" t="b">
        <v>0</v>
      </c>
      <c r="G41" s="1" t="s">
        <v>34</v>
      </c>
      <c r="H41" s="1" t="b">
        <v>0</v>
      </c>
      <c r="I41" s="1">
        <v>0.0</v>
      </c>
      <c r="J41" s="1">
        <v>0.0</v>
      </c>
      <c r="K41" s="1">
        <v>0.0</v>
      </c>
      <c r="L41" s="1">
        <v>1.0516194287885E13</v>
      </c>
      <c r="M41" s="1" t="s">
        <v>35</v>
      </c>
      <c r="N41" s="1" t="str">
        <f t="array" ref="N41">XLOOKUP(A:A,'CategoriasSeções'!A:A,'CategoriasSeções'!B:B)</f>
        <v>APOIO ATENDIMENTO</v>
      </c>
      <c r="O41" s="1" t="s">
        <v>36</v>
      </c>
      <c r="P41" s="3">
        <v>45722.71041666667</v>
      </c>
      <c r="Q41" s="3">
        <v>45722.720138888886</v>
      </c>
      <c r="R41" s="1" t="s">
        <v>246</v>
      </c>
      <c r="S41" s="1" t="s">
        <v>246</v>
      </c>
      <c r="T41" s="1" t="s">
        <v>38</v>
      </c>
      <c r="U41" s="1" t="s">
        <v>38</v>
      </c>
      <c r="V41" s="1" t="s">
        <v>75</v>
      </c>
      <c r="W41" s="1" t="s">
        <v>39</v>
      </c>
      <c r="X41" s="1" t="s">
        <v>39</v>
      </c>
      <c r="Y41" s="3">
        <v>45722.720138888886</v>
      </c>
      <c r="Z41" s="1" t="s">
        <v>40</v>
      </c>
      <c r="AA41" s="1">
        <v>1666192.0</v>
      </c>
      <c r="AB41" s="1" t="s">
        <v>247</v>
      </c>
      <c r="AC41" s="1" t="s">
        <v>55</v>
      </c>
      <c r="AD41" s="1" t="s">
        <v>248</v>
      </c>
      <c r="AE41" s="1" t="s">
        <v>44</v>
      </c>
    </row>
    <row r="42" ht="56.25" customHeight="1">
      <c r="A42" s="1">
        <v>3.4785442835469E13</v>
      </c>
      <c r="B42" s="2" t="s">
        <v>249</v>
      </c>
      <c r="C42" s="2" t="s">
        <v>250</v>
      </c>
      <c r="D42" s="1">
        <v>3.2832086322061E13</v>
      </c>
      <c r="E42" s="1" t="s">
        <v>251</v>
      </c>
      <c r="F42" s="1" t="b">
        <v>1</v>
      </c>
      <c r="G42" s="1" t="s">
        <v>47</v>
      </c>
      <c r="H42" s="1" t="b">
        <v>0</v>
      </c>
      <c r="I42" s="1">
        <v>0.0</v>
      </c>
      <c r="J42" s="1">
        <v>0.0</v>
      </c>
      <c r="K42" s="1">
        <v>0.0</v>
      </c>
      <c r="L42" s="1">
        <v>1.0516194287885E13</v>
      </c>
      <c r="M42" s="1" t="s">
        <v>35</v>
      </c>
      <c r="N42" s="1" t="str">
        <f t="array" ref="N42">XLOOKUP(A:A,'CategoriasSeções'!A:A,'CategoriasSeções'!B:B)</f>
        <v>APOIO ATENDIMENTO</v>
      </c>
      <c r="O42" s="1" t="s">
        <v>36</v>
      </c>
      <c r="P42" s="3">
        <v>45722.70416666667</v>
      </c>
      <c r="Q42" s="3">
        <v>45722.70416666667</v>
      </c>
      <c r="R42" s="1" t="s">
        <v>252</v>
      </c>
      <c r="S42" s="1" t="s">
        <v>252</v>
      </c>
      <c r="T42" s="1" t="s">
        <v>38</v>
      </c>
      <c r="U42" s="1" t="s">
        <v>38</v>
      </c>
      <c r="V42" s="1" t="s">
        <v>75</v>
      </c>
      <c r="W42" s="1" t="s">
        <v>39</v>
      </c>
      <c r="X42" s="1" t="s">
        <v>39</v>
      </c>
      <c r="Y42" s="3">
        <v>45722.70416666667</v>
      </c>
      <c r="Z42" s="1" t="s">
        <v>40</v>
      </c>
      <c r="AA42" s="1">
        <v>1666192.0</v>
      </c>
      <c r="AB42" s="1" t="s">
        <v>253</v>
      </c>
      <c r="AC42" s="1" t="s">
        <v>254</v>
      </c>
      <c r="AD42" s="1" t="s">
        <v>255</v>
      </c>
      <c r="AE42" s="1" t="s">
        <v>44</v>
      </c>
    </row>
    <row r="43" ht="56.25" customHeight="1">
      <c r="A43" s="1">
        <v>3.4775675603213E13</v>
      </c>
      <c r="B43" s="2" t="s">
        <v>256</v>
      </c>
      <c r="C43" s="2" t="s">
        <v>257</v>
      </c>
      <c r="D43" s="1">
        <v>3.0805732434573E13</v>
      </c>
      <c r="E43" s="1" t="s">
        <v>258</v>
      </c>
      <c r="F43" s="1" t="b">
        <v>0</v>
      </c>
      <c r="G43" s="1" t="s">
        <v>34</v>
      </c>
      <c r="H43" s="1" t="b">
        <v>0</v>
      </c>
      <c r="I43" s="1">
        <v>0.0</v>
      </c>
      <c r="J43" s="1">
        <v>0.0</v>
      </c>
      <c r="K43" s="1">
        <v>0.0</v>
      </c>
      <c r="L43" s="1">
        <v>3.60013315511E11</v>
      </c>
      <c r="M43" s="1" t="s">
        <v>35</v>
      </c>
      <c r="N43" s="1" t="str">
        <f t="array" ref="N43">XLOOKUP(A:A,'CategoriasSeções'!A:A,'CategoriasSeções'!B:B)</f>
        <v>Dúvidas Gerais</v>
      </c>
      <c r="O43" s="1" t="s">
        <v>129</v>
      </c>
      <c r="P43" s="3">
        <v>45722.518055555556</v>
      </c>
      <c r="Q43" s="3">
        <v>45912.61041666667</v>
      </c>
      <c r="R43" s="1" t="s">
        <v>259</v>
      </c>
      <c r="S43" s="1" t="s">
        <v>259</v>
      </c>
      <c r="T43" s="1" t="s">
        <v>38</v>
      </c>
      <c r="U43" s="1" t="s">
        <v>38</v>
      </c>
      <c r="V43" s="1" t="s">
        <v>75</v>
      </c>
      <c r="W43" s="1" t="s">
        <v>39</v>
      </c>
      <c r="X43" s="1" t="s">
        <v>39</v>
      </c>
      <c r="Y43" s="3">
        <v>45912.61041666667</v>
      </c>
      <c r="Z43" s="1" t="s">
        <v>40</v>
      </c>
      <c r="AA43" s="1">
        <v>1666192.0</v>
      </c>
      <c r="AB43" s="1" t="s">
        <v>260</v>
      </c>
      <c r="AC43" s="1" t="s">
        <v>55</v>
      </c>
      <c r="AD43" s="1" t="s">
        <v>261</v>
      </c>
      <c r="AE43" s="1" t="s">
        <v>44</v>
      </c>
    </row>
    <row r="44" ht="56.25" customHeight="1">
      <c r="A44" s="1">
        <v>3.4753844548493E13</v>
      </c>
      <c r="B44" s="2" t="s">
        <v>262</v>
      </c>
      <c r="C44" s="2" t="s">
        <v>263</v>
      </c>
      <c r="D44" s="1">
        <v>3.0805732434573E13</v>
      </c>
      <c r="E44" s="1" t="s">
        <v>258</v>
      </c>
      <c r="F44" s="1" t="b">
        <v>0</v>
      </c>
      <c r="G44" s="1" t="s">
        <v>34</v>
      </c>
      <c r="H44" s="1" t="b">
        <v>0</v>
      </c>
      <c r="I44" s="1">
        <v>0.0</v>
      </c>
      <c r="J44" s="1">
        <v>0.0</v>
      </c>
      <c r="K44" s="1">
        <v>0.0</v>
      </c>
      <c r="L44" s="1">
        <v>1.0516194287885E13</v>
      </c>
      <c r="M44" s="1" t="s">
        <v>35</v>
      </c>
      <c r="N44" s="1" t="str">
        <f t="array" ref="N44">XLOOKUP(A:A,'CategoriasSeções'!A:A,'CategoriasSeções'!B:B)</f>
        <v>APOIO ATENDIMENTO</v>
      </c>
      <c r="O44" s="1" t="s">
        <v>36</v>
      </c>
      <c r="P44" s="3">
        <v>45721.725694444445</v>
      </c>
      <c r="Q44" s="3">
        <v>45721.725694444445</v>
      </c>
      <c r="R44" s="1" t="s">
        <v>264</v>
      </c>
      <c r="S44" s="1" t="s">
        <v>264</v>
      </c>
      <c r="T44" s="1" t="s">
        <v>38</v>
      </c>
      <c r="U44" s="1" t="s">
        <v>38</v>
      </c>
      <c r="V44" s="1" t="s">
        <v>39</v>
      </c>
      <c r="W44" s="1" t="s">
        <v>39</v>
      </c>
      <c r="X44" s="1" t="s">
        <v>39</v>
      </c>
      <c r="Y44" s="3">
        <v>45721.725694444445</v>
      </c>
      <c r="Z44" s="1" t="s">
        <v>40</v>
      </c>
      <c r="AA44" s="1">
        <v>1666212.0</v>
      </c>
      <c r="AB44" s="1" t="s">
        <v>265</v>
      </c>
      <c r="AC44" s="1" t="s">
        <v>55</v>
      </c>
      <c r="AD44" s="1" t="s">
        <v>266</v>
      </c>
      <c r="AE44" s="1" t="s">
        <v>44</v>
      </c>
    </row>
    <row r="45" ht="56.25" customHeight="1">
      <c r="A45" s="1">
        <v>3.4753608699533E13</v>
      </c>
      <c r="B45" s="2" t="s">
        <v>267</v>
      </c>
      <c r="C45" s="2" t="s">
        <v>268</v>
      </c>
      <c r="D45" s="1">
        <v>3.0805732434573E13</v>
      </c>
      <c r="E45" s="1" t="s">
        <v>258</v>
      </c>
      <c r="F45" s="1" t="b">
        <v>0</v>
      </c>
      <c r="G45" s="1" t="s">
        <v>34</v>
      </c>
      <c r="H45" s="1" t="b">
        <v>0</v>
      </c>
      <c r="I45" s="1">
        <v>0.0</v>
      </c>
      <c r="J45" s="1">
        <v>0.0</v>
      </c>
      <c r="K45" s="1">
        <v>0.0</v>
      </c>
      <c r="L45" s="1">
        <v>1.0516194287885E13</v>
      </c>
      <c r="M45" s="1" t="s">
        <v>35</v>
      </c>
      <c r="N45" s="1" t="str">
        <f t="array" ref="N45">XLOOKUP(A:A,'CategoriasSeções'!A:A,'CategoriasSeções'!B:B)</f>
        <v>APOIO ATENDIMENTO</v>
      </c>
      <c r="O45" s="1" t="s">
        <v>36</v>
      </c>
      <c r="P45" s="3">
        <v>45721.720138888886</v>
      </c>
      <c r="Q45" s="3">
        <v>45722.51875</v>
      </c>
      <c r="R45" s="1" t="s">
        <v>269</v>
      </c>
      <c r="S45" s="1" t="s">
        <v>269</v>
      </c>
      <c r="T45" s="1" t="s">
        <v>38</v>
      </c>
      <c r="U45" s="1" t="s">
        <v>38</v>
      </c>
      <c r="V45" s="1" t="s">
        <v>39</v>
      </c>
      <c r="W45" s="1" t="s">
        <v>39</v>
      </c>
      <c r="X45" s="1" t="s">
        <v>39</v>
      </c>
      <c r="Y45" s="3">
        <v>45722.51875</v>
      </c>
      <c r="Z45" s="1" t="s">
        <v>40</v>
      </c>
      <c r="AA45" s="1">
        <v>1666212.0</v>
      </c>
      <c r="AB45" s="1" t="s">
        <v>270</v>
      </c>
      <c r="AC45" s="1" t="s">
        <v>55</v>
      </c>
      <c r="AD45" s="1" t="s">
        <v>271</v>
      </c>
      <c r="AE45" s="1" t="s">
        <v>44</v>
      </c>
    </row>
    <row r="46" ht="56.25" customHeight="1">
      <c r="A46" s="1">
        <v>3.4752710223245E13</v>
      </c>
      <c r="B46" s="2" t="s">
        <v>272</v>
      </c>
      <c r="C46" s="2" t="s">
        <v>273</v>
      </c>
      <c r="D46" s="1">
        <v>3.0805732434573E13</v>
      </c>
      <c r="E46" s="1" t="s">
        <v>258</v>
      </c>
      <c r="F46" s="1" t="b">
        <v>0</v>
      </c>
      <c r="G46" s="1" t="s">
        <v>34</v>
      </c>
      <c r="H46" s="1" t="b">
        <v>0</v>
      </c>
      <c r="I46" s="1">
        <v>0.0</v>
      </c>
      <c r="J46" s="1">
        <v>0.0</v>
      </c>
      <c r="K46" s="1">
        <v>0.0</v>
      </c>
      <c r="L46" s="1">
        <v>1.0516194287885E13</v>
      </c>
      <c r="M46" s="1" t="s">
        <v>35</v>
      </c>
      <c r="N46" s="1" t="str">
        <f t="array" ref="N46">XLOOKUP(A:A,'CategoriasSeções'!A:A,'CategoriasSeções'!B:B)</f>
        <v>APOIO ATENDIMENTO</v>
      </c>
      <c r="O46" s="1" t="s">
        <v>36</v>
      </c>
      <c r="P46" s="3">
        <v>45721.705555555556</v>
      </c>
      <c r="Q46" s="3">
        <v>45722.52361111111</v>
      </c>
      <c r="R46" s="1" t="s">
        <v>274</v>
      </c>
      <c r="S46" s="1" t="s">
        <v>274</v>
      </c>
      <c r="T46" s="1" t="s">
        <v>38</v>
      </c>
      <c r="U46" s="1" t="s">
        <v>38</v>
      </c>
      <c r="V46" s="1" t="s">
        <v>39</v>
      </c>
      <c r="W46" s="1" t="s">
        <v>39</v>
      </c>
      <c r="X46" s="1" t="s">
        <v>39</v>
      </c>
      <c r="Y46" s="3">
        <v>45722.52361111111</v>
      </c>
      <c r="Z46" s="1" t="s">
        <v>40</v>
      </c>
      <c r="AA46" s="1">
        <v>1666212.0</v>
      </c>
      <c r="AB46" s="1" t="s">
        <v>275</v>
      </c>
      <c r="AC46" s="1" t="s">
        <v>55</v>
      </c>
      <c r="AD46" s="1" t="s">
        <v>276</v>
      </c>
      <c r="AE46" s="1" t="s">
        <v>44</v>
      </c>
    </row>
    <row r="47" ht="56.25" customHeight="1">
      <c r="A47" s="1">
        <v>3.4540951766413E13</v>
      </c>
      <c r="B47" s="2" t="s">
        <v>277</v>
      </c>
      <c r="C47" s="2" t="s">
        <v>278</v>
      </c>
      <c r="D47" s="1">
        <v>3.0805732434573E13</v>
      </c>
      <c r="E47" s="1" t="s">
        <v>258</v>
      </c>
      <c r="F47" s="1" t="b">
        <v>0</v>
      </c>
      <c r="G47" s="1" t="s">
        <v>34</v>
      </c>
      <c r="H47" s="1" t="b">
        <v>0</v>
      </c>
      <c r="I47" s="1">
        <v>0.0</v>
      </c>
      <c r="J47" s="1">
        <v>0.0</v>
      </c>
      <c r="K47" s="1">
        <v>0.0</v>
      </c>
      <c r="L47" s="1">
        <v>1.0516194287885E13</v>
      </c>
      <c r="M47" s="1" t="s">
        <v>35</v>
      </c>
      <c r="N47" s="1" t="str">
        <f t="array" ref="N47">XLOOKUP(A:A,'CategoriasSeções'!A:A,'CategoriasSeções'!B:B)</f>
        <v>APOIO ATENDIMENTO</v>
      </c>
      <c r="O47" s="1" t="s">
        <v>36</v>
      </c>
      <c r="P47" s="3">
        <v>45713.6375</v>
      </c>
      <c r="Q47" s="3">
        <v>45722.52013888889</v>
      </c>
      <c r="R47" s="1" t="s">
        <v>279</v>
      </c>
      <c r="S47" s="1" t="s">
        <v>279</v>
      </c>
      <c r="T47" s="1" t="s">
        <v>38</v>
      </c>
      <c r="U47" s="1" t="s">
        <v>38</v>
      </c>
      <c r="V47" s="1" t="s">
        <v>75</v>
      </c>
      <c r="W47" s="1" t="s">
        <v>39</v>
      </c>
      <c r="X47" s="1" t="s">
        <v>39</v>
      </c>
      <c r="Y47" s="3">
        <v>45722.52013888889</v>
      </c>
      <c r="Z47" s="1" t="s">
        <v>40</v>
      </c>
      <c r="AA47" s="1">
        <v>1666192.0</v>
      </c>
      <c r="AB47" s="1" t="s">
        <v>280</v>
      </c>
      <c r="AC47" s="1" t="s">
        <v>55</v>
      </c>
      <c r="AD47" s="1" t="s">
        <v>281</v>
      </c>
      <c r="AE47" s="1" t="s">
        <v>44</v>
      </c>
    </row>
    <row r="48" ht="56.25" customHeight="1">
      <c r="A48" s="1">
        <v>3.4283158492045E13</v>
      </c>
      <c r="B48" s="2" t="s">
        <v>282</v>
      </c>
      <c r="C48" s="2" t="s">
        <v>283</v>
      </c>
      <c r="D48" s="1">
        <v>2.2417886859405E13</v>
      </c>
      <c r="E48" s="1" t="s">
        <v>228</v>
      </c>
      <c r="F48" s="1" t="b">
        <v>0</v>
      </c>
      <c r="G48" s="1" t="s">
        <v>34</v>
      </c>
      <c r="H48" s="1" t="b">
        <v>0</v>
      </c>
      <c r="I48" s="1">
        <v>0.0</v>
      </c>
      <c r="J48" s="1">
        <v>0.0</v>
      </c>
      <c r="K48" s="1">
        <v>0.0</v>
      </c>
      <c r="L48" s="1">
        <v>3.60010090031E11</v>
      </c>
      <c r="M48" s="1" t="s">
        <v>35</v>
      </c>
      <c r="N48" s="1" t="str">
        <f t="array" ref="N48">XLOOKUP(A:A,'CategoriasSeções'!A:A,'CategoriasSeções'!B:B)</f>
        <v>Comunicados</v>
      </c>
      <c r="O48" s="1" t="s">
        <v>229</v>
      </c>
      <c r="P48" s="3">
        <v>45702.57986111111</v>
      </c>
      <c r="Q48" s="3">
        <v>45702.57986111111</v>
      </c>
      <c r="R48" s="1" t="s">
        <v>284</v>
      </c>
      <c r="S48" s="1" t="s">
        <v>284</v>
      </c>
      <c r="T48" s="1" t="s">
        <v>38</v>
      </c>
      <c r="U48" s="1" t="s">
        <v>38</v>
      </c>
      <c r="V48" s="1" t="s">
        <v>75</v>
      </c>
      <c r="W48" s="1" t="s">
        <v>69</v>
      </c>
      <c r="X48" s="1" t="s">
        <v>69</v>
      </c>
      <c r="Y48" s="3">
        <v>45702.57986111111</v>
      </c>
      <c r="AA48" s="1">
        <v>1666192.0</v>
      </c>
      <c r="AB48" s="1" t="s">
        <v>285</v>
      </c>
      <c r="AC48" s="1" t="s">
        <v>55</v>
      </c>
      <c r="AD48" s="1" t="s">
        <v>286</v>
      </c>
      <c r="AE48" s="1" t="s">
        <v>55</v>
      </c>
    </row>
    <row r="49" ht="56.25" customHeight="1">
      <c r="A49" s="1">
        <v>3.4283089416717E13</v>
      </c>
      <c r="B49" s="2" t="s">
        <v>287</v>
      </c>
      <c r="C49" s="2" t="s">
        <v>288</v>
      </c>
      <c r="D49" s="1">
        <v>2.2417886859405E13</v>
      </c>
      <c r="E49" s="1" t="s">
        <v>228</v>
      </c>
      <c r="F49" s="1" t="b">
        <v>0</v>
      </c>
      <c r="G49" s="1" t="s">
        <v>34</v>
      </c>
      <c r="H49" s="1" t="b">
        <v>0</v>
      </c>
      <c r="I49" s="1">
        <v>0.0</v>
      </c>
      <c r="J49" s="1">
        <v>0.0</v>
      </c>
      <c r="K49" s="1">
        <v>0.0</v>
      </c>
      <c r="L49" s="1">
        <v>3.60010090031E11</v>
      </c>
      <c r="M49" s="1" t="s">
        <v>35</v>
      </c>
      <c r="N49" s="1" t="str">
        <f t="array" ref="N49">XLOOKUP(A:A,'CategoriasSeções'!A:A,'CategoriasSeções'!B:B)</f>
        <v>Comunicados</v>
      </c>
      <c r="O49" s="1" t="s">
        <v>229</v>
      </c>
      <c r="P49" s="3">
        <v>45702.57847222222</v>
      </c>
      <c r="Q49" s="3">
        <v>45702.57847222222</v>
      </c>
      <c r="R49" s="1" t="s">
        <v>289</v>
      </c>
      <c r="S49" s="1" t="s">
        <v>289</v>
      </c>
      <c r="T49" s="1" t="s">
        <v>38</v>
      </c>
      <c r="U49" s="1" t="s">
        <v>38</v>
      </c>
      <c r="V49" s="1" t="s">
        <v>75</v>
      </c>
      <c r="W49" s="1" t="s">
        <v>69</v>
      </c>
      <c r="X49" s="1" t="s">
        <v>69</v>
      </c>
      <c r="Y49" s="3">
        <v>45702.57847222222</v>
      </c>
      <c r="AA49" s="1">
        <v>1666192.0</v>
      </c>
      <c r="AB49" s="1" t="s">
        <v>290</v>
      </c>
      <c r="AC49" s="1" t="s">
        <v>55</v>
      </c>
      <c r="AD49" s="1" t="s">
        <v>291</v>
      </c>
      <c r="AE49" s="1" t="s">
        <v>55</v>
      </c>
    </row>
    <row r="50" ht="56.25" customHeight="1">
      <c r="A50" s="1">
        <v>3.4283041708045E13</v>
      </c>
      <c r="B50" s="2" t="s">
        <v>292</v>
      </c>
      <c r="C50" s="2" t="s">
        <v>293</v>
      </c>
      <c r="D50" s="1">
        <v>2.2417886859405E13</v>
      </c>
      <c r="E50" s="1" t="s">
        <v>228</v>
      </c>
      <c r="F50" s="1" t="b">
        <v>0</v>
      </c>
      <c r="G50" s="1" t="s">
        <v>34</v>
      </c>
      <c r="H50" s="1" t="b">
        <v>0</v>
      </c>
      <c r="I50" s="1">
        <v>0.0</v>
      </c>
      <c r="J50" s="1">
        <v>0.0</v>
      </c>
      <c r="K50" s="1">
        <v>0.0</v>
      </c>
      <c r="L50" s="1">
        <v>3.60010090031E11</v>
      </c>
      <c r="M50" s="1" t="s">
        <v>35</v>
      </c>
      <c r="N50" s="1" t="str">
        <f t="array" ref="N50">XLOOKUP(A:A,'CategoriasSeções'!A:A,'CategoriasSeções'!B:B)</f>
        <v>Comunicados</v>
      </c>
      <c r="O50" s="1" t="s">
        <v>229</v>
      </c>
      <c r="P50" s="3">
        <v>45702.57638888889</v>
      </c>
      <c r="Q50" s="3">
        <v>45702.57638888889</v>
      </c>
      <c r="R50" s="1" t="s">
        <v>294</v>
      </c>
      <c r="S50" s="1" t="s">
        <v>294</v>
      </c>
      <c r="T50" s="1" t="s">
        <v>38</v>
      </c>
      <c r="U50" s="1" t="s">
        <v>38</v>
      </c>
      <c r="V50" s="1" t="s">
        <v>75</v>
      </c>
      <c r="W50" s="1" t="s">
        <v>69</v>
      </c>
      <c r="X50" s="1" t="s">
        <v>69</v>
      </c>
      <c r="Y50" s="3">
        <v>45702.57638888889</v>
      </c>
      <c r="AA50" s="1">
        <v>1666192.0</v>
      </c>
      <c r="AB50" s="1" t="s">
        <v>295</v>
      </c>
      <c r="AC50" s="1" t="s">
        <v>55</v>
      </c>
      <c r="AD50" s="1" t="s">
        <v>296</v>
      </c>
      <c r="AE50" s="1" t="s">
        <v>55</v>
      </c>
    </row>
    <row r="51" ht="56.25" customHeight="1">
      <c r="A51" s="1">
        <v>3.4282873411469E13</v>
      </c>
      <c r="B51" s="2" t="s">
        <v>297</v>
      </c>
      <c r="C51" s="2" t="s">
        <v>298</v>
      </c>
      <c r="D51" s="1">
        <v>2.2417886859405E13</v>
      </c>
      <c r="E51" s="1" t="s">
        <v>228</v>
      </c>
      <c r="F51" s="1" t="b">
        <v>0</v>
      </c>
      <c r="G51" s="1" t="s">
        <v>34</v>
      </c>
      <c r="H51" s="1" t="b">
        <v>0</v>
      </c>
      <c r="I51" s="1">
        <v>0.0</v>
      </c>
      <c r="J51" s="1">
        <v>0.0</v>
      </c>
      <c r="K51" s="1">
        <v>0.0</v>
      </c>
      <c r="L51" s="1">
        <v>3.60009969292E11</v>
      </c>
      <c r="M51" s="1" t="s">
        <v>35</v>
      </c>
      <c r="N51" s="1" t="str">
        <f t="array" ref="N51">XLOOKUP(A:A,'CategoriasSeções'!A:A,'CategoriasSeções'!B:B)</f>
        <v>Comunicados</v>
      </c>
      <c r="O51" s="1" t="s">
        <v>299</v>
      </c>
      <c r="P51" s="3">
        <v>45702.57361111111</v>
      </c>
      <c r="Q51" s="3">
        <v>45702.57361111111</v>
      </c>
      <c r="R51" s="1" t="s">
        <v>300</v>
      </c>
      <c r="S51" s="1" t="s">
        <v>300</v>
      </c>
      <c r="T51" s="1" t="s">
        <v>38</v>
      </c>
      <c r="U51" s="1" t="s">
        <v>38</v>
      </c>
      <c r="V51" s="1" t="s">
        <v>75</v>
      </c>
      <c r="W51" s="1" t="s">
        <v>69</v>
      </c>
      <c r="X51" s="1" t="s">
        <v>69</v>
      </c>
      <c r="Y51" s="3">
        <v>45702.57361111111</v>
      </c>
      <c r="AA51" s="1">
        <v>1666192.0</v>
      </c>
      <c r="AB51" s="1" t="s">
        <v>301</v>
      </c>
      <c r="AC51" s="1" t="s">
        <v>55</v>
      </c>
      <c r="AD51" s="1" t="s">
        <v>302</v>
      </c>
      <c r="AE51" s="1" t="s">
        <v>55</v>
      </c>
    </row>
    <row r="52" ht="56.25" customHeight="1">
      <c r="A52" s="1">
        <v>3.3908704901645E13</v>
      </c>
      <c r="B52" s="2" t="s">
        <v>303</v>
      </c>
      <c r="C52" s="2" t="s">
        <v>304</v>
      </c>
      <c r="D52" s="1">
        <v>2.2417886859405E13</v>
      </c>
      <c r="E52" s="1" t="s">
        <v>228</v>
      </c>
      <c r="F52" s="1" t="b">
        <v>0</v>
      </c>
      <c r="G52" s="1" t="s">
        <v>34</v>
      </c>
      <c r="H52" s="1" t="b">
        <v>0</v>
      </c>
      <c r="I52" s="1">
        <v>0.0</v>
      </c>
      <c r="J52" s="1">
        <v>0.0</v>
      </c>
      <c r="K52" s="1">
        <v>0.0</v>
      </c>
      <c r="L52" s="1">
        <v>1.0516194287885E13</v>
      </c>
      <c r="M52" s="1" t="s">
        <v>35</v>
      </c>
      <c r="N52" s="1" t="str">
        <f t="array" ref="N52">XLOOKUP(A:A,'CategoriasSeções'!A:A,'CategoriasSeções'!B:B)</f>
        <v>APOIO ATENDIMENTO</v>
      </c>
      <c r="O52" s="1" t="s">
        <v>36</v>
      </c>
      <c r="P52" s="3">
        <v>45687.57847222222</v>
      </c>
      <c r="Q52" s="3">
        <v>45687.57847222222</v>
      </c>
      <c r="R52" s="1" t="s">
        <v>305</v>
      </c>
      <c r="S52" s="1" t="s">
        <v>305</v>
      </c>
      <c r="T52" s="1" t="s">
        <v>38</v>
      </c>
      <c r="U52" s="1" t="s">
        <v>38</v>
      </c>
      <c r="V52" s="1" t="s">
        <v>75</v>
      </c>
      <c r="W52" s="1" t="s">
        <v>39</v>
      </c>
      <c r="X52" s="1" t="s">
        <v>39</v>
      </c>
      <c r="Y52" s="3">
        <v>45687.57847222222</v>
      </c>
      <c r="Z52" s="1" t="s">
        <v>40</v>
      </c>
      <c r="AA52" s="1">
        <v>1666192.0</v>
      </c>
      <c r="AB52" s="1" t="s">
        <v>306</v>
      </c>
      <c r="AC52" s="1" t="s">
        <v>307</v>
      </c>
      <c r="AD52" s="1" t="s">
        <v>308</v>
      </c>
      <c r="AE52" s="1" t="s">
        <v>44</v>
      </c>
    </row>
    <row r="53" ht="56.25" customHeight="1">
      <c r="A53" s="1">
        <v>3.2752013473421E13</v>
      </c>
      <c r="B53" s="2" t="s">
        <v>309</v>
      </c>
      <c r="C53" s="2" t="s">
        <v>310</v>
      </c>
      <c r="D53" s="1">
        <v>2.2417886859405E13</v>
      </c>
      <c r="E53" s="1" t="s">
        <v>228</v>
      </c>
      <c r="F53" s="1" t="b">
        <v>0</v>
      </c>
      <c r="G53" s="1" t="s">
        <v>34</v>
      </c>
      <c r="H53" s="1" t="b">
        <v>0</v>
      </c>
      <c r="I53" s="1">
        <v>0.0</v>
      </c>
      <c r="J53" s="1">
        <v>0.0</v>
      </c>
      <c r="K53" s="1">
        <v>0.0</v>
      </c>
      <c r="L53" s="1">
        <v>1.0516194287885E13</v>
      </c>
      <c r="M53" s="1" t="s">
        <v>35</v>
      </c>
      <c r="N53" s="1" t="str">
        <f t="array" ref="N53">XLOOKUP(A:A,'CategoriasSeções'!A:A,'CategoriasSeções'!B:B)</f>
        <v>APOIO ATENDIMENTO</v>
      </c>
      <c r="O53" s="1" t="s">
        <v>36</v>
      </c>
      <c r="P53" s="12">
        <v>45642.61875</v>
      </c>
      <c r="Q53" s="12">
        <v>45642.691666666666</v>
      </c>
      <c r="R53" s="1" t="s">
        <v>311</v>
      </c>
      <c r="S53" s="1" t="s">
        <v>311</v>
      </c>
      <c r="T53" s="1" t="s">
        <v>38</v>
      </c>
      <c r="U53" s="1" t="s">
        <v>38</v>
      </c>
      <c r="V53" s="1" t="s">
        <v>75</v>
      </c>
      <c r="W53" s="1" t="s">
        <v>39</v>
      </c>
      <c r="X53" s="1" t="s">
        <v>39</v>
      </c>
      <c r="Y53" s="12">
        <v>45642.691666666666</v>
      </c>
      <c r="Z53" s="1" t="s">
        <v>40</v>
      </c>
      <c r="AA53" s="1">
        <v>1666192.0</v>
      </c>
      <c r="AB53" s="1" t="s">
        <v>312</v>
      </c>
      <c r="AC53" s="1" t="s">
        <v>313</v>
      </c>
      <c r="AD53" s="1" t="s">
        <v>314</v>
      </c>
      <c r="AE53" s="1" t="s">
        <v>44</v>
      </c>
    </row>
    <row r="54" ht="56.25" customHeight="1">
      <c r="A54" s="1">
        <v>3.1609567057421E13</v>
      </c>
      <c r="B54" s="2" t="s">
        <v>315</v>
      </c>
      <c r="C54" s="2" t="s">
        <v>316</v>
      </c>
      <c r="D54" s="1">
        <v>3.1110021937421E13</v>
      </c>
      <c r="E54" s="1" t="s">
        <v>206</v>
      </c>
      <c r="F54" s="1" t="b">
        <v>1</v>
      </c>
      <c r="G54" s="1" t="s">
        <v>47</v>
      </c>
      <c r="H54" s="1" t="b">
        <v>0</v>
      </c>
      <c r="I54" s="1">
        <v>0.0</v>
      </c>
      <c r="J54" s="1">
        <v>0.0</v>
      </c>
      <c r="K54" s="1">
        <v>0.0</v>
      </c>
      <c r="L54" s="1">
        <v>1.0516194287885E13</v>
      </c>
      <c r="M54" s="1" t="s">
        <v>35</v>
      </c>
      <c r="N54" s="1" t="str">
        <f t="array" ref="N54">XLOOKUP(A:A,'CategoriasSeções'!A:A,'CategoriasSeções'!B:B)</f>
        <v>APOIO ATENDIMENTO</v>
      </c>
      <c r="O54" s="1" t="s">
        <v>36</v>
      </c>
      <c r="P54" s="3">
        <v>45600.89722222222</v>
      </c>
      <c r="Q54" s="3">
        <v>45749.69097222222</v>
      </c>
      <c r="R54" s="1" t="s">
        <v>317</v>
      </c>
      <c r="S54" s="1" t="s">
        <v>317</v>
      </c>
      <c r="T54" s="1" t="s">
        <v>38</v>
      </c>
      <c r="U54" s="1" t="s">
        <v>38</v>
      </c>
      <c r="V54" s="1" t="s">
        <v>39</v>
      </c>
      <c r="W54" s="1" t="s">
        <v>39</v>
      </c>
      <c r="X54" s="1" t="s">
        <v>39</v>
      </c>
      <c r="Y54" s="3">
        <v>45749.69097222222</v>
      </c>
      <c r="Z54" s="1" t="s">
        <v>40</v>
      </c>
      <c r="AA54" s="1">
        <v>1666212.0</v>
      </c>
      <c r="AB54" s="1" t="s">
        <v>318</v>
      </c>
      <c r="AC54" s="1" t="s">
        <v>55</v>
      </c>
      <c r="AD54" s="1" t="s">
        <v>319</v>
      </c>
      <c r="AE54" s="1" t="s">
        <v>44</v>
      </c>
    </row>
    <row r="55" ht="56.25" customHeight="1">
      <c r="A55" s="1">
        <v>3.0609408808973E13</v>
      </c>
      <c r="B55" s="2" t="s">
        <v>320</v>
      </c>
      <c r="C55" s="2" t="s">
        <v>321</v>
      </c>
      <c r="D55" s="1">
        <v>2.8367526975117E13</v>
      </c>
      <c r="E55" s="1" t="s">
        <v>95</v>
      </c>
      <c r="F55" s="1" t="b">
        <v>1</v>
      </c>
      <c r="G55" s="1" t="s">
        <v>47</v>
      </c>
      <c r="H55" s="1" t="b">
        <v>0</v>
      </c>
      <c r="I55" s="1">
        <v>0.0</v>
      </c>
      <c r="J55" s="1">
        <v>0.0</v>
      </c>
      <c r="K55" s="1">
        <v>0.0</v>
      </c>
      <c r="L55" s="1">
        <v>3.60013317151E11</v>
      </c>
      <c r="M55" s="1" t="s">
        <v>35</v>
      </c>
      <c r="N55" s="1" t="str">
        <f t="array" ref="N55">XLOOKUP(A:A,'CategoriasSeções'!A:A,'CategoriasSeções'!B:B)</f>
        <v>APOIO ATENDIMENTO</v>
      </c>
      <c r="O55" s="1" t="s">
        <v>53</v>
      </c>
      <c r="P55" s="3">
        <v>45562.490277777775</v>
      </c>
      <c r="Q55" s="3">
        <v>45562.490277777775</v>
      </c>
      <c r="R55" s="1" t="s">
        <v>322</v>
      </c>
      <c r="S55" s="1" t="s">
        <v>322</v>
      </c>
      <c r="T55" s="1" t="s">
        <v>38</v>
      </c>
      <c r="U55" s="1" t="s">
        <v>38</v>
      </c>
      <c r="V55" s="1" t="s">
        <v>75</v>
      </c>
      <c r="W55" s="1" t="s">
        <v>39</v>
      </c>
      <c r="X55" s="1" t="s">
        <v>39</v>
      </c>
      <c r="Y55" s="3">
        <v>45562.490277777775</v>
      </c>
      <c r="Z55" s="1" t="s">
        <v>40</v>
      </c>
      <c r="AA55" s="1">
        <v>1666192.0</v>
      </c>
      <c r="AB55" s="1" t="s">
        <v>323</v>
      </c>
      <c r="AC55" s="1" t="s">
        <v>324</v>
      </c>
      <c r="AD55" s="1" t="s">
        <v>325</v>
      </c>
      <c r="AE55" s="1" t="s">
        <v>44</v>
      </c>
    </row>
    <row r="56" ht="56.25" customHeight="1">
      <c r="A56" s="1">
        <v>2.9462863199501E13</v>
      </c>
      <c r="B56" s="2" t="s">
        <v>326</v>
      </c>
      <c r="C56" s="2" t="s">
        <v>327</v>
      </c>
      <c r="D56" s="1">
        <v>2.2417886859405E13</v>
      </c>
      <c r="E56" s="1" t="s">
        <v>228</v>
      </c>
      <c r="F56" s="1" t="b">
        <v>0</v>
      </c>
      <c r="G56" s="1" t="s">
        <v>34</v>
      </c>
      <c r="H56" s="1" t="b">
        <v>0</v>
      </c>
      <c r="I56" s="1">
        <v>0.0</v>
      </c>
      <c r="J56" s="1">
        <v>0.0</v>
      </c>
      <c r="K56" s="1">
        <v>0.0</v>
      </c>
      <c r="L56" s="1">
        <v>3.60010154272E11</v>
      </c>
      <c r="M56" s="1" t="s">
        <v>35</v>
      </c>
      <c r="N56" s="1" t="str">
        <f t="array" ref="N56">XLOOKUP(A:A,'CategoriasSeções'!A:A,'CategoriasSeções'!B:B)</f>
        <v>Dúvidas Gerais</v>
      </c>
      <c r="O56" s="1" t="s">
        <v>85</v>
      </c>
      <c r="P56" s="3">
        <v>45525.64375</v>
      </c>
      <c r="Q56" s="3">
        <v>45525.645833333336</v>
      </c>
      <c r="R56" s="1" t="s">
        <v>328</v>
      </c>
      <c r="S56" s="1" t="s">
        <v>328</v>
      </c>
      <c r="T56" s="1" t="s">
        <v>38</v>
      </c>
      <c r="U56" s="1" t="s">
        <v>38</v>
      </c>
      <c r="V56" s="1" t="s">
        <v>75</v>
      </c>
      <c r="W56" s="1" t="s">
        <v>69</v>
      </c>
      <c r="X56" s="1" t="s">
        <v>69</v>
      </c>
      <c r="Y56" s="3">
        <v>45525.645833333336</v>
      </c>
      <c r="AA56" s="1">
        <v>1666192.0</v>
      </c>
      <c r="AB56" s="1" t="s">
        <v>329</v>
      </c>
      <c r="AC56" s="1" t="s">
        <v>330</v>
      </c>
      <c r="AD56" s="1" t="s">
        <v>331</v>
      </c>
      <c r="AE56" s="1" t="s">
        <v>55</v>
      </c>
    </row>
    <row r="57" ht="56.25" customHeight="1">
      <c r="A57" s="1">
        <v>2.9407516852109E13</v>
      </c>
      <c r="B57" s="2" t="s">
        <v>332</v>
      </c>
      <c r="C57" s="2" t="s">
        <v>333</v>
      </c>
      <c r="D57" s="1">
        <v>5.939921558925E12</v>
      </c>
      <c r="E57" s="1" t="s">
        <v>84</v>
      </c>
      <c r="F57" s="1" t="b">
        <v>0</v>
      </c>
      <c r="G57" s="1" t="s">
        <v>34</v>
      </c>
      <c r="H57" s="1" t="b">
        <v>0</v>
      </c>
      <c r="I57" s="1">
        <v>0.0</v>
      </c>
      <c r="J57" s="1">
        <v>0.0</v>
      </c>
      <c r="K57" s="1">
        <v>0.0</v>
      </c>
      <c r="L57" s="1">
        <v>1.0516194287885E13</v>
      </c>
      <c r="M57" s="1" t="s">
        <v>35</v>
      </c>
      <c r="N57" s="1" t="str">
        <f t="array" ref="N57">XLOOKUP(A:A,'CategoriasSeções'!A:A,'CategoriasSeções'!B:B)</f>
        <v>APOIO ATENDIMENTO</v>
      </c>
      <c r="O57" s="1" t="s">
        <v>36</v>
      </c>
      <c r="P57" s="3">
        <v>45523.90347222222</v>
      </c>
      <c r="Q57" s="3">
        <v>45714.822916666664</v>
      </c>
      <c r="R57" s="1" t="s">
        <v>334</v>
      </c>
      <c r="S57" s="1" t="s">
        <v>334</v>
      </c>
      <c r="T57" s="1" t="s">
        <v>38</v>
      </c>
      <c r="U57" s="1" t="s">
        <v>38</v>
      </c>
      <c r="V57" s="1" t="s">
        <v>75</v>
      </c>
      <c r="W57" s="1" t="s">
        <v>69</v>
      </c>
      <c r="X57" s="1" t="s">
        <v>69</v>
      </c>
      <c r="Y57" s="3">
        <v>45530.870833333334</v>
      </c>
      <c r="AA57" s="1">
        <v>1666192.0</v>
      </c>
      <c r="AB57" s="1" t="s">
        <v>335</v>
      </c>
      <c r="AC57" s="1" t="s">
        <v>336</v>
      </c>
      <c r="AD57" s="1" t="s">
        <v>337</v>
      </c>
      <c r="AE57" s="1" t="s">
        <v>55</v>
      </c>
    </row>
    <row r="58" ht="56.25" customHeight="1">
      <c r="A58" s="1">
        <v>2.9368705103245E13</v>
      </c>
      <c r="B58" s="2" t="s">
        <v>338</v>
      </c>
      <c r="C58" s="2" t="s">
        <v>339</v>
      </c>
      <c r="D58" s="1">
        <v>2.2417886859405E13</v>
      </c>
      <c r="E58" s="1" t="s">
        <v>228</v>
      </c>
      <c r="F58" s="1" t="b">
        <v>0</v>
      </c>
      <c r="G58" s="1" t="s">
        <v>34</v>
      </c>
      <c r="H58" s="1" t="b">
        <v>0</v>
      </c>
      <c r="I58" s="1">
        <v>0.0</v>
      </c>
      <c r="J58" s="1">
        <v>0.0</v>
      </c>
      <c r="K58" s="1">
        <v>0.0</v>
      </c>
      <c r="L58" s="1">
        <v>1.0516194287885E13</v>
      </c>
      <c r="M58" s="1" t="s">
        <v>35</v>
      </c>
      <c r="N58" s="1" t="str">
        <f t="array" ref="N58">XLOOKUP(A:A,'CategoriasSeções'!A:A,'CategoriasSeções'!B:B)</f>
        <v>APOIO ATENDIMENTO</v>
      </c>
      <c r="O58" s="1" t="s">
        <v>36</v>
      </c>
      <c r="P58" s="3">
        <v>45522.475</v>
      </c>
      <c r="Q58" s="3">
        <v>45522.51666666667</v>
      </c>
      <c r="R58" s="1" t="s">
        <v>340</v>
      </c>
      <c r="S58" s="1" t="s">
        <v>340</v>
      </c>
      <c r="T58" s="1" t="s">
        <v>38</v>
      </c>
      <c r="U58" s="1" t="s">
        <v>38</v>
      </c>
      <c r="V58" s="1" t="s">
        <v>39</v>
      </c>
      <c r="W58" s="1" t="s">
        <v>39</v>
      </c>
      <c r="X58" s="1" t="s">
        <v>39</v>
      </c>
      <c r="Y58" s="3">
        <v>45522.51597222222</v>
      </c>
      <c r="Z58" s="1" t="s">
        <v>40</v>
      </c>
      <c r="AA58" s="1">
        <v>1666212.0</v>
      </c>
      <c r="AB58" s="1" t="s">
        <v>341</v>
      </c>
      <c r="AC58" s="1" t="s">
        <v>342</v>
      </c>
      <c r="AD58" s="1" t="s">
        <v>343</v>
      </c>
      <c r="AE58" s="1" t="s">
        <v>44</v>
      </c>
    </row>
    <row r="59" ht="56.25" customHeight="1">
      <c r="A59" s="1">
        <v>2.8274881247117E13</v>
      </c>
      <c r="B59" s="2" t="s">
        <v>344</v>
      </c>
      <c r="C59" s="2" t="s">
        <v>345</v>
      </c>
      <c r="D59" s="1">
        <v>2.2417886859405E13</v>
      </c>
      <c r="E59" s="1" t="s">
        <v>228</v>
      </c>
      <c r="F59" s="1" t="b">
        <v>0</v>
      </c>
      <c r="G59" s="1" t="s">
        <v>34</v>
      </c>
      <c r="H59" s="1" t="b">
        <v>0</v>
      </c>
      <c r="I59" s="1">
        <v>0.0</v>
      </c>
      <c r="J59" s="1">
        <v>0.0</v>
      </c>
      <c r="K59" s="1">
        <v>0.0</v>
      </c>
      <c r="L59" s="1">
        <v>1.0516194287885E13</v>
      </c>
      <c r="M59" s="1" t="s">
        <v>35</v>
      </c>
      <c r="N59" s="1" t="str">
        <f t="array" ref="N59">XLOOKUP(A:A,'CategoriasSeções'!A:A,'CategoriasSeções'!B:B)</f>
        <v>APOIO ATENDIMENTO</v>
      </c>
      <c r="O59" s="1" t="s">
        <v>36</v>
      </c>
      <c r="P59" s="3">
        <v>45482.83541666667</v>
      </c>
      <c r="Q59" s="3">
        <v>45482.83611111111</v>
      </c>
      <c r="R59" s="1" t="s">
        <v>346</v>
      </c>
      <c r="S59" s="1" t="s">
        <v>346</v>
      </c>
      <c r="T59" s="1" t="s">
        <v>38</v>
      </c>
      <c r="U59" s="1" t="s">
        <v>38</v>
      </c>
      <c r="V59" s="1" t="s">
        <v>75</v>
      </c>
      <c r="W59" s="1" t="s">
        <v>39</v>
      </c>
      <c r="X59" s="1" t="s">
        <v>39</v>
      </c>
      <c r="Y59" s="3">
        <v>45482.83611111111</v>
      </c>
      <c r="Z59" s="1" t="s">
        <v>40</v>
      </c>
      <c r="AA59" s="1">
        <v>1666192.0</v>
      </c>
      <c r="AB59" s="1" t="s">
        <v>55</v>
      </c>
      <c r="AC59" s="1" t="s">
        <v>347</v>
      </c>
      <c r="AD59" s="1" t="s">
        <v>348</v>
      </c>
      <c r="AE59" s="1" t="s">
        <v>44</v>
      </c>
    </row>
    <row r="60" ht="56.25" customHeight="1">
      <c r="A60" s="1">
        <v>2.8261675994253E13</v>
      </c>
      <c r="B60" s="2" t="s">
        <v>349</v>
      </c>
      <c r="C60" s="2" t="s">
        <v>350</v>
      </c>
      <c r="D60" s="1">
        <v>2.2417886859405E13</v>
      </c>
      <c r="E60" s="1" t="s">
        <v>228</v>
      </c>
      <c r="F60" s="1" t="b">
        <v>0</v>
      </c>
      <c r="G60" s="1" t="s">
        <v>34</v>
      </c>
      <c r="H60" s="1" t="b">
        <v>0</v>
      </c>
      <c r="I60" s="1">
        <v>0.0</v>
      </c>
      <c r="J60" s="1">
        <v>0.0</v>
      </c>
      <c r="K60" s="1">
        <v>0.0</v>
      </c>
      <c r="L60" s="1">
        <v>1.0516194287885E13</v>
      </c>
      <c r="M60" s="1" t="s">
        <v>35</v>
      </c>
      <c r="N60" s="1" t="str">
        <f t="array" ref="N60">XLOOKUP(A:A,'CategoriasSeções'!A:A,'CategoriasSeções'!B:B)</f>
        <v>APOIO ATENDIMENTO</v>
      </c>
      <c r="O60" s="1" t="s">
        <v>36</v>
      </c>
      <c r="P60" s="3">
        <v>45482.575</v>
      </c>
      <c r="Q60" s="3">
        <v>45482.78958333333</v>
      </c>
      <c r="R60" s="1" t="s">
        <v>351</v>
      </c>
      <c r="S60" s="1" t="s">
        <v>351</v>
      </c>
      <c r="T60" s="1" t="s">
        <v>38</v>
      </c>
      <c r="U60" s="1" t="s">
        <v>38</v>
      </c>
      <c r="V60" s="1" t="s">
        <v>75</v>
      </c>
      <c r="W60" s="1" t="s">
        <v>39</v>
      </c>
      <c r="X60" s="1" t="s">
        <v>39</v>
      </c>
      <c r="Y60" s="3">
        <v>45482.575694444444</v>
      </c>
      <c r="Z60" s="1" t="s">
        <v>40</v>
      </c>
      <c r="AA60" s="1">
        <v>1666192.0</v>
      </c>
      <c r="AB60" s="1" t="s">
        <v>55</v>
      </c>
      <c r="AC60" s="1" t="s">
        <v>352</v>
      </c>
      <c r="AD60" s="1" t="s">
        <v>353</v>
      </c>
      <c r="AE60" s="1" t="s">
        <v>44</v>
      </c>
    </row>
    <row r="61" ht="56.25" customHeight="1">
      <c r="A61" s="1">
        <v>2.8123310185997E13</v>
      </c>
      <c r="B61" s="2" t="s">
        <v>354</v>
      </c>
      <c r="C61" s="2" t="s">
        <v>355</v>
      </c>
      <c r="D61" s="1">
        <v>5.939921558925E12</v>
      </c>
      <c r="E61" s="1" t="s">
        <v>84</v>
      </c>
      <c r="F61" s="1" t="b">
        <v>0</v>
      </c>
      <c r="G61" s="1" t="s">
        <v>34</v>
      </c>
      <c r="H61" s="1" t="b">
        <v>0</v>
      </c>
      <c r="I61" s="1">
        <v>0.0</v>
      </c>
      <c r="J61" s="1">
        <v>0.0</v>
      </c>
      <c r="K61" s="1">
        <v>0.0</v>
      </c>
      <c r="L61" s="1">
        <v>1.0516194287885E13</v>
      </c>
      <c r="M61" s="1" t="s">
        <v>35</v>
      </c>
      <c r="N61" s="1" t="str">
        <f t="array" ref="N61">XLOOKUP(A:A,'CategoriasSeções'!A:A,'CategoriasSeções'!B:B)</f>
        <v>APOIO ATENDIMENTO</v>
      </c>
      <c r="O61" s="1" t="s">
        <v>36</v>
      </c>
      <c r="P61" s="3">
        <v>45476.816666666666</v>
      </c>
      <c r="Q61" s="3">
        <v>45722.52638888889</v>
      </c>
      <c r="R61" s="1" t="s">
        <v>356</v>
      </c>
      <c r="S61" s="1" t="s">
        <v>356</v>
      </c>
      <c r="T61" s="1" t="s">
        <v>38</v>
      </c>
      <c r="U61" s="1" t="s">
        <v>38</v>
      </c>
      <c r="V61" s="1" t="s">
        <v>75</v>
      </c>
      <c r="W61" s="1" t="s">
        <v>69</v>
      </c>
      <c r="X61" s="1" t="s">
        <v>69</v>
      </c>
      <c r="Y61" s="3">
        <v>45722.52638888889</v>
      </c>
      <c r="AA61" s="1">
        <v>1666192.0</v>
      </c>
      <c r="AB61" s="1" t="s">
        <v>55</v>
      </c>
      <c r="AC61" s="1" t="s">
        <v>357</v>
      </c>
      <c r="AD61" s="1" t="s">
        <v>358</v>
      </c>
      <c r="AE61" s="1" t="s">
        <v>55</v>
      </c>
    </row>
    <row r="62" ht="56.25" customHeight="1">
      <c r="A62" s="1">
        <v>2.7948299859213E13</v>
      </c>
      <c r="B62" s="2" t="s">
        <v>359</v>
      </c>
      <c r="C62" s="2" t="s">
        <v>360</v>
      </c>
      <c r="D62" s="1">
        <v>5.939921558925E12</v>
      </c>
      <c r="E62" s="1" t="s">
        <v>84</v>
      </c>
      <c r="F62" s="1" t="b">
        <v>0</v>
      </c>
      <c r="G62" s="1" t="s">
        <v>34</v>
      </c>
      <c r="H62" s="1" t="b">
        <v>0</v>
      </c>
      <c r="I62" s="1">
        <v>0.0</v>
      </c>
      <c r="J62" s="1">
        <v>0.0</v>
      </c>
      <c r="K62" s="1">
        <v>0.0</v>
      </c>
      <c r="L62" s="1">
        <v>3.60013202392E11</v>
      </c>
      <c r="M62" s="1" t="s">
        <v>35</v>
      </c>
      <c r="N62" s="1" t="str">
        <f t="array" ref="N62">XLOOKUP(A:A,'CategoriasSeções'!A:A,'CategoriasSeções'!B:B)</f>
        <v>Dúvidas Gerais</v>
      </c>
      <c r="O62" s="1" t="s">
        <v>116</v>
      </c>
      <c r="P62" s="3">
        <v>45470.709027777775</v>
      </c>
      <c r="Q62" s="12">
        <v>45954.896527777775</v>
      </c>
      <c r="R62" s="1" t="s">
        <v>361</v>
      </c>
      <c r="S62" s="1" t="s">
        <v>361</v>
      </c>
      <c r="T62" s="1" t="s">
        <v>38</v>
      </c>
      <c r="U62" s="1" t="s">
        <v>38</v>
      </c>
      <c r="V62" s="1" t="s">
        <v>75</v>
      </c>
      <c r="W62" s="1" t="s">
        <v>69</v>
      </c>
      <c r="X62" s="1" t="s">
        <v>69</v>
      </c>
      <c r="Y62" s="12">
        <v>45954.896527777775</v>
      </c>
      <c r="AA62" s="1">
        <v>1666192.0</v>
      </c>
      <c r="AB62" s="1" t="s">
        <v>362</v>
      </c>
      <c r="AC62" s="1" t="s">
        <v>363</v>
      </c>
      <c r="AD62" s="1" t="s">
        <v>364</v>
      </c>
      <c r="AE62" s="1" t="s">
        <v>55</v>
      </c>
    </row>
    <row r="63" ht="56.25" customHeight="1">
      <c r="A63" s="1">
        <v>2.7772709459853E13</v>
      </c>
      <c r="B63" s="2" t="s">
        <v>365</v>
      </c>
      <c r="C63" s="2" t="s">
        <v>366</v>
      </c>
      <c r="D63" s="1">
        <v>2.2417886859405E13</v>
      </c>
      <c r="E63" s="1" t="s">
        <v>228</v>
      </c>
      <c r="F63" s="1" t="b">
        <v>0</v>
      </c>
      <c r="G63" s="1" t="s">
        <v>34</v>
      </c>
      <c r="H63" s="1" t="b">
        <v>0</v>
      </c>
      <c r="I63" s="1">
        <v>0.0</v>
      </c>
      <c r="J63" s="1">
        <v>0.0</v>
      </c>
      <c r="K63" s="1">
        <v>0.0</v>
      </c>
      <c r="L63" s="1">
        <v>1.0516194287885E13</v>
      </c>
      <c r="M63" s="1" t="s">
        <v>35</v>
      </c>
      <c r="N63" s="1" t="str">
        <f t="array" ref="N63">XLOOKUP(A:A,'CategoriasSeções'!A:A,'CategoriasSeções'!B:B)</f>
        <v>APOIO ATENDIMENTO</v>
      </c>
      <c r="O63" s="1" t="s">
        <v>36</v>
      </c>
      <c r="P63" s="3">
        <v>45464.73402777778</v>
      </c>
      <c r="Q63" s="3">
        <v>45464.73472222222</v>
      </c>
      <c r="R63" s="1" t="s">
        <v>367</v>
      </c>
      <c r="S63" s="1" t="s">
        <v>367</v>
      </c>
      <c r="T63" s="1" t="s">
        <v>38</v>
      </c>
      <c r="U63" s="1" t="s">
        <v>38</v>
      </c>
      <c r="V63" s="1" t="s">
        <v>75</v>
      </c>
      <c r="W63" s="1" t="s">
        <v>39</v>
      </c>
      <c r="X63" s="1" t="s">
        <v>39</v>
      </c>
      <c r="Y63" s="3">
        <v>45464.73472222222</v>
      </c>
      <c r="Z63" s="1" t="s">
        <v>40</v>
      </c>
      <c r="AA63" s="1">
        <v>1666192.0</v>
      </c>
      <c r="AB63" s="1" t="s">
        <v>368</v>
      </c>
      <c r="AC63" s="1" t="s">
        <v>369</v>
      </c>
      <c r="AD63" s="1" t="s">
        <v>370</v>
      </c>
      <c r="AE63" s="1" t="s">
        <v>44</v>
      </c>
    </row>
    <row r="64" ht="56.25" customHeight="1">
      <c r="A64" s="1">
        <v>2.7707345547405E13</v>
      </c>
      <c r="B64" s="2" t="s">
        <v>371</v>
      </c>
      <c r="C64" s="2" t="s">
        <v>372</v>
      </c>
      <c r="D64" s="1">
        <v>2.2417886859405E13</v>
      </c>
      <c r="E64" s="1" t="s">
        <v>228</v>
      </c>
      <c r="F64" s="1" t="b">
        <v>0</v>
      </c>
      <c r="G64" s="1" t="s">
        <v>34</v>
      </c>
      <c r="H64" s="1" t="b">
        <v>0</v>
      </c>
      <c r="I64" s="1">
        <v>0.0</v>
      </c>
      <c r="J64" s="1">
        <v>0.0</v>
      </c>
      <c r="K64" s="1">
        <v>0.0</v>
      </c>
      <c r="L64" s="1">
        <v>1.0516194287885E13</v>
      </c>
      <c r="M64" s="1" t="s">
        <v>35</v>
      </c>
      <c r="N64" s="1" t="str">
        <f t="array" ref="N64">XLOOKUP(A:A,'CategoriasSeções'!A:A,'CategoriasSeções'!B:B)</f>
        <v>APOIO ATENDIMENTO</v>
      </c>
      <c r="O64" s="1" t="s">
        <v>36</v>
      </c>
      <c r="P64" s="3">
        <v>45462.69652777778</v>
      </c>
      <c r="Q64" s="3">
        <v>45462.69652777778</v>
      </c>
      <c r="R64" s="1" t="s">
        <v>373</v>
      </c>
      <c r="S64" s="1" t="s">
        <v>373</v>
      </c>
      <c r="T64" s="1" t="s">
        <v>38</v>
      </c>
      <c r="U64" s="1" t="s">
        <v>38</v>
      </c>
      <c r="V64" s="1" t="s">
        <v>75</v>
      </c>
      <c r="W64" s="1" t="s">
        <v>39</v>
      </c>
      <c r="X64" s="1" t="s">
        <v>39</v>
      </c>
      <c r="Y64" s="3">
        <v>45462.69652777778</v>
      </c>
      <c r="Z64" s="1" t="s">
        <v>40</v>
      </c>
      <c r="AA64" s="1">
        <v>1666192.0</v>
      </c>
      <c r="AB64" s="1" t="s">
        <v>374</v>
      </c>
      <c r="AC64" s="1" t="s">
        <v>375</v>
      </c>
      <c r="AD64" s="1" t="s">
        <v>376</v>
      </c>
      <c r="AE64" s="1" t="s">
        <v>44</v>
      </c>
    </row>
    <row r="65" ht="56.25" customHeight="1">
      <c r="A65" s="1">
        <v>2.7696971298701E13</v>
      </c>
      <c r="B65" s="2" t="s">
        <v>377</v>
      </c>
      <c r="C65" s="2" t="s">
        <v>378</v>
      </c>
      <c r="D65" s="1">
        <v>2.2417886859405E13</v>
      </c>
      <c r="E65" s="1" t="s">
        <v>228</v>
      </c>
      <c r="F65" s="1" t="b">
        <v>0</v>
      </c>
      <c r="G65" s="1" t="s">
        <v>34</v>
      </c>
      <c r="H65" s="1" t="b">
        <v>0</v>
      </c>
      <c r="I65" s="1">
        <v>0.0</v>
      </c>
      <c r="J65" s="1">
        <v>0.0</v>
      </c>
      <c r="K65" s="1">
        <v>0.0</v>
      </c>
      <c r="L65" s="1">
        <v>1.0516194287885E13</v>
      </c>
      <c r="M65" s="1" t="s">
        <v>35</v>
      </c>
      <c r="N65" s="1" t="str">
        <f t="array" ref="N65">XLOOKUP(A:A,'CategoriasSeções'!A:A,'CategoriasSeções'!B:B)</f>
        <v>APOIO ATENDIMENTO</v>
      </c>
      <c r="O65" s="1" t="s">
        <v>36</v>
      </c>
      <c r="P65" s="3">
        <v>45462.444444444445</v>
      </c>
      <c r="Q65" s="3">
        <v>45526.55972222222</v>
      </c>
      <c r="R65" s="1" t="s">
        <v>379</v>
      </c>
      <c r="S65" s="1" t="s">
        <v>379</v>
      </c>
      <c r="T65" s="1" t="s">
        <v>38</v>
      </c>
      <c r="U65" s="1" t="s">
        <v>38</v>
      </c>
      <c r="V65" s="1" t="s">
        <v>75</v>
      </c>
      <c r="W65" s="1" t="s">
        <v>39</v>
      </c>
      <c r="X65" s="1" t="s">
        <v>39</v>
      </c>
      <c r="Y65" s="3">
        <v>45462.447222222225</v>
      </c>
      <c r="Z65" s="1" t="s">
        <v>40</v>
      </c>
      <c r="AA65" s="1">
        <v>1666192.0</v>
      </c>
      <c r="AB65" s="1" t="s">
        <v>380</v>
      </c>
      <c r="AC65" s="1" t="s">
        <v>381</v>
      </c>
      <c r="AD65" s="1" t="s">
        <v>382</v>
      </c>
      <c r="AE65" s="1" t="s">
        <v>44</v>
      </c>
    </row>
    <row r="66" ht="56.25" customHeight="1">
      <c r="A66" s="1">
        <v>2.7637289639309E13</v>
      </c>
      <c r="B66" s="2" t="s">
        <v>383</v>
      </c>
      <c r="C66" s="2" t="s">
        <v>384</v>
      </c>
      <c r="D66" s="1">
        <v>2.2417886859405E13</v>
      </c>
      <c r="E66" s="1" t="s">
        <v>228</v>
      </c>
      <c r="F66" s="1" t="b">
        <v>0</v>
      </c>
      <c r="G66" s="1" t="s">
        <v>34</v>
      </c>
      <c r="H66" s="1" t="b">
        <v>0</v>
      </c>
      <c r="I66" s="1">
        <v>0.0</v>
      </c>
      <c r="J66" s="1">
        <v>0.0</v>
      </c>
      <c r="K66" s="1">
        <v>0.0</v>
      </c>
      <c r="L66" s="1">
        <v>1.0516194287885E13</v>
      </c>
      <c r="M66" s="1" t="s">
        <v>35</v>
      </c>
      <c r="N66" s="1" t="str">
        <f t="array" ref="N66">XLOOKUP(A:A,'CategoriasSeções'!A:A,'CategoriasSeções'!B:B)</f>
        <v>APOIO ATENDIMENTO</v>
      </c>
      <c r="O66" s="1" t="s">
        <v>36</v>
      </c>
      <c r="P66" s="3">
        <v>45460.62777777778</v>
      </c>
      <c r="Q66" s="3">
        <v>45526.55972222222</v>
      </c>
      <c r="R66" s="1" t="s">
        <v>385</v>
      </c>
      <c r="S66" s="1" t="s">
        <v>385</v>
      </c>
      <c r="T66" s="1" t="s">
        <v>38</v>
      </c>
      <c r="U66" s="1" t="s">
        <v>38</v>
      </c>
      <c r="V66" s="1" t="s">
        <v>75</v>
      </c>
      <c r="W66" s="1" t="s">
        <v>39</v>
      </c>
      <c r="X66" s="1" t="s">
        <v>39</v>
      </c>
      <c r="Y66" s="3">
        <v>45460.62777777778</v>
      </c>
      <c r="Z66" s="1" t="s">
        <v>40</v>
      </c>
      <c r="AA66" s="1">
        <v>1666192.0</v>
      </c>
      <c r="AB66" s="1" t="s">
        <v>386</v>
      </c>
      <c r="AC66" s="1" t="s">
        <v>387</v>
      </c>
      <c r="AD66" s="1" t="s">
        <v>388</v>
      </c>
      <c r="AE66" s="1" t="s">
        <v>44</v>
      </c>
    </row>
    <row r="67" ht="56.25" customHeight="1">
      <c r="A67" s="1">
        <v>2.7519478089613E13</v>
      </c>
      <c r="B67" s="2" t="s">
        <v>389</v>
      </c>
      <c r="C67" s="2" t="s">
        <v>390</v>
      </c>
      <c r="D67" s="1">
        <v>2.2417886859405E13</v>
      </c>
      <c r="E67" s="1" t="s">
        <v>228</v>
      </c>
      <c r="F67" s="1" t="b">
        <v>0</v>
      </c>
      <c r="G67" s="1" t="s">
        <v>34</v>
      </c>
      <c r="H67" s="1" t="b">
        <v>0</v>
      </c>
      <c r="I67" s="1">
        <v>0.0</v>
      </c>
      <c r="J67" s="1">
        <v>0.0</v>
      </c>
      <c r="K67" s="1">
        <v>0.0</v>
      </c>
      <c r="L67" s="1">
        <v>1.0516194287885E13</v>
      </c>
      <c r="M67" s="1" t="s">
        <v>35</v>
      </c>
      <c r="N67" s="1" t="str">
        <f t="array" ref="N67">XLOOKUP(A:A,'CategoriasSeções'!A:A,'CategoriasSeções'!B:B)</f>
        <v>APOIO ATENDIMENTO</v>
      </c>
      <c r="O67" s="1" t="s">
        <v>36</v>
      </c>
      <c r="P67" s="3">
        <v>45455.72361111111</v>
      </c>
      <c r="Q67" s="3">
        <v>45455.76458333333</v>
      </c>
      <c r="R67" s="1" t="s">
        <v>391</v>
      </c>
      <c r="S67" s="1" t="s">
        <v>391</v>
      </c>
      <c r="T67" s="1" t="s">
        <v>38</v>
      </c>
      <c r="U67" s="1" t="s">
        <v>38</v>
      </c>
      <c r="V67" s="1" t="s">
        <v>75</v>
      </c>
      <c r="W67" s="1" t="s">
        <v>39</v>
      </c>
      <c r="X67" s="1" t="s">
        <v>39</v>
      </c>
      <c r="Y67" s="3">
        <v>45455.76458333333</v>
      </c>
      <c r="Z67" s="1" t="s">
        <v>40</v>
      </c>
      <c r="AA67" s="1">
        <v>1666192.0</v>
      </c>
      <c r="AB67" s="1" t="s">
        <v>137</v>
      </c>
      <c r="AC67" s="1" t="s">
        <v>392</v>
      </c>
      <c r="AD67" s="1" t="s">
        <v>393</v>
      </c>
      <c r="AE67" s="1" t="s">
        <v>44</v>
      </c>
    </row>
    <row r="68" ht="56.25" customHeight="1">
      <c r="A68" s="1">
        <v>2.7100081298445E13</v>
      </c>
      <c r="B68" s="2" t="s">
        <v>394</v>
      </c>
      <c r="C68" s="2" t="s">
        <v>395</v>
      </c>
      <c r="D68" s="1">
        <v>5.939921558925E12</v>
      </c>
      <c r="E68" s="1" t="s">
        <v>84</v>
      </c>
      <c r="F68" s="1" t="b">
        <v>0</v>
      </c>
      <c r="G68" s="1" t="s">
        <v>34</v>
      </c>
      <c r="H68" s="1" t="b">
        <v>0</v>
      </c>
      <c r="I68" s="1">
        <v>0.0</v>
      </c>
      <c r="J68" s="1">
        <v>0.0</v>
      </c>
      <c r="K68" s="1">
        <v>0.0</v>
      </c>
      <c r="L68" s="1">
        <v>3.60010090031E11</v>
      </c>
      <c r="M68" s="1" t="s">
        <v>35</v>
      </c>
      <c r="N68" s="1" t="str">
        <f t="array" ref="N68">XLOOKUP(A:A,'CategoriasSeções'!A:A,'CategoriasSeções'!B:B)</f>
        <v>Comunicados</v>
      </c>
      <c r="O68" s="1" t="s">
        <v>229</v>
      </c>
      <c r="P68" s="3">
        <v>45440.64027777778</v>
      </c>
      <c r="Q68" s="3">
        <v>45867.59097222222</v>
      </c>
      <c r="R68" s="1" t="s">
        <v>396</v>
      </c>
      <c r="S68" s="1" t="s">
        <v>396</v>
      </c>
      <c r="T68" s="1" t="s">
        <v>38</v>
      </c>
      <c r="U68" s="1" t="s">
        <v>38</v>
      </c>
      <c r="V68" s="1" t="s">
        <v>75</v>
      </c>
      <c r="W68" s="1" t="s">
        <v>69</v>
      </c>
      <c r="X68" s="1" t="s">
        <v>69</v>
      </c>
      <c r="Y68" s="3">
        <v>45867.59097222222</v>
      </c>
      <c r="AA68" s="1">
        <v>1666192.0</v>
      </c>
      <c r="AB68" s="1" t="s">
        <v>397</v>
      </c>
      <c r="AC68" s="1" t="s">
        <v>398</v>
      </c>
      <c r="AD68" s="1" t="s">
        <v>399</v>
      </c>
      <c r="AE68" s="1" t="s">
        <v>55</v>
      </c>
    </row>
    <row r="69" ht="56.25" customHeight="1">
      <c r="A69" s="1">
        <v>2.6874963139085E13</v>
      </c>
      <c r="B69" s="2" t="s">
        <v>400</v>
      </c>
      <c r="C69" s="2" t="s">
        <v>401</v>
      </c>
      <c r="D69" s="1">
        <v>2.5831957007E10</v>
      </c>
      <c r="E69" s="1" t="s">
        <v>33</v>
      </c>
      <c r="F69" s="1" t="b">
        <v>0</v>
      </c>
      <c r="G69" s="1" t="s">
        <v>34</v>
      </c>
      <c r="H69" s="1" t="b">
        <v>0</v>
      </c>
      <c r="I69" s="1">
        <v>0.0</v>
      </c>
      <c r="J69" s="1">
        <v>0.0</v>
      </c>
      <c r="K69" s="1">
        <v>0.0</v>
      </c>
      <c r="L69" s="1">
        <v>1.0516194287885E13</v>
      </c>
      <c r="M69" s="1" t="s">
        <v>35</v>
      </c>
      <c r="N69" s="1" t="str">
        <f t="array" ref="N69">XLOOKUP(A:A,'CategoriasSeções'!A:A,'CategoriasSeções'!B:B)</f>
        <v>APOIO ATENDIMENTO</v>
      </c>
      <c r="O69" s="1" t="s">
        <v>36</v>
      </c>
      <c r="P69" s="3">
        <v>45432.74444444444</v>
      </c>
      <c r="Q69" s="3">
        <v>45432.74444444444</v>
      </c>
      <c r="R69" s="1" t="s">
        <v>402</v>
      </c>
      <c r="S69" s="1" t="s">
        <v>402</v>
      </c>
      <c r="T69" s="1" t="s">
        <v>38</v>
      </c>
      <c r="U69" s="1" t="s">
        <v>38</v>
      </c>
      <c r="V69" s="1" t="s">
        <v>39</v>
      </c>
      <c r="W69" s="1" t="s">
        <v>39</v>
      </c>
      <c r="X69" s="1" t="s">
        <v>39</v>
      </c>
      <c r="Y69" s="3">
        <v>45432.74444444444</v>
      </c>
      <c r="Z69" s="1" t="s">
        <v>40</v>
      </c>
      <c r="AA69" s="1">
        <v>1666212.0</v>
      </c>
      <c r="AB69" s="1" t="s">
        <v>55</v>
      </c>
      <c r="AC69" s="1" t="s">
        <v>55</v>
      </c>
      <c r="AD69" s="1" t="s">
        <v>403</v>
      </c>
      <c r="AE69" s="1" t="s">
        <v>44</v>
      </c>
    </row>
    <row r="70" ht="56.25" customHeight="1">
      <c r="A70" s="1">
        <v>2.6862583438733E13</v>
      </c>
      <c r="B70" s="2" t="s">
        <v>404</v>
      </c>
      <c r="C70" s="2" t="s">
        <v>405</v>
      </c>
      <c r="D70" s="1">
        <v>2.5831957007E10</v>
      </c>
      <c r="E70" s="1" t="s">
        <v>33</v>
      </c>
      <c r="F70" s="1" t="b">
        <v>0</v>
      </c>
      <c r="G70" s="1" t="s">
        <v>34</v>
      </c>
      <c r="H70" s="1" t="b">
        <v>0</v>
      </c>
      <c r="I70" s="1">
        <v>0.0</v>
      </c>
      <c r="J70" s="1">
        <v>0.0</v>
      </c>
      <c r="K70" s="1">
        <v>0.0</v>
      </c>
      <c r="L70" s="1">
        <v>3.60013315511E11</v>
      </c>
      <c r="M70" s="1" t="s">
        <v>35</v>
      </c>
      <c r="N70" s="1" t="str">
        <f t="array" ref="N70">XLOOKUP(A:A,'CategoriasSeções'!A:A,'CategoriasSeções'!B:B)</f>
        <v>Dúvidas Gerais</v>
      </c>
      <c r="O70" s="1" t="s">
        <v>129</v>
      </c>
      <c r="P70" s="3">
        <v>45432.50625</v>
      </c>
      <c r="Q70" s="3">
        <v>45432.506944444445</v>
      </c>
      <c r="R70" s="1" t="s">
        <v>406</v>
      </c>
      <c r="S70" s="1" t="s">
        <v>406</v>
      </c>
      <c r="T70" s="1" t="s">
        <v>38</v>
      </c>
      <c r="U70" s="1" t="s">
        <v>38</v>
      </c>
      <c r="V70" s="1" t="s">
        <v>39</v>
      </c>
      <c r="W70" s="1" t="s">
        <v>39</v>
      </c>
      <c r="X70" s="1" t="s">
        <v>39</v>
      </c>
      <c r="Y70" s="3">
        <v>45432.506944444445</v>
      </c>
      <c r="Z70" s="1" t="s">
        <v>40</v>
      </c>
      <c r="AA70" s="1">
        <v>1666212.0</v>
      </c>
      <c r="AB70" s="1" t="s">
        <v>55</v>
      </c>
      <c r="AC70" s="1" t="s">
        <v>55</v>
      </c>
      <c r="AD70" s="1" t="s">
        <v>407</v>
      </c>
      <c r="AE70" s="1" t="s">
        <v>44</v>
      </c>
    </row>
    <row r="71" ht="56.25" customHeight="1">
      <c r="A71" s="1">
        <v>2.6833115189645E13</v>
      </c>
      <c r="B71" s="2" t="s">
        <v>408</v>
      </c>
      <c r="C71" s="2" t="s">
        <v>409</v>
      </c>
      <c r="D71" s="1">
        <v>2.5445008728E10</v>
      </c>
      <c r="E71" s="1" t="s">
        <v>410</v>
      </c>
      <c r="F71" s="1" t="b">
        <v>1</v>
      </c>
      <c r="G71" s="1" t="s">
        <v>47</v>
      </c>
      <c r="H71" s="1" t="b">
        <v>0</v>
      </c>
      <c r="I71" s="1">
        <v>0.0</v>
      </c>
      <c r="J71" s="1">
        <v>0.0</v>
      </c>
      <c r="K71" s="1">
        <v>0.0</v>
      </c>
      <c r="L71" s="1">
        <v>1.0516194287885E13</v>
      </c>
      <c r="M71" s="1" t="s">
        <v>35</v>
      </c>
      <c r="N71" s="1" t="str">
        <f t="array" ref="N71">XLOOKUP(A:A,'CategoriasSeções'!A:A,'CategoriasSeções'!B:B)</f>
        <v>APOIO ATENDIMENTO</v>
      </c>
      <c r="O71" s="1" t="s">
        <v>36</v>
      </c>
      <c r="P71" s="3">
        <v>45430.65277777778</v>
      </c>
      <c r="Q71" s="3">
        <v>45430.65277777778</v>
      </c>
      <c r="R71" s="1" t="s">
        <v>411</v>
      </c>
      <c r="S71" s="1" t="s">
        <v>411</v>
      </c>
      <c r="T71" s="1" t="s">
        <v>38</v>
      </c>
      <c r="U71" s="1" t="s">
        <v>38</v>
      </c>
      <c r="V71" s="1" t="s">
        <v>75</v>
      </c>
      <c r="W71" s="1" t="s">
        <v>39</v>
      </c>
      <c r="X71" s="1" t="s">
        <v>39</v>
      </c>
      <c r="Y71" s="3">
        <v>45430.65277777778</v>
      </c>
      <c r="Z71" s="1" t="s">
        <v>40</v>
      </c>
      <c r="AA71" s="1">
        <v>1666192.0</v>
      </c>
      <c r="AB71" s="1" t="s">
        <v>55</v>
      </c>
      <c r="AC71" s="1" t="s">
        <v>55</v>
      </c>
      <c r="AD71" s="1" t="s">
        <v>412</v>
      </c>
      <c r="AE71" s="1" t="s">
        <v>44</v>
      </c>
    </row>
    <row r="72" ht="56.25" customHeight="1">
      <c r="A72" s="1">
        <v>2.6832096452621E13</v>
      </c>
      <c r="B72" s="2" t="s">
        <v>413</v>
      </c>
      <c r="C72" s="2" t="s">
        <v>414</v>
      </c>
      <c r="D72" s="1">
        <v>8.625183244173E12</v>
      </c>
      <c r="E72" s="1" t="s">
        <v>415</v>
      </c>
      <c r="F72" s="1" t="b">
        <v>1</v>
      </c>
      <c r="G72" s="1" t="s">
        <v>47</v>
      </c>
      <c r="H72" s="1" t="b">
        <v>0</v>
      </c>
      <c r="I72" s="1">
        <v>0.0</v>
      </c>
      <c r="J72" s="1">
        <v>0.0</v>
      </c>
      <c r="K72" s="1">
        <v>0.0</v>
      </c>
      <c r="L72" s="1">
        <v>1.0516194287885E13</v>
      </c>
      <c r="M72" s="1" t="s">
        <v>35</v>
      </c>
      <c r="N72" s="1" t="str">
        <f t="array" ref="N72">XLOOKUP(A:A,'CategoriasSeções'!A:A,'CategoriasSeções'!B:B)</f>
        <v>APOIO ATENDIMENTO</v>
      </c>
      <c r="O72" s="1" t="s">
        <v>36</v>
      </c>
      <c r="P72" s="3">
        <v>45430.61388888889</v>
      </c>
      <c r="Q72" s="3">
        <v>45430.618055555555</v>
      </c>
      <c r="R72" s="1" t="s">
        <v>416</v>
      </c>
      <c r="S72" s="1" t="s">
        <v>416</v>
      </c>
      <c r="T72" s="1" t="s">
        <v>38</v>
      </c>
      <c r="U72" s="1" t="s">
        <v>38</v>
      </c>
      <c r="V72" s="1" t="s">
        <v>75</v>
      </c>
      <c r="W72" s="1" t="s">
        <v>39</v>
      </c>
      <c r="X72" s="1" t="s">
        <v>39</v>
      </c>
      <c r="Y72" s="3">
        <v>45430.618055555555</v>
      </c>
      <c r="Z72" s="1" t="s">
        <v>40</v>
      </c>
      <c r="AA72" s="1">
        <v>1666192.0</v>
      </c>
      <c r="AB72" s="1" t="s">
        <v>417</v>
      </c>
      <c r="AC72" s="1" t="s">
        <v>418</v>
      </c>
      <c r="AD72" s="1" t="s">
        <v>419</v>
      </c>
      <c r="AE72" s="1" t="s">
        <v>44</v>
      </c>
    </row>
    <row r="73" ht="56.25" customHeight="1">
      <c r="A73" s="1">
        <v>2.6238146165645E13</v>
      </c>
      <c r="B73" s="2" t="s">
        <v>420</v>
      </c>
      <c r="C73" s="2" t="s">
        <v>421</v>
      </c>
      <c r="D73" s="1">
        <v>5.939921558925E12</v>
      </c>
      <c r="E73" s="1" t="s">
        <v>84</v>
      </c>
      <c r="F73" s="1" t="b">
        <v>0</v>
      </c>
      <c r="G73" s="1" t="s">
        <v>34</v>
      </c>
      <c r="H73" s="1" t="b">
        <v>0</v>
      </c>
      <c r="I73" s="1">
        <v>0.0</v>
      </c>
      <c r="J73" s="1">
        <v>0.0</v>
      </c>
      <c r="K73" s="1">
        <v>0.0</v>
      </c>
      <c r="L73" s="1">
        <v>1.0516194287885E13</v>
      </c>
      <c r="M73" s="1" t="s">
        <v>35</v>
      </c>
      <c r="N73" s="1" t="str">
        <f t="array" ref="N73">XLOOKUP(A:A,'CategoriasSeções'!A:A,'CategoriasSeções'!B:B)</f>
        <v>APOIO ATENDIMENTO</v>
      </c>
      <c r="O73" s="1" t="s">
        <v>36</v>
      </c>
      <c r="P73" s="3">
        <v>45408.73472222222</v>
      </c>
      <c r="Q73" s="3">
        <v>45408.73472222222</v>
      </c>
      <c r="R73" s="1" t="s">
        <v>422</v>
      </c>
      <c r="S73" s="1" t="s">
        <v>422</v>
      </c>
      <c r="T73" s="1" t="s">
        <v>38</v>
      </c>
      <c r="U73" s="1" t="s">
        <v>38</v>
      </c>
      <c r="V73" s="1" t="s">
        <v>75</v>
      </c>
      <c r="W73" s="1" t="s">
        <v>39</v>
      </c>
      <c r="X73" s="1" t="s">
        <v>39</v>
      </c>
      <c r="Y73" s="3">
        <v>45408.73472222222</v>
      </c>
      <c r="Z73" s="1" t="s">
        <v>40</v>
      </c>
      <c r="AA73" s="1">
        <v>1666192.0</v>
      </c>
      <c r="AB73" s="1" t="s">
        <v>423</v>
      </c>
      <c r="AC73" s="1" t="s">
        <v>424</v>
      </c>
      <c r="AD73" s="1" t="s">
        <v>425</v>
      </c>
      <c r="AE73" s="1" t="s">
        <v>44</v>
      </c>
    </row>
    <row r="74" ht="56.25" customHeight="1">
      <c r="A74" s="1">
        <v>2.6116851130893E13</v>
      </c>
      <c r="B74" s="2" t="s">
        <v>426</v>
      </c>
      <c r="C74" s="2" t="s">
        <v>427</v>
      </c>
      <c r="D74" s="1">
        <v>5.939921558925E12</v>
      </c>
      <c r="E74" s="1" t="s">
        <v>84</v>
      </c>
      <c r="F74" s="1" t="b">
        <v>0</v>
      </c>
      <c r="G74" s="1" t="s">
        <v>34</v>
      </c>
      <c r="H74" s="1" t="b">
        <v>0</v>
      </c>
      <c r="I74" s="1">
        <v>0.0</v>
      </c>
      <c r="J74" s="1">
        <v>0.0</v>
      </c>
      <c r="K74" s="1">
        <v>0.0</v>
      </c>
      <c r="L74" s="1">
        <v>1.0516194287885E13</v>
      </c>
      <c r="M74" s="1" t="s">
        <v>35</v>
      </c>
      <c r="N74" s="1" t="str">
        <f t="array" ref="N74">XLOOKUP(A:A,'CategoriasSeções'!A:A,'CategoriasSeções'!B:B)</f>
        <v>APOIO ATENDIMENTO</v>
      </c>
      <c r="O74" s="1" t="s">
        <v>36</v>
      </c>
      <c r="P74" s="3">
        <v>45404.91527777778</v>
      </c>
      <c r="Q74" s="3">
        <v>45526.620833333334</v>
      </c>
      <c r="R74" s="1" t="s">
        <v>428</v>
      </c>
      <c r="S74" s="1" t="s">
        <v>428</v>
      </c>
      <c r="T74" s="1" t="s">
        <v>38</v>
      </c>
      <c r="U74" s="1" t="s">
        <v>38</v>
      </c>
      <c r="V74" s="1" t="s">
        <v>75</v>
      </c>
      <c r="W74" s="1" t="s">
        <v>39</v>
      </c>
      <c r="X74" s="1" t="s">
        <v>39</v>
      </c>
      <c r="Y74" s="3">
        <v>45404.91527777778</v>
      </c>
      <c r="Z74" s="1" t="s">
        <v>40</v>
      </c>
      <c r="AA74" s="1">
        <v>1666192.0</v>
      </c>
      <c r="AB74" s="1" t="s">
        <v>397</v>
      </c>
      <c r="AC74" s="1" t="s">
        <v>429</v>
      </c>
      <c r="AD74" s="1" t="s">
        <v>430</v>
      </c>
      <c r="AE74" s="1" t="s">
        <v>44</v>
      </c>
    </row>
    <row r="75" ht="56.25" customHeight="1">
      <c r="A75" s="1">
        <v>2.6098271911693E13</v>
      </c>
      <c r="B75" s="2" t="s">
        <v>431</v>
      </c>
      <c r="C75" s="2" t="s">
        <v>432</v>
      </c>
      <c r="D75" s="1">
        <v>3.87048456972E11</v>
      </c>
      <c r="E75" s="1" t="s">
        <v>433</v>
      </c>
      <c r="F75" s="1" t="b">
        <v>0</v>
      </c>
      <c r="G75" s="1" t="s">
        <v>34</v>
      </c>
      <c r="H75" s="1" t="b">
        <v>0</v>
      </c>
      <c r="I75" s="1">
        <v>0.0</v>
      </c>
      <c r="J75" s="1">
        <v>0.0</v>
      </c>
      <c r="K75" s="1">
        <v>0.0</v>
      </c>
      <c r="L75" s="1">
        <v>3.60010090031E11</v>
      </c>
      <c r="M75" s="1" t="s">
        <v>35</v>
      </c>
      <c r="N75" s="1" t="str">
        <f t="array" ref="N75">XLOOKUP(A:A,'CategoriasSeções'!A:A,'CategoriasSeções'!B:B)</f>
        <v>Comunicados</v>
      </c>
      <c r="O75" s="1" t="s">
        <v>229</v>
      </c>
      <c r="P75" s="3">
        <v>45404.59930555556</v>
      </c>
      <c r="Q75" s="3">
        <v>45526.611805555556</v>
      </c>
      <c r="R75" s="1" t="s">
        <v>294</v>
      </c>
      <c r="S75" s="1" t="s">
        <v>294</v>
      </c>
      <c r="T75" s="1" t="s">
        <v>38</v>
      </c>
      <c r="U75" s="1" t="s">
        <v>38</v>
      </c>
      <c r="V75" s="1" t="s">
        <v>39</v>
      </c>
      <c r="W75" s="1" t="s">
        <v>69</v>
      </c>
      <c r="X75" s="1" t="s">
        <v>69</v>
      </c>
      <c r="Y75" s="3">
        <v>45404.59930555556</v>
      </c>
      <c r="AA75" s="1">
        <v>1666212.0</v>
      </c>
      <c r="AB75" s="1" t="s">
        <v>55</v>
      </c>
      <c r="AC75" s="1" t="s">
        <v>55</v>
      </c>
      <c r="AD75" s="1" t="s">
        <v>434</v>
      </c>
      <c r="AE75" s="1" t="s">
        <v>55</v>
      </c>
    </row>
    <row r="76" ht="56.25" customHeight="1">
      <c r="A76" s="1">
        <v>2.5867376725517E13</v>
      </c>
      <c r="B76" s="2" t="s">
        <v>435</v>
      </c>
      <c r="C76" s="2" t="s">
        <v>436</v>
      </c>
      <c r="D76" s="1">
        <v>2.2354238362509E13</v>
      </c>
      <c r="E76" s="1" t="s">
        <v>437</v>
      </c>
      <c r="F76" s="1" t="b">
        <v>0</v>
      </c>
      <c r="G76" s="1" t="s">
        <v>34</v>
      </c>
      <c r="H76" s="1" t="b">
        <v>0</v>
      </c>
      <c r="I76" s="1">
        <v>0.0</v>
      </c>
      <c r="J76" s="1">
        <v>0.0</v>
      </c>
      <c r="K76" s="1">
        <v>0.0</v>
      </c>
      <c r="L76" s="1">
        <v>1.0516194287885E13</v>
      </c>
      <c r="M76" s="1" t="s">
        <v>35</v>
      </c>
      <c r="N76" s="1" t="str">
        <f t="array" ref="N76">XLOOKUP(A:A,'CategoriasSeções'!A:A,'CategoriasSeções'!B:B)</f>
        <v>APOIO ATENDIMENTO</v>
      </c>
      <c r="O76" s="1" t="s">
        <v>36</v>
      </c>
      <c r="P76" s="3">
        <v>45395.56875</v>
      </c>
      <c r="Q76" s="3">
        <v>45395.569444444445</v>
      </c>
      <c r="R76" s="1" t="s">
        <v>438</v>
      </c>
      <c r="S76" s="1" t="s">
        <v>438</v>
      </c>
      <c r="T76" s="1" t="s">
        <v>38</v>
      </c>
      <c r="U76" s="1" t="s">
        <v>38</v>
      </c>
      <c r="V76" s="1" t="s">
        <v>75</v>
      </c>
      <c r="W76" s="1" t="s">
        <v>39</v>
      </c>
      <c r="X76" s="1" t="s">
        <v>39</v>
      </c>
      <c r="Y76" s="3">
        <v>45395.569444444445</v>
      </c>
      <c r="Z76" s="1" t="s">
        <v>40</v>
      </c>
      <c r="AA76" s="1">
        <v>1666192.0</v>
      </c>
      <c r="AB76" s="1" t="s">
        <v>439</v>
      </c>
      <c r="AC76" s="1" t="s">
        <v>440</v>
      </c>
      <c r="AD76" s="1" t="s">
        <v>441</v>
      </c>
      <c r="AE76" s="1" t="s">
        <v>44</v>
      </c>
    </row>
    <row r="77" ht="56.25" customHeight="1">
      <c r="A77" s="1">
        <v>2.5711257715981E13</v>
      </c>
      <c r="B77" s="2" t="s">
        <v>442</v>
      </c>
      <c r="C77" s="2" t="s">
        <v>443</v>
      </c>
      <c r="D77" s="1">
        <v>2.2354238362509E13</v>
      </c>
      <c r="E77" s="1" t="s">
        <v>437</v>
      </c>
      <c r="F77" s="1" t="b">
        <v>1</v>
      </c>
      <c r="G77" s="1" t="s">
        <v>47</v>
      </c>
      <c r="H77" s="1" t="b">
        <v>0</v>
      </c>
      <c r="I77" s="1">
        <v>0.0</v>
      </c>
      <c r="J77" s="1">
        <v>0.0</v>
      </c>
      <c r="K77" s="1">
        <v>0.0</v>
      </c>
      <c r="L77" s="1">
        <v>1.0516194287885E13</v>
      </c>
      <c r="M77" s="1" t="s">
        <v>35</v>
      </c>
      <c r="N77" s="1" t="str">
        <f t="array" ref="N77">XLOOKUP(A:A,'CategoriasSeções'!A:A,'CategoriasSeções'!B:B)</f>
        <v>APOIO ATENDIMENTO</v>
      </c>
      <c r="O77" s="1" t="s">
        <v>36</v>
      </c>
      <c r="P77" s="3">
        <v>45390.566666666666</v>
      </c>
      <c r="Q77" s="3">
        <v>45526.552777777775</v>
      </c>
      <c r="R77" s="1" t="s">
        <v>444</v>
      </c>
      <c r="S77" s="1" t="s">
        <v>444</v>
      </c>
      <c r="T77" s="1" t="s">
        <v>38</v>
      </c>
      <c r="U77" s="1" t="s">
        <v>38</v>
      </c>
      <c r="V77" s="1" t="s">
        <v>75</v>
      </c>
      <c r="W77" s="1" t="s">
        <v>39</v>
      </c>
      <c r="X77" s="1" t="s">
        <v>39</v>
      </c>
      <c r="Y77" s="3">
        <v>45390.82708333333</v>
      </c>
      <c r="Z77" s="1" t="s">
        <v>40</v>
      </c>
      <c r="AA77" s="1">
        <v>1666192.0</v>
      </c>
      <c r="AB77" s="1" t="s">
        <v>55</v>
      </c>
      <c r="AC77" s="1" t="s">
        <v>55</v>
      </c>
      <c r="AD77" s="1" t="s">
        <v>445</v>
      </c>
      <c r="AE77" s="1" t="s">
        <v>44</v>
      </c>
    </row>
    <row r="78" ht="56.25" customHeight="1">
      <c r="A78" s="1">
        <v>2.5558774085005E13</v>
      </c>
      <c r="B78" s="2" t="s">
        <v>446</v>
      </c>
      <c r="C78" s="2" t="s">
        <v>447</v>
      </c>
      <c r="D78" s="1">
        <v>5.939921558925E12</v>
      </c>
      <c r="E78" s="1" t="s">
        <v>84</v>
      </c>
      <c r="F78" s="1" t="b">
        <v>0</v>
      </c>
      <c r="G78" s="1" t="s">
        <v>34</v>
      </c>
      <c r="H78" s="1" t="b">
        <v>0</v>
      </c>
      <c r="I78" s="1">
        <v>0.0</v>
      </c>
      <c r="J78" s="1">
        <v>0.0</v>
      </c>
      <c r="K78" s="1">
        <v>0.0</v>
      </c>
      <c r="L78" s="1">
        <v>3.60013202372E11</v>
      </c>
      <c r="M78" s="1" t="s">
        <v>35</v>
      </c>
      <c r="N78" s="1" t="str">
        <f t="array" ref="N78">XLOOKUP(A:A,'CategoriasSeções'!A:A,'CategoriasSeções'!B:B)</f>
        <v>Dúvidas Gerais</v>
      </c>
      <c r="O78" s="1" t="s">
        <v>103</v>
      </c>
      <c r="P78" s="3">
        <v>45384.774305555555</v>
      </c>
      <c r="Q78" s="3">
        <v>45526.55972222222</v>
      </c>
      <c r="R78" s="1" t="s">
        <v>448</v>
      </c>
      <c r="S78" s="1" t="s">
        <v>448</v>
      </c>
      <c r="T78" s="1" t="s">
        <v>38</v>
      </c>
      <c r="U78" s="1" t="s">
        <v>38</v>
      </c>
      <c r="V78" s="1" t="s">
        <v>75</v>
      </c>
      <c r="W78" s="1" t="s">
        <v>69</v>
      </c>
      <c r="X78" s="1" t="s">
        <v>69</v>
      </c>
      <c r="Y78" s="3">
        <v>45384.78958333333</v>
      </c>
      <c r="AA78" s="1">
        <v>1666192.0</v>
      </c>
      <c r="AB78" s="1" t="s">
        <v>449</v>
      </c>
      <c r="AC78" s="1" t="s">
        <v>55</v>
      </c>
      <c r="AD78" s="1" t="s">
        <v>450</v>
      </c>
      <c r="AE78" s="1" t="s">
        <v>55</v>
      </c>
    </row>
    <row r="79" ht="56.25" customHeight="1">
      <c r="A79" s="1">
        <v>2.5041149577869E13</v>
      </c>
      <c r="B79" s="2" t="s">
        <v>451</v>
      </c>
      <c r="C79" s="2" t="s">
        <v>452</v>
      </c>
      <c r="D79" s="1">
        <v>2.2354238362509E13</v>
      </c>
      <c r="E79" s="1" t="s">
        <v>437</v>
      </c>
      <c r="F79" s="1" t="b">
        <v>0</v>
      </c>
      <c r="G79" s="1" t="s">
        <v>34</v>
      </c>
      <c r="H79" s="1" t="b">
        <v>0</v>
      </c>
      <c r="I79" s="1">
        <v>0.0</v>
      </c>
      <c r="J79" s="1">
        <v>0.0</v>
      </c>
      <c r="K79" s="1">
        <v>0.0</v>
      </c>
      <c r="L79" s="1">
        <v>1.0516194287885E13</v>
      </c>
      <c r="M79" s="1" t="s">
        <v>35</v>
      </c>
      <c r="N79" s="1" t="str">
        <f t="array" ref="N79">XLOOKUP(A:A,'CategoriasSeções'!A:A,'CategoriasSeções'!B:B)</f>
        <v>APOIO ATENDIMENTO</v>
      </c>
      <c r="O79" s="1" t="s">
        <v>36</v>
      </c>
      <c r="P79" s="3">
        <v>45366.751388888886</v>
      </c>
      <c r="Q79" s="3">
        <v>45366.75208333333</v>
      </c>
      <c r="R79" s="1" t="s">
        <v>453</v>
      </c>
      <c r="S79" s="1" t="s">
        <v>453</v>
      </c>
      <c r="T79" s="1" t="s">
        <v>38</v>
      </c>
      <c r="U79" s="1" t="s">
        <v>38</v>
      </c>
      <c r="V79" s="1" t="s">
        <v>75</v>
      </c>
      <c r="W79" s="1" t="s">
        <v>39</v>
      </c>
      <c r="X79" s="1" t="s">
        <v>39</v>
      </c>
      <c r="Y79" s="3">
        <v>45366.75208333333</v>
      </c>
      <c r="Z79" s="1" t="s">
        <v>40</v>
      </c>
      <c r="AA79" s="1">
        <v>1666192.0</v>
      </c>
      <c r="AB79" s="1" t="s">
        <v>454</v>
      </c>
      <c r="AC79" s="1" t="s">
        <v>55</v>
      </c>
      <c r="AD79" s="1" t="s">
        <v>455</v>
      </c>
      <c r="AE79" s="1" t="s">
        <v>44</v>
      </c>
    </row>
    <row r="80" ht="56.25" customHeight="1">
      <c r="A80" s="1">
        <v>2.4923243522061E13</v>
      </c>
      <c r="B80" s="2" t="s">
        <v>456</v>
      </c>
      <c r="C80" s="2" t="s">
        <v>457</v>
      </c>
      <c r="D80" s="1">
        <v>2.2417886859405E13</v>
      </c>
      <c r="E80" s="1" t="s">
        <v>228</v>
      </c>
      <c r="F80" s="1" t="b">
        <v>0</v>
      </c>
      <c r="G80" s="1" t="s">
        <v>34</v>
      </c>
      <c r="H80" s="1" t="b">
        <v>0</v>
      </c>
      <c r="I80" s="1">
        <v>0.0</v>
      </c>
      <c r="J80" s="1">
        <v>0.0</v>
      </c>
      <c r="K80" s="1">
        <v>0.0</v>
      </c>
      <c r="L80" s="1">
        <v>1.0516194287885E13</v>
      </c>
      <c r="M80" s="1" t="s">
        <v>35</v>
      </c>
      <c r="N80" s="1" t="str">
        <f t="array" ref="N80">XLOOKUP(A:A,'CategoriasSeções'!A:A,'CategoriasSeções'!B:B)</f>
        <v>APOIO ATENDIMENTO</v>
      </c>
      <c r="O80" s="1" t="s">
        <v>36</v>
      </c>
      <c r="P80" s="3">
        <v>45363.45208333333</v>
      </c>
      <c r="Q80" s="3">
        <v>45482.834027777775</v>
      </c>
      <c r="R80" s="1" t="s">
        <v>458</v>
      </c>
      <c r="S80" s="1" t="s">
        <v>458</v>
      </c>
      <c r="T80" s="1" t="s">
        <v>38</v>
      </c>
      <c r="U80" s="1" t="s">
        <v>38</v>
      </c>
      <c r="V80" s="1" t="s">
        <v>75</v>
      </c>
      <c r="W80" s="1" t="s">
        <v>39</v>
      </c>
      <c r="X80" s="1" t="s">
        <v>39</v>
      </c>
      <c r="Y80" s="3">
        <v>45482.79027777778</v>
      </c>
      <c r="Z80" s="1" t="s">
        <v>40</v>
      </c>
      <c r="AA80" s="1">
        <v>1666192.0</v>
      </c>
      <c r="AB80" s="1" t="s">
        <v>80</v>
      </c>
      <c r="AC80" s="1" t="s">
        <v>459</v>
      </c>
      <c r="AD80" s="1" t="s">
        <v>460</v>
      </c>
      <c r="AE80" s="1" t="s">
        <v>44</v>
      </c>
    </row>
    <row r="81" ht="56.25" customHeight="1">
      <c r="A81" s="1">
        <v>2.4708327125517E13</v>
      </c>
      <c r="B81" s="2" t="s">
        <v>461</v>
      </c>
      <c r="C81" s="2" t="s">
        <v>462</v>
      </c>
      <c r="D81" s="1">
        <v>2.2354238362509E13</v>
      </c>
      <c r="E81" s="1" t="s">
        <v>437</v>
      </c>
      <c r="F81" s="1" t="b">
        <v>1</v>
      </c>
      <c r="G81" s="1" t="s">
        <v>47</v>
      </c>
      <c r="H81" s="1" t="b">
        <v>0</v>
      </c>
      <c r="I81" s="1">
        <v>0.0</v>
      </c>
      <c r="J81" s="1">
        <v>0.0</v>
      </c>
      <c r="K81" s="1">
        <v>0.0</v>
      </c>
      <c r="L81" s="1">
        <v>1.0516194287885E13</v>
      </c>
      <c r="M81" s="1" t="s">
        <v>35</v>
      </c>
      <c r="N81" s="1" t="str">
        <f t="array" ref="N81">XLOOKUP(A:A,'CategoriasSeções'!A:A,'CategoriasSeções'!B:B)</f>
        <v>APOIO ATENDIMENTO</v>
      </c>
      <c r="O81" s="1" t="s">
        <v>36</v>
      </c>
      <c r="P81" s="3">
        <v>45356.60277777778</v>
      </c>
      <c r="Q81" s="3">
        <v>45356.60277777778</v>
      </c>
      <c r="R81" s="1" t="s">
        <v>463</v>
      </c>
      <c r="S81" s="1" t="s">
        <v>463</v>
      </c>
      <c r="T81" s="1" t="s">
        <v>38</v>
      </c>
      <c r="U81" s="1" t="s">
        <v>38</v>
      </c>
      <c r="V81" s="1" t="s">
        <v>75</v>
      </c>
      <c r="W81" s="1" t="s">
        <v>39</v>
      </c>
      <c r="X81" s="1" t="s">
        <v>39</v>
      </c>
      <c r="Y81" s="3">
        <v>45356.60277777778</v>
      </c>
      <c r="Z81" s="1" t="s">
        <v>40</v>
      </c>
      <c r="AA81" s="1">
        <v>1666192.0</v>
      </c>
      <c r="AB81" s="1" t="s">
        <v>464</v>
      </c>
      <c r="AC81" s="1" t="s">
        <v>55</v>
      </c>
      <c r="AD81" s="1" t="s">
        <v>465</v>
      </c>
      <c r="AE81" s="1" t="s">
        <v>44</v>
      </c>
    </row>
    <row r="82" ht="56.25" customHeight="1">
      <c r="A82" s="1">
        <v>2.4678305656077E13</v>
      </c>
      <c r="B82" s="2" t="s">
        <v>466</v>
      </c>
      <c r="C82" s="2" t="s">
        <v>467</v>
      </c>
      <c r="D82" s="1">
        <v>2.2417886859405E13</v>
      </c>
      <c r="E82" s="1" t="s">
        <v>228</v>
      </c>
      <c r="F82" s="1" t="b">
        <v>0</v>
      </c>
      <c r="G82" s="1" t="s">
        <v>34</v>
      </c>
      <c r="H82" s="1" t="b">
        <v>0</v>
      </c>
      <c r="I82" s="1">
        <v>0.0</v>
      </c>
      <c r="J82" s="1">
        <v>0.0</v>
      </c>
      <c r="K82" s="1">
        <v>0.0</v>
      </c>
      <c r="L82" s="1">
        <v>1.0516194287885E13</v>
      </c>
      <c r="M82" s="1" t="s">
        <v>35</v>
      </c>
      <c r="N82" s="1" t="str">
        <f t="array" ref="N82">XLOOKUP(A:A,'CategoriasSeções'!A:A,'CategoriasSeções'!B:B)</f>
        <v>APOIO ATENDIMENTO</v>
      </c>
      <c r="O82" s="1" t="s">
        <v>36</v>
      </c>
      <c r="P82" s="3">
        <v>45355.70416666667</v>
      </c>
      <c r="Q82" s="3">
        <v>45455.694444444445</v>
      </c>
      <c r="R82" s="1" t="s">
        <v>468</v>
      </c>
      <c r="S82" s="1" t="s">
        <v>468</v>
      </c>
      <c r="T82" s="1" t="s">
        <v>38</v>
      </c>
      <c r="U82" s="1" t="s">
        <v>38</v>
      </c>
      <c r="V82" s="1" t="s">
        <v>75</v>
      </c>
      <c r="W82" s="1" t="s">
        <v>39</v>
      </c>
      <c r="X82" s="1" t="s">
        <v>39</v>
      </c>
      <c r="Y82" s="3">
        <v>45455.694444444445</v>
      </c>
      <c r="Z82" s="1" t="s">
        <v>40</v>
      </c>
      <c r="AA82" s="1">
        <v>1666192.0</v>
      </c>
      <c r="AB82" s="1" t="s">
        <v>469</v>
      </c>
      <c r="AC82" s="1" t="s">
        <v>470</v>
      </c>
      <c r="AD82" s="1" t="s">
        <v>471</v>
      </c>
      <c r="AE82" s="1" t="s">
        <v>44</v>
      </c>
    </row>
    <row r="83" ht="56.25" customHeight="1">
      <c r="A83" s="1">
        <v>2.4630553363725E13</v>
      </c>
      <c r="B83" s="2" t="s">
        <v>472</v>
      </c>
      <c r="C83" s="2" t="s">
        <v>473</v>
      </c>
      <c r="D83" s="1">
        <v>2.3293533279885E13</v>
      </c>
      <c r="E83" s="1" t="s">
        <v>474</v>
      </c>
      <c r="F83" s="1" t="b">
        <v>1</v>
      </c>
      <c r="G83" s="1" t="s">
        <v>47</v>
      </c>
      <c r="H83" s="1" t="b">
        <v>0</v>
      </c>
      <c r="I83" s="1">
        <v>0.0</v>
      </c>
      <c r="J83" s="1">
        <v>0.0</v>
      </c>
      <c r="K83" s="1">
        <v>0.0</v>
      </c>
      <c r="L83" s="1">
        <v>1.0516194287885E13</v>
      </c>
      <c r="M83" s="1" t="s">
        <v>35</v>
      </c>
      <c r="N83" s="1" t="str">
        <f t="array" ref="N83">XLOOKUP(A:A,'CategoriasSeções'!A:A,'CategoriasSeções'!B:B)</f>
        <v>APOIO ATENDIMENTO</v>
      </c>
      <c r="O83" s="1" t="s">
        <v>36</v>
      </c>
      <c r="P83" s="3">
        <v>45353.62569444445</v>
      </c>
      <c r="Q83" s="3">
        <v>45526.52222222222</v>
      </c>
      <c r="R83" s="1" t="s">
        <v>475</v>
      </c>
      <c r="S83" s="1" t="s">
        <v>475</v>
      </c>
      <c r="T83" s="1" t="s">
        <v>38</v>
      </c>
      <c r="U83" s="1" t="s">
        <v>38</v>
      </c>
      <c r="V83" s="1" t="s">
        <v>75</v>
      </c>
      <c r="W83" s="1" t="s">
        <v>39</v>
      </c>
      <c r="X83" s="1" t="s">
        <v>39</v>
      </c>
      <c r="Y83" s="3">
        <v>45353.62569444445</v>
      </c>
      <c r="Z83" s="1" t="s">
        <v>40</v>
      </c>
      <c r="AA83" s="1">
        <v>1666192.0</v>
      </c>
      <c r="AB83" s="1" t="s">
        <v>55</v>
      </c>
      <c r="AC83" s="1" t="s">
        <v>55</v>
      </c>
      <c r="AD83" s="1" t="s">
        <v>476</v>
      </c>
      <c r="AE83" s="1" t="s">
        <v>44</v>
      </c>
    </row>
    <row r="84" ht="56.25" customHeight="1">
      <c r="A84" s="1">
        <v>2.4629332843661E13</v>
      </c>
      <c r="B84" s="2" t="s">
        <v>477</v>
      </c>
      <c r="C84" s="2" t="s">
        <v>478</v>
      </c>
      <c r="D84" s="1">
        <v>2.2354238362509E13</v>
      </c>
      <c r="E84" s="1" t="s">
        <v>437</v>
      </c>
      <c r="F84" s="1" t="b">
        <v>0</v>
      </c>
      <c r="G84" s="1" t="s">
        <v>34</v>
      </c>
      <c r="H84" s="1" t="b">
        <v>0</v>
      </c>
      <c r="I84" s="1">
        <v>0.0</v>
      </c>
      <c r="J84" s="1">
        <v>0.0</v>
      </c>
      <c r="K84" s="1">
        <v>0.0</v>
      </c>
      <c r="L84" s="1">
        <v>1.0516194287885E13</v>
      </c>
      <c r="M84" s="1" t="s">
        <v>35</v>
      </c>
      <c r="N84" s="1" t="str">
        <f t="array" ref="N84">XLOOKUP(A:A,'CategoriasSeções'!A:A,'CategoriasSeções'!B:B)</f>
        <v>APOIO ATENDIMENTO</v>
      </c>
      <c r="O84" s="1" t="s">
        <v>36</v>
      </c>
      <c r="P84" s="3">
        <v>45353.57708333333</v>
      </c>
      <c r="Q84" s="3">
        <v>45526.620833333334</v>
      </c>
      <c r="R84" s="1" t="s">
        <v>479</v>
      </c>
      <c r="S84" s="1" t="s">
        <v>479</v>
      </c>
      <c r="T84" s="1" t="s">
        <v>38</v>
      </c>
      <c r="U84" s="1" t="s">
        <v>38</v>
      </c>
      <c r="V84" s="1" t="s">
        <v>75</v>
      </c>
      <c r="W84" s="1" t="s">
        <v>39</v>
      </c>
      <c r="X84" s="1" t="s">
        <v>39</v>
      </c>
      <c r="Y84" s="3">
        <v>45353.57708333333</v>
      </c>
      <c r="Z84" s="1" t="s">
        <v>40</v>
      </c>
      <c r="AA84" s="1">
        <v>1666192.0</v>
      </c>
      <c r="AB84" s="1" t="s">
        <v>480</v>
      </c>
      <c r="AC84" s="1" t="s">
        <v>55</v>
      </c>
      <c r="AD84" s="1" t="s">
        <v>481</v>
      </c>
      <c r="AE84" s="1" t="s">
        <v>44</v>
      </c>
    </row>
    <row r="85" ht="56.25" customHeight="1">
      <c r="A85" s="1">
        <v>2.4627515210381E13</v>
      </c>
      <c r="B85" s="2" t="s">
        <v>482</v>
      </c>
      <c r="C85" s="2" t="s">
        <v>483</v>
      </c>
      <c r="D85" s="1">
        <v>2.3293533279885E13</v>
      </c>
      <c r="E85" s="1" t="s">
        <v>474</v>
      </c>
      <c r="F85" s="1" t="b">
        <v>1</v>
      </c>
      <c r="G85" s="1" t="s">
        <v>47</v>
      </c>
      <c r="H85" s="1" t="b">
        <v>0</v>
      </c>
      <c r="I85" s="1">
        <v>0.0</v>
      </c>
      <c r="J85" s="1">
        <v>0.0</v>
      </c>
      <c r="K85" s="1">
        <v>0.0</v>
      </c>
      <c r="L85" s="1">
        <v>1.0516194287885E13</v>
      </c>
      <c r="M85" s="1" t="s">
        <v>35</v>
      </c>
      <c r="N85" s="1" t="str">
        <f t="array" ref="N85">XLOOKUP(A:A,'CategoriasSeções'!A:A,'CategoriasSeções'!B:B)</f>
        <v>APOIO ATENDIMENTO</v>
      </c>
      <c r="O85" s="1" t="s">
        <v>36</v>
      </c>
      <c r="P85" s="3">
        <v>45353.493055555555</v>
      </c>
      <c r="Q85" s="3">
        <v>45353.493055555555</v>
      </c>
      <c r="R85" s="1" t="s">
        <v>484</v>
      </c>
      <c r="S85" s="1" t="s">
        <v>484</v>
      </c>
      <c r="T85" s="1" t="s">
        <v>38</v>
      </c>
      <c r="U85" s="1" t="s">
        <v>38</v>
      </c>
      <c r="V85" s="1" t="s">
        <v>75</v>
      </c>
      <c r="W85" s="1" t="s">
        <v>39</v>
      </c>
      <c r="X85" s="1" t="s">
        <v>39</v>
      </c>
      <c r="Y85" s="3">
        <v>45353.493055555555</v>
      </c>
      <c r="Z85" s="1" t="s">
        <v>40</v>
      </c>
      <c r="AA85" s="1">
        <v>1666192.0</v>
      </c>
      <c r="AB85" s="1" t="s">
        <v>55</v>
      </c>
      <c r="AC85" s="1" t="s">
        <v>485</v>
      </c>
      <c r="AD85" s="1" t="s">
        <v>486</v>
      </c>
      <c r="AE85" s="1" t="s">
        <v>44</v>
      </c>
    </row>
    <row r="86" ht="56.25" customHeight="1">
      <c r="A86" s="1">
        <v>2.4503978193677E13</v>
      </c>
      <c r="B86" s="2" t="s">
        <v>487</v>
      </c>
      <c r="C86" s="2" t="s">
        <v>488</v>
      </c>
      <c r="D86" s="1">
        <v>2.3293533279885E13</v>
      </c>
      <c r="E86" s="1" t="s">
        <v>474</v>
      </c>
      <c r="F86" s="1" t="b">
        <v>1</v>
      </c>
      <c r="G86" s="1" t="s">
        <v>47</v>
      </c>
      <c r="H86" s="1" t="b">
        <v>0</v>
      </c>
      <c r="I86" s="1">
        <v>0.0</v>
      </c>
      <c r="J86" s="1">
        <v>0.0</v>
      </c>
      <c r="K86" s="1">
        <v>0.0</v>
      </c>
      <c r="L86" s="1">
        <v>3.60013317151E11</v>
      </c>
      <c r="M86" s="1" t="s">
        <v>35</v>
      </c>
      <c r="N86" s="1" t="str">
        <f t="array" ref="N86">XLOOKUP(A:A,'CategoriasSeções'!A:A,'CategoriasSeções'!B:B)</f>
        <v>APOIO ATENDIMENTO</v>
      </c>
      <c r="O86" s="1" t="s">
        <v>53</v>
      </c>
      <c r="P86" s="3">
        <v>45349.76736111111</v>
      </c>
      <c r="Q86" s="3">
        <v>45349.76736111111</v>
      </c>
      <c r="R86" s="1" t="s">
        <v>489</v>
      </c>
      <c r="S86" s="1" t="s">
        <v>489</v>
      </c>
      <c r="T86" s="1" t="s">
        <v>38</v>
      </c>
      <c r="U86" s="1" t="s">
        <v>38</v>
      </c>
      <c r="V86" s="1" t="s">
        <v>75</v>
      </c>
      <c r="W86" s="1" t="s">
        <v>39</v>
      </c>
      <c r="X86" s="1" t="s">
        <v>39</v>
      </c>
      <c r="Y86" s="3">
        <v>45349.76736111111</v>
      </c>
      <c r="Z86" s="1" t="s">
        <v>40</v>
      </c>
      <c r="AA86" s="1">
        <v>1666192.0</v>
      </c>
      <c r="AB86" s="1" t="s">
        <v>55</v>
      </c>
      <c r="AC86" s="1" t="s">
        <v>490</v>
      </c>
      <c r="AD86" s="1" t="s">
        <v>491</v>
      </c>
      <c r="AE86" s="1" t="s">
        <v>44</v>
      </c>
    </row>
    <row r="87" ht="56.25" customHeight="1">
      <c r="A87" s="1">
        <v>2.4503908210701E13</v>
      </c>
      <c r="B87" s="2" t="s">
        <v>492</v>
      </c>
      <c r="C87" s="2" t="s">
        <v>493</v>
      </c>
      <c r="D87" s="1">
        <v>2.3293533279885E13</v>
      </c>
      <c r="E87" s="1" t="s">
        <v>474</v>
      </c>
      <c r="F87" s="1" t="b">
        <v>1</v>
      </c>
      <c r="G87" s="1" t="s">
        <v>47</v>
      </c>
      <c r="H87" s="1" t="b">
        <v>0</v>
      </c>
      <c r="I87" s="1">
        <v>0.0</v>
      </c>
      <c r="J87" s="1">
        <v>0.0</v>
      </c>
      <c r="K87" s="1">
        <v>0.0</v>
      </c>
      <c r="L87" s="1">
        <v>3.60009969192E11</v>
      </c>
      <c r="M87" s="1" t="s">
        <v>35</v>
      </c>
      <c r="N87" s="1" t="str">
        <f t="array" ref="N87">XLOOKUP(A:A,'CategoriasSeções'!A:A,'CategoriasSeções'!B:B)</f>
        <v>Canais de Atendimento</v>
      </c>
      <c r="O87" s="1" t="s">
        <v>494</v>
      </c>
      <c r="P87" s="3">
        <v>45349.76527777778</v>
      </c>
      <c r="Q87" s="3">
        <v>45349.76527777778</v>
      </c>
      <c r="R87" s="1" t="s">
        <v>495</v>
      </c>
      <c r="S87" s="1" t="s">
        <v>495</v>
      </c>
      <c r="T87" s="1" t="s">
        <v>38</v>
      </c>
      <c r="U87" s="1" t="s">
        <v>38</v>
      </c>
      <c r="V87" s="1" t="s">
        <v>75</v>
      </c>
      <c r="W87" s="1" t="s">
        <v>39</v>
      </c>
      <c r="X87" s="1" t="s">
        <v>39</v>
      </c>
      <c r="Y87" s="3">
        <v>45349.76527777778</v>
      </c>
      <c r="Z87" s="1" t="s">
        <v>40</v>
      </c>
      <c r="AA87" s="1">
        <v>1666192.0</v>
      </c>
      <c r="AB87" s="1" t="s">
        <v>55</v>
      </c>
      <c r="AC87" s="1" t="s">
        <v>496</v>
      </c>
      <c r="AD87" s="1" t="s">
        <v>497</v>
      </c>
      <c r="AE87" s="1" t="s">
        <v>44</v>
      </c>
    </row>
    <row r="88" ht="56.25" customHeight="1">
      <c r="A88" s="1">
        <v>2.4503817095821E13</v>
      </c>
      <c r="B88" s="2" t="s">
        <v>498</v>
      </c>
      <c r="C88" s="2" t="s">
        <v>499</v>
      </c>
      <c r="D88" s="1">
        <v>2.3293533279885E13</v>
      </c>
      <c r="E88" s="1" t="s">
        <v>474</v>
      </c>
      <c r="F88" s="1" t="b">
        <v>1</v>
      </c>
      <c r="G88" s="1" t="s">
        <v>47</v>
      </c>
      <c r="H88" s="1" t="b">
        <v>0</v>
      </c>
      <c r="I88" s="1">
        <v>0.0</v>
      </c>
      <c r="J88" s="1">
        <v>0.0</v>
      </c>
      <c r="K88" s="1">
        <v>0.0</v>
      </c>
      <c r="L88" s="1">
        <v>3.60013317151E11</v>
      </c>
      <c r="M88" s="1" t="s">
        <v>35</v>
      </c>
      <c r="N88" s="1" t="str">
        <f t="array" ref="N88">XLOOKUP(A:A,'CategoriasSeções'!A:A,'CategoriasSeções'!B:B)</f>
        <v>APOIO ATENDIMENTO</v>
      </c>
      <c r="O88" s="1" t="s">
        <v>53</v>
      </c>
      <c r="P88" s="3">
        <v>45349.76388888889</v>
      </c>
      <c r="Q88" s="3">
        <v>45349.76388888889</v>
      </c>
      <c r="R88" s="1" t="s">
        <v>500</v>
      </c>
      <c r="S88" s="1" t="s">
        <v>500</v>
      </c>
      <c r="T88" s="1" t="s">
        <v>38</v>
      </c>
      <c r="U88" s="1" t="s">
        <v>38</v>
      </c>
      <c r="V88" s="1" t="s">
        <v>75</v>
      </c>
      <c r="W88" s="1" t="s">
        <v>39</v>
      </c>
      <c r="X88" s="1" t="s">
        <v>39</v>
      </c>
      <c r="Y88" s="3">
        <v>45349.76388888889</v>
      </c>
      <c r="Z88" s="1" t="s">
        <v>40</v>
      </c>
      <c r="AA88" s="1">
        <v>1666192.0</v>
      </c>
      <c r="AB88" s="1" t="s">
        <v>55</v>
      </c>
      <c r="AC88" s="1" t="s">
        <v>501</v>
      </c>
      <c r="AD88" s="1" t="s">
        <v>502</v>
      </c>
      <c r="AE88" s="1" t="s">
        <v>44</v>
      </c>
    </row>
    <row r="89" ht="56.25" customHeight="1">
      <c r="A89" s="1">
        <v>2.4503739866381E13</v>
      </c>
      <c r="B89" s="2" t="s">
        <v>503</v>
      </c>
      <c r="C89" s="2" t="s">
        <v>504</v>
      </c>
      <c r="D89" s="1">
        <v>2.3293533279885E13</v>
      </c>
      <c r="E89" s="1" t="s">
        <v>474</v>
      </c>
      <c r="F89" s="1" t="b">
        <v>1</v>
      </c>
      <c r="G89" s="1" t="s">
        <v>47</v>
      </c>
      <c r="H89" s="1" t="b">
        <v>0</v>
      </c>
      <c r="I89" s="1">
        <v>0.0</v>
      </c>
      <c r="J89" s="1">
        <v>0.0</v>
      </c>
      <c r="K89" s="1">
        <v>0.0</v>
      </c>
      <c r="L89" s="1">
        <v>3.60013317151E11</v>
      </c>
      <c r="M89" s="1" t="s">
        <v>35</v>
      </c>
      <c r="N89" s="1" t="str">
        <f t="array" ref="N89">XLOOKUP(A:A,'CategoriasSeções'!A:A,'CategoriasSeções'!B:B)</f>
        <v>APOIO ATENDIMENTO</v>
      </c>
      <c r="O89" s="1" t="s">
        <v>53</v>
      </c>
      <c r="P89" s="3">
        <v>45349.7625</v>
      </c>
      <c r="Q89" s="3">
        <v>45349.7625</v>
      </c>
      <c r="R89" s="1" t="s">
        <v>505</v>
      </c>
      <c r="S89" s="1" t="s">
        <v>505</v>
      </c>
      <c r="T89" s="1" t="s">
        <v>38</v>
      </c>
      <c r="U89" s="1" t="s">
        <v>38</v>
      </c>
      <c r="V89" s="1" t="s">
        <v>75</v>
      </c>
      <c r="W89" s="1" t="s">
        <v>39</v>
      </c>
      <c r="X89" s="1" t="s">
        <v>39</v>
      </c>
      <c r="Y89" s="3">
        <v>45349.7625</v>
      </c>
      <c r="Z89" s="1" t="s">
        <v>40</v>
      </c>
      <c r="AA89" s="1">
        <v>1666192.0</v>
      </c>
      <c r="AB89" s="1" t="s">
        <v>55</v>
      </c>
      <c r="AC89" s="1" t="s">
        <v>506</v>
      </c>
      <c r="AD89" s="1" t="s">
        <v>507</v>
      </c>
      <c r="AE89" s="1" t="s">
        <v>44</v>
      </c>
    </row>
    <row r="90" ht="56.25" customHeight="1">
      <c r="A90" s="1">
        <v>2.4503660244237E13</v>
      </c>
      <c r="B90" s="2" t="s">
        <v>508</v>
      </c>
      <c r="C90" s="2" t="s">
        <v>509</v>
      </c>
      <c r="D90" s="1">
        <v>2.3293533279885E13</v>
      </c>
      <c r="E90" s="1" t="s">
        <v>474</v>
      </c>
      <c r="F90" s="1" t="b">
        <v>1</v>
      </c>
      <c r="G90" s="1" t="s">
        <v>47</v>
      </c>
      <c r="H90" s="1" t="b">
        <v>0</v>
      </c>
      <c r="I90" s="1">
        <v>0.0</v>
      </c>
      <c r="J90" s="1">
        <v>0.0</v>
      </c>
      <c r="K90" s="1">
        <v>0.0</v>
      </c>
      <c r="L90" s="1">
        <v>3.60013317151E11</v>
      </c>
      <c r="M90" s="1" t="s">
        <v>35</v>
      </c>
      <c r="N90" s="1" t="str">
        <f t="array" ref="N90">XLOOKUP(A:A,'CategoriasSeções'!A:A,'CategoriasSeções'!B:B)</f>
        <v>APOIO ATENDIMENTO</v>
      </c>
      <c r="O90" s="1" t="s">
        <v>53</v>
      </c>
      <c r="P90" s="3">
        <v>45349.76111111111</v>
      </c>
      <c r="Q90" s="3">
        <v>45349.76111111111</v>
      </c>
      <c r="R90" s="1" t="s">
        <v>510</v>
      </c>
      <c r="S90" s="1" t="s">
        <v>510</v>
      </c>
      <c r="T90" s="1" t="s">
        <v>38</v>
      </c>
      <c r="U90" s="1" t="s">
        <v>38</v>
      </c>
      <c r="V90" s="1" t="s">
        <v>75</v>
      </c>
      <c r="W90" s="1" t="s">
        <v>39</v>
      </c>
      <c r="X90" s="1" t="s">
        <v>39</v>
      </c>
      <c r="Y90" s="3">
        <v>45349.76111111111</v>
      </c>
      <c r="Z90" s="1" t="s">
        <v>40</v>
      </c>
      <c r="AA90" s="1">
        <v>1666192.0</v>
      </c>
      <c r="AB90" s="1" t="s">
        <v>55</v>
      </c>
      <c r="AC90" s="1" t="s">
        <v>511</v>
      </c>
      <c r="AD90" s="1" t="s">
        <v>512</v>
      </c>
      <c r="AE90" s="1" t="s">
        <v>44</v>
      </c>
    </row>
    <row r="91" ht="56.25" customHeight="1">
      <c r="A91" s="1">
        <v>2.4500388349325E13</v>
      </c>
      <c r="B91" s="2" t="s">
        <v>513</v>
      </c>
      <c r="C91" s="2" t="s">
        <v>514</v>
      </c>
      <c r="D91" s="1">
        <v>2.3293533279885E13</v>
      </c>
      <c r="E91" s="1" t="s">
        <v>474</v>
      </c>
      <c r="F91" s="1" t="b">
        <v>1</v>
      </c>
      <c r="G91" s="1" t="s">
        <v>47</v>
      </c>
      <c r="H91" s="1" t="b">
        <v>0</v>
      </c>
      <c r="I91" s="1">
        <v>0.0</v>
      </c>
      <c r="J91" s="1">
        <v>0.0</v>
      </c>
      <c r="K91" s="1">
        <v>0.0</v>
      </c>
      <c r="L91" s="1">
        <v>3.60010154272E11</v>
      </c>
      <c r="M91" s="1" t="s">
        <v>35</v>
      </c>
      <c r="N91" s="1" t="str">
        <f t="array" ref="N91">XLOOKUP(A:A,'CategoriasSeções'!A:A,'CategoriasSeções'!B:B)</f>
        <v>Dúvidas Gerais</v>
      </c>
      <c r="O91" s="1" t="s">
        <v>85</v>
      </c>
      <c r="P91" s="3">
        <v>45349.708333333336</v>
      </c>
      <c r="Q91" s="3">
        <v>45526.57638888889</v>
      </c>
      <c r="R91" s="1" t="s">
        <v>515</v>
      </c>
      <c r="S91" s="1" t="s">
        <v>515</v>
      </c>
      <c r="T91" s="1" t="s">
        <v>38</v>
      </c>
      <c r="U91" s="1" t="s">
        <v>38</v>
      </c>
      <c r="V91" s="1" t="s">
        <v>75</v>
      </c>
      <c r="W91" s="1" t="s">
        <v>39</v>
      </c>
      <c r="X91" s="1" t="s">
        <v>39</v>
      </c>
      <c r="Y91" s="3">
        <v>45349.708333333336</v>
      </c>
      <c r="Z91" s="1" t="s">
        <v>40</v>
      </c>
      <c r="AA91" s="1">
        <v>1666192.0</v>
      </c>
      <c r="AB91" s="1" t="s">
        <v>55</v>
      </c>
      <c r="AC91" s="1" t="s">
        <v>516</v>
      </c>
      <c r="AD91" s="1" t="s">
        <v>517</v>
      </c>
      <c r="AE91" s="1" t="s">
        <v>44</v>
      </c>
    </row>
    <row r="92" ht="56.25" customHeight="1">
      <c r="A92" s="1">
        <v>2.4500060040333E13</v>
      </c>
      <c r="B92" s="2" t="s">
        <v>518</v>
      </c>
      <c r="C92" s="2" t="s">
        <v>519</v>
      </c>
      <c r="D92" s="1">
        <v>2.3293533279885E13</v>
      </c>
      <c r="E92" s="1" t="s">
        <v>474</v>
      </c>
      <c r="F92" s="1" t="b">
        <v>1</v>
      </c>
      <c r="G92" s="1" t="s">
        <v>47</v>
      </c>
      <c r="H92" s="1" t="b">
        <v>0</v>
      </c>
      <c r="I92" s="1">
        <v>0.0</v>
      </c>
      <c r="J92" s="1">
        <v>0.0</v>
      </c>
      <c r="K92" s="1">
        <v>0.0</v>
      </c>
      <c r="L92" s="1">
        <v>1.0516194287885E13</v>
      </c>
      <c r="M92" s="1" t="s">
        <v>35</v>
      </c>
      <c r="N92" s="1" t="str">
        <f t="array" ref="N92">XLOOKUP(A:A,'CategoriasSeções'!A:A,'CategoriasSeções'!B:B)</f>
        <v>APOIO ATENDIMENTO</v>
      </c>
      <c r="O92" s="1" t="s">
        <v>36</v>
      </c>
      <c r="P92" s="3">
        <v>45349.70208333333</v>
      </c>
      <c r="Q92" s="3">
        <v>45349.70208333333</v>
      </c>
      <c r="R92" s="1" t="s">
        <v>520</v>
      </c>
      <c r="S92" s="1" t="s">
        <v>520</v>
      </c>
      <c r="T92" s="1" t="s">
        <v>38</v>
      </c>
      <c r="U92" s="1" t="s">
        <v>38</v>
      </c>
      <c r="V92" s="1" t="s">
        <v>75</v>
      </c>
      <c r="W92" s="1" t="s">
        <v>39</v>
      </c>
      <c r="X92" s="1" t="s">
        <v>39</v>
      </c>
      <c r="Y92" s="3">
        <v>45349.70208333333</v>
      </c>
      <c r="Z92" s="1" t="s">
        <v>40</v>
      </c>
      <c r="AA92" s="1">
        <v>1666192.0</v>
      </c>
      <c r="AB92" s="1" t="s">
        <v>55</v>
      </c>
      <c r="AC92" s="1" t="s">
        <v>521</v>
      </c>
      <c r="AD92" s="1" t="s">
        <v>522</v>
      </c>
      <c r="AE92" s="1" t="s">
        <v>44</v>
      </c>
    </row>
    <row r="93" ht="56.25" customHeight="1">
      <c r="A93" s="1">
        <v>2.4499751348109E13</v>
      </c>
      <c r="B93" s="2" t="s">
        <v>523</v>
      </c>
      <c r="C93" s="2" t="s">
        <v>524</v>
      </c>
      <c r="D93" s="1">
        <v>2.3293533279885E13</v>
      </c>
      <c r="E93" s="1" t="s">
        <v>474</v>
      </c>
      <c r="F93" s="1" t="b">
        <v>1</v>
      </c>
      <c r="G93" s="1" t="s">
        <v>47</v>
      </c>
      <c r="H93" s="1" t="b">
        <v>0</v>
      </c>
      <c r="I93" s="1">
        <v>0.0</v>
      </c>
      <c r="J93" s="1">
        <v>0.0</v>
      </c>
      <c r="K93" s="1">
        <v>0.0</v>
      </c>
      <c r="L93" s="1">
        <v>1.0516194287885E13</v>
      </c>
      <c r="M93" s="1" t="s">
        <v>35</v>
      </c>
      <c r="N93" s="1" t="str">
        <f t="array" ref="N93">XLOOKUP(A:A,'CategoriasSeções'!A:A,'CategoriasSeções'!B:B)</f>
        <v>APOIO ATENDIMENTO</v>
      </c>
      <c r="O93" s="1" t="s">
        <v>36</v>
      </c>
      <c r="P93" s="3">
        <v>45349.697222222225</v>
      </c>
      <c r="Q93" s="3">
        <v>45349.697222222225</v>
      </c>
      <c r="R93" s="1" t="s">
        <v>525</v>
      </c>
      <c r="S93" s="1" t="s">
        <v>525</v>
      </c>
      <c r="T93" s="1" t="s">
        <v>38</v>
      </c>
      <c r="U93" s="1" t="s">
        <v>38</v>
      </c>
      <c r="V93" s="1" t="s">
        <v>75</v>
      </c>
      <c r="W93" s="1" t="s">
        <v>39</v>
      </c>
      <c r="X93" s="1" t="s">
        <v>39</v>
      </c>
      <c r="Y93" s="3">
        <v>45349.697222222225</v>
      </c>
      <c r="Z93" s="1" t="s">
        <v>40</v>
      </c>
      <c r="AA93" s="1">
        <v>1666192.0</v>
      </c>
      <c r="AB93" s="1" t="s">
        <v>55</v>
      </c>
      <c r="AC93" s="1" t="s">
        <v>526</v>
      </c>
      <c r="AD93" s="1" t="s">
        <v>527</v>
      </c>
      <c r="AE93" s="1" t="s">
        <v>44</v>
      </c>
    </row>
    <row r="94" ht="56.25" customHeight="1">
      <c r="A94" s="1">
        <v>2.4466294676109E13</v>
      </c>
      <c r="B94" s="2" t="s">
        <v>528</v>
      </c>
      <c r="C94" s="2" t="s">
        <v>529</v>
      </c>
      <c r="D94" s="1">
        <v>2.3293533279885E13</v>
      </c>
      <c r="E94" s="1" t="s">
        <v>474</v>
      </c>
      <c r="F94" s="1" t="b">
        <v>1</v>
      </c>
      <c r="G94" s="1" t="s">
        <v>47</v>
      </c>
      <c r="H94" s="1" t="b">
        <v>0</v>
      </c>
      <c r="I94" s="1">
        <v>0.0</v>
      </c>
      <c r="J94" s="1">
        <v>0.0</v>
      </c>
      <c r="K94" s="1">
        <v>0.0</v>
      </c>
      <c r="L94" s="1">
        <v>1.0516194287885E13</v>
      </c>
      <c r="M94" s="1" t="s">
        <v>35</v>
      </c>
      <c r="N94" s="1" t="str">
        <f t="array" ref="N94">XLOOKUP(A:A,'CategoriasSeções'!A:A,'CategoriasSeções'!B:B)</f>
        <v>APOIO ATENDIMENTO</v>
      </c>
      <c r="O94" s="1" t="s">
        <v>36</v>
      </c>
      <c r="P94" s="3">
        <v>45348.756944444445</v>
      </c>
      <c r="Q94" s="3">
        <v>45526.57638888889</v>
      </c>
      <c r="R94" s="1" t="s">
        <v>530</v>
      </c>
      <c r="S94" s="1" t="s">
        <v>530</v>
      </c>
      <c r="T94" s="1" t="s">
        <v>38</v>
      </c>
      <c r="U94" s="1" t="s">
        <v>38</v>
      </c>
      <c r="V94" s="1" t="s">
        <v>75</v>
      </c>
      <c r="W94" s="1" t="s">
        <v>39</v>
      </c>
      <c r="X94" s="1" t="s">
        <v>39</v>
      </c>
      <c r="Y94" s="3">
        <v>45348.756944444445</v>
      </c>
      <c r="Z94" s="1" t="s">
        <v>40</v>
      </c>
      <c r="AA94" s="1">
        <v>1666192.0</v>
      </c>
      <c r="AB94" s="1" t="s">
        <v>55</v>
      </c>
      <c r="AC94" s="1" t="s">
        <v>55</v>
      </c>
      <c r="AD94" s="1" t="s">
        <v>531</v>
      </c>
      <c r="AE94" s="1" t="s">
        <v>44</v>
      </c>
    </row>
    <row r="95" ht="56.25" customHeight="1">
      <c r="A95" s="1">
        <v>2.4416965172109E13</v>
      </c>
      <c r="B95" s="2" t="s">
        <v>532</v>
      </c>
      <c r="C95" s="2" t="s">
        <v>533</v>
      </c>
      <c r="D95" s="1">
        <v>2.2354238362509E13</v>
      </c>
      <c r="E95" s="1" t="s">
        <v>437</v>
      </c>
      <c r="F95" s="1" t="b">
        <v>1</v>
      </c>
      <c r="G95" s="1" t="s">
        <v>47</v>
      </c>
      <c r="H95" s="1" t="b">
        <v>0</v>
      </c>
      <c r="I95" s="1">
        <v>0.0</v>
      </c>
      <c r="J95" s="1">
        <v>0.0</v>
      </c>
      <c r="K95" s="1">
        <v>0.0</v>
      </c>
      <c r="L95" s="1">
        <v>1.0516194287885E13</v>
      </c>
      <c r="M95" s="1" t="s">
        <v>35</v>
      </c>
      <c r="N95" s="1" t="str">
        <f t="array" ref="N95">XLOOKUP(A:A,'CategoriasSeções'!A:A,'CategoriasSeções'!B:B)</f>
        <v>APOIO ATENDIMENTO</v>
      </c>
      <c r="O95" s="1" t="s">
        <v>36</v>
      </c>
      <c r="P95" s="3">
        <v>45346.59930555556</v>
      </c>
      <c r="Q95" s="3">
        <v>45346.61041666667</v>
      </c>
      <c r="R95" s="1" t="s">
        <v>534</v>
      </c>
      <c r="S95" s="1" t="s">
        <v>534</v>
      </c>
      <c r="T95" s="1" t="s">
        <v>38</v>
      </c>
      <c r="U95" s="1" t="s">
        <v>38</v>
      </c>
      <c r="V95" s="1" t="s">
        <v>75</v>
      </c>
      <c r="W95" s="1" t="s">
        <v>39</v>
      </c>
      <c r="X95" s="1" t="s">
        <v>39</v>
      </c>
      <c r="Y95" s="3">
        <v>45346.61041666667</v>
      </c>
      <c r="Z95" s="1" t="s">
        <v>40</v>
      </c>
      <c r="AA95" s="1">
        <v>1666192.0</v>
      </c>
      <c r="AB95" s="1" t="s">
        <v>535</v>
      </c>
      <c r="AC95" s="1" t="s">
        <v>55</v>
      </c>
      <c r="AD95" s="1" t="s">
        <v>536</v>
      </c>
      <c r="AE95" s="1" t="s">
        <v>44</v>
      </c>
    </row>
    <row r="96" ht="56.25" customHeight="1">
      <c r="A96" s="1">
        <v>2.4415735639053E13</v>
      </c>
      <c r="B96" s="2" t="s">
        <v>537</v>
      </c>
      <c r="C96" s="2" t="s">
        <v>538</v>
      </c>
      <c r="D96" s="1">
        <v>2.3293533279885E13</v>
      </c>
      <c r="E96" s="1" t="s">
        <v>474</v>
      </c>
      <c r="F96" s="1" t="b">
        <v>0</v>
      </c>
      <c r="G96" s="1" t="s">
        <v>34</v>
      </c>
      <c r="H96" s="1" t="b">
        <v>0</v>
      </c>
      <c r="I96" s="1">
        <v>0.0</v>
      </c>
      <c r="J96" s="1">
        <v>0.0</v>
      </c>
      <c r="K96" s="1">
        <v>0.0</v>
      </c>
      <c r="L96" s="1">
        <v>1.0516194287885E13</v>
      </c>
      <c r="M96" s="1" t="s">
        <v>35</v>
      </c>
      <c r="N96" s="1" t="str">
        <f t="array" ref="N96">XLOOKUP(A:A,'CategoriasSeções'!A:A,'CategoriasSeções'!B:B)</f>
        <v>APOIO ATENDIMENTO</v>
      </c>
      <c r="O96" s="1" t="s">
        <v>36</v>
      </c>
      <c r="P96" s="3">
        <v>45346.544444444444</v>
      </c>
      <c r="Q96" s="3">
        <v>45722.525</v>
      </c>
      <c r="R96" s="1" t="s">
        <v>539</v>
      </c>
      <c r="S96" s="1" t="s">
        <v>539</v>
      </c>
      <c r="T96" s="1" t="s">
        <v>38</v>
      </c>
      <c r="U96" s="1" t="s">
        <v>38</v>
      </c>
      <c r="V96" s="1" t="s">
        <v>75</v>
      </c>
      <c r="W96" s="1" t="s">
        <v>39</v>
      </c>
      <c r="X96" s="1" t="s">
        <v>39</v>
      </c>
      <c r="Y96" s="3">
        <v>45346.544444444444</v>
      </c>
      <c r="Z96" s="1" t="s">
        <v>40</v>
      </c>
      <c r="AA96" s="1">
        <v>1666192.0</v>
      </c>
      <c r="AB96" s="1" t="s">
        <v>55</v>
      </c>
      <c r="AC96" s="1" t="s">
        <v>540</v>
      </c>
      <c r="AD96" s="1" t="s">
        <v>541</v>
      </c>
      <c r="AE96" s="1" t="s">
        <v>44</v>
      </c>
    </row>
    <row r="97" ht="56.25" customHeight="1">
      <c r="A97" s="1">
        <v>2.4415359538957E13</v>
      </c>
      <c r="B97" s="2" t="s">
        <v>542</v>
      </c>
      <c r="C97" s="2" t="s">
        <v>543</v>
      </c>
      <c r="D97" s="1">
        <v>2.2417886859405E13</v>
      </c>
      <c r="E97" s="1" t="s">
        <v>228</v>
      </c>
      <c r="F97" s="1" t="b">
        <v>0</v>
      </c>
      <c r="G97" s="1" t="s">
        <v>34</v>
      </c>
      <c r="H97" s="1" t="b">
        <v>0</v>
      </c>
      <c r="I97" s="1">
        <v>0.0</v>
      </c>
      <c r="J97" s="1">
        <v>0.0</v>
      </c>
      <c r="K97" s="1">
        <v>0.0</v>
      </c>
      <c r="L97" s="1">
        <v>1.0516194287885E13</v>
      </c>
      <c r="M97" s="1" t="s">
        <v>35</v>
      </c>
      <c r="N97" s="1" t="str">
        <f t="array" ref="N97">XLOOKUP(A:A,'CategoriasSeções'!A:A,'CategoriasSeções'!B:B)</f>
        <v>APOIO ATENDIMENTO</v>
      </c>
      <c r="O97" s="1" t="s">
        <v>36</v>
      </c>
      <c r="P97" s="3">
        <v>45346.52847222222</v>
      </c>
      <c r="Q97" s="3">
        <v>45526.55972222222</v>
      </c>
      <c r="R97" s="1" t="s">
        <v>544</v>
      </c>
      <c r="S97" s="1" t="s">
        <v>544</v>
      </c>
      <c r="T97" s="1" t="s">
        <v>38</v>
      </c>
      <c r="U97" s="1" t="s">
        <v>38</v>
      </c>
      <c r="V97" s="1" t="s">
        <v>75</v>
      </c>
      <c r="W97" s="1" t="s">
        <v>39</v>
      </c>
      <c r="X97" s="1" t="s">
        <v>39</v>
      </c>
      <c r="Y97" s="3">
        <v>45346.56736111111</v>
      </c>
      <c r="Z97" s="1" t="s">
        <v>40</v>
      </c>
      <c r="AA97" s="1">
        <v>1666192.0</v>
      </c>
      <c r="AB97" s="1" t="s">
        <v>545</v>
      </c>
      <c r="AC97" s="1" t="s">
        <v>546</v>
      </c>
      <c r="AD97" s="1" t="s">
        <v>547</v>
      </c>
      <c r="AE97" s="1" t="s">
        <v>44</v>
      </c>
    </row>
    <row r="98" ht="56.25" customHeight="1">
      <c r="A98" s="1">
        <v>2.4369015719949E13</v>
      </c>
      <c r="B98" s="2" t="s">
        <v>548</v>
      </c>
      <c r="C98" s="2" t="s">
        <v>549</v>
      </c>
      <c r="D98" s="1">
        <v>2.2354238362509E13</v>
      </c>
      <c r="E98" s="1" t="s">
        <v>437</v>
      </c>
      <c r="F98" s="1" t="b">
        <v>0</v>
      </c>
      <c r="G98" s="1" t="s">
        <v>34</v>
      </c>
      <c r="H98" s="1" t="b">
        <v>0</v>
      </c>
      <c r="I98" s="1">
        <v>0.0</v>
      </c>
      <c r="J98" s="1">
        <v>0.0</v>
      </c>
      <c r="K98" s="1">
        <v>0.0</v>
      </c>
      <c r="L98" s="1">
        <v>1.0516194287885E13</v>
      </c>
      <c r="M98" s="1" t="s">
        <v>35</v>
      </c>
      <c r="N98" s="1" t="str">
        <f t="array" ref="N98">XLOOKUP(A:A,'CategoriasSeções'!A:A,'CategoriasSeções'!B:B)</f>
        <v>APOIO ATENDIMENTO</v>
      </c>
      <c r="O98" s="1" t="s">
        <v>36</v>
      </c>
      <c r="P98" s="3">
        <v>45344.85277777778</v>
      </c>
      <c r="Q98" s="3">
        <v>45526.611805555556</v>
      </c>
      <c r="R98" s="1" t="s">
        <v>550</v>
      </c>
      <c r="S98" s="1" t="s">
        <v>550</v>
      </c>
      <c r="T98" s="1" t="s">
        <v>38</v>
      </c>
      <c r="U98" s="1" t="s">
        <v>38</v>
      </c>
      <c r="V98" s="1" t="s">
        <v>75</v>
      </c>
      <c r="W98" s="1" t="s">
        <v>39</v>
      </c>
      <c r="X98" s="1" t="s">
        <v>39</v>
      </c>
      <c r="Y98" s="3">
        <v>45395.55138888889</v>
      </c>
      <c r="Z98" s="1" t="s">
        <v>40</v>
      </c>
      <c r="AA98" s="1">
        <v>1666192.0</v>
      </c>
      <c r="AB98" s="1" t="s">
        <v>55</v>
      </c>
      <c r="AC98" s="1" t="s">
        <v>551</v>
      </c>
      <c r="AD98" s="1" t="s">
        <v>552</v>
      </c>
      <c r="AE98" s="1" t="s">
        <v>44</v>
      </c>
    </row>
    <row r="99" ht="56.25" customHeight="1">
      <c r="A99" s="1">
        <v>2.4364194894989E13</v>
      </c>
      <c r="B99" s="2" t="s">
        <v>553</v>
      </c>
      <c r="C99" s="2" t="s">
        <v>554</v>
      </c>
      <c r="D99" s="1">
        <v>2.2354238362509E13</v>
      </c>
      <c r="E99" s="1" t="s">
        <v>437</v>
      </c>
      <c r="F99" s="1" t="b">
        <v>0</v>
      </c>
      <c r="G99" s="1" t="s">
        <v>34</v>
      </c>
      <c r="H99" s="1" t="b">
        <v>0</v>
      </c>
      <c r="I99" s="1">
        <v>0.0</v>
      </c>
      <c r="J99" s="1">
        <v>0.0</v>
      </c>
      <c r="K99" s="1">
        <v>0.0</v>
      </c>
      <c r="L99" s="1">
        <v>1.0516194287885E13</v>
      </c>
      <c r="M99" s="1" t="s">
        <v>35</v>
      </c>
      <c r="N99" s="1" t="str">
        <f t="array" ref="N99">XLOOKUP(A:A,'CategoriasSeções'!A:A,'CategoriasSeções'!B:B)</f>
        <v>APOIO ATENDIMENTO</v>
      </c>
      <c r="O99" s="1" t="s">
        <v>36</v>
      </c>
      <c r="P99" s="3">
        <v>45344.7625</v>
      </c>
      <c r="Q99" s="3">
        <v>45353.58125</v>
      </c>
      <c r="R99" s="1" t="s">
        <v>555</v>
      </c>
      <c r="S99" s="1" t="s">
        <v>555</v>
      </c>
      <c r="T99" s="1" t="s">
        <v>38</v>
      </c>
      <c r="U99" s="1" t="s">
        <v>38</v>
      </c>
      <c r="V99" s="1" t="s">
        <v>75</v>
      </c>
      <c r="W99" s="1" t="s">
        <v>39</v>
      </c>
      <c r="X99" s="1" t="s">
        <v>39</v>
      </c>
      <c r="Y99" s="3">
        <v>45353.58125</v>
      </c>
      <c r="Z99" s="1" t="s">
        <v>40</v>
      </c>
      <c r="AA99" s="1">
        <v>1666192.0</v>
      </c>
      <c r="AB99" s="1" t="s">
        <v>556</v>
      </c>
      <c r="AC99" s="1" t="s">
        <v>557</v>
      </c>
      <c r="AD99" s="1" t="s">
        <v>558</v>
      </c>
      <c r="AE99" s="1" t="s">
        <v>44</v>
      </c>
    </row>
    <row r="100" ht="56.25" customHeight="1">
      <c r="A100" s="1">
        <v>2.4364089757965E13</v>
      </c>
      <c r="B100" s="2" t="s">
        <v>559</v>
      </c>
      <c r="C100" s="2" t="s">
        <v>560</v>
      </c>
      <c r="D100" s="1">
        <v>2.3293533279885E13</v>
      </c>
      <c r="E100" s="1" t="s">
        <v>474</v>
      </c>
      <c r="F100" s="1" t="b">
        <v>1</v>
      </c>
      <c r="G100" s="1" t="s">
        <v>47</v>
      </c>
      <c r="H100" s="1" t="b">
        <v>0</v>
      </c>
      <c r="I100" s="1">
        <v>0.0</v>
      </c>
      <c r="J100" s="1">
        <v>0.0</v>
      </c>
      <c r="K100" s="1">
        <v>0.0</v>
      </c>
      <c r="L100" s="1">
        <v>1.0516194287885E13</v>
      </c>
      <c r="M100" s="1" t="s">
        <v>35</v>
      </c>
      <c r="N100" s="1" t="str">
        <f t="array" ref="N100">XLOOKUP(A:A,'CategoriasSeções'!A:A,'CategoriasSeções'!B:B)</f>
        <v>APOIO ATENDIMENTO</v>
      </c>
      <c r="O100" s="1" t="s">
        <v>36</v>
      </c>
      <c r="P100" s="3">
        <v>45344.76111111111</v>
      </c>
      <c r="Q100" s="3">
        <v>45722.71944444445</v>
      </c>
      <c r="R100" s="1" t="s">
        <v>561</v>
      </c>
      <c r="S100" s="1" t="s">
        <v>561</v>
      </c>
      <c r="T100" s="1" t="s">
        <v>38</v>
      </c>
      <c r="U100" s="1" t="s">
        <v>38</v>
      </c>
      <c r="V100" s="1" t="s">
        <v>75</v>
      </c>
      <c r="W100" s="1" t="s">
        <v>39</v>
      </c>
      <c r="X100" s="1" t="s">
        <v>39</v>
      </c>
      <c r="Y100" s="3">
        <v>45722.71944444445</v>
      </c>
      <c r="Z100" s="1" t="s">
        <v>40</v>
      </c>
      <c r="AA100" s="1">
        <v>1666192.0</v>
      </c>
      <c r="AB100" s="1" t="s">
        <v>55</v>
      </c>
      <c r="AC100" s="1" t="s">
        <v>55</v>
      </c>
      <c r="AD100" s="1" t="s">
        <v>562</v>
      </c>
      <c r="AE100" s="1" t="s">
        <v>44</v>
      </c>
    </row>
    <row r="101" ht="56.25" customHeight="1">
      <c r="A101" s="1">
        <v>2.4329379792397E13</v>
      </c>
      <c r="B101" s="2" t="s">
        <v>563</v>
      </c>
      <c r="C101" s="2" t="s">
        <v>564</v>
      </c>
      <c r="D101" s="1">
        <v>2.2354238362509E13</v>
      </c>
      <c r="E101" s="1" t="s">
        <v>437</v>
      </c>
      <c r="F101" s="1" t="b">
        <v>0</v>
      </c>
      <c r="G101" s="1" t="s">
        <v>34</v>
      </c>
      <c r="H101" s="1" t="b">
        <v>0</v>
      </c>
      <c r="I101" s="1">
        <v>0.0</v>
      </c>
      <c r="J101" s="1">
        <v>0.0</v>
      </c>
      <c r="K101" s="1">
        <v>0.0</v>
      </c>
      <c r="L101" s="1">
        <v>1.0516194287885E13</v>
      </c>
      <c r="M101" s="1" t="s">
        <v>35</v>
      </c>
      <c r="N101" s="1" t="str">
        <f t="array" ref="N101">XLOOKUP(A:A,'CategoriasSeções'!A:A,'CategoriasSeções'!B:B)</f>
        <v>APOIO ATENDIMENTO</v>
      </c>
      <c r="O101" s="1" t="s">
        <v>36</v>
      </c>
      <c r="P101" s="3">
        <v>45343.75208333333</v>
      </c>
      <c r="Q101" s="3">
        <v>45526.620833333334</v>
      </c>
      <c r="R101" s="1" t="s">
        <v>565</v>
      </c>
      <c r="S101" s="1" t="s">
        <v>565</v>
      </c>
      <c r="T101" s="1" t="s">
        <v>38</v>
      </c>
      <c r="U101" s="1" t="s">
        <v>38</v>
      </c>
      <c r="V101" s="1" t="s">
        <v>75</v>
      </c>
      <c r="W101" s="1" t="s">
        <v>39</v>
      </c>
      <c r="X101" s="1" t="s">
        <v>39</v>
      </c>
      <c r="Y101" s="3">
        <v>45346.50208333333</v>
      </c>
      <c r="Z101" s="1" t="s">
        <v>40</v>
      </c>
      <c r="AA101" s="1">
        <v>1666192.0</v>
      </c>
      <c r="AB101" s="1" t="s">
        <v>566</v>
      </c>
      <c r="AC101" s="1" t="s">
        <v>55</v>
      </c>
      <c r="AD101" s="1" t="s">
        <v>567</v>
      </c>
      <c r="AE101" s="1" t="s">
        <v>44</v>
      </c>
    </row>
    <row r="102" ht="56.25" customHeight="1">
      <c r="A102" s="1">
        <v>2.4319729697549E13</v>
      </c>
      <c r="B102" s="2" t="s">
        <v>568</v>
      </c>
      <c r="C102" s="2" t="s">
        <v>569</v>
      </c>
      <c r="D102" s="1">
        <v>2.2354238362509E13</v>
      </c>
      <c r="E102" s="1" t="s">
        <v>437</v>
      </c>
      <c r="F102" s="1" t="b">
        <v>1</v>
      </c>
      <c r="G102" s="1" t="s">
        <v>47</v>
      </c>
      <c r="H102" s="1" t="b">
        <v>0</v>
      </c>
      <c r="I102" s="1">
        <v>0.0</v>
      </c>
      <c r="J102" s="1">
        <v>0.0</v>
      </c>
      <c r="K102" s="1">
        <v>0.0</v>
      </c>
      <c r="L102" s="1">
        <v>1.0516194287885E13</v>
      </c>
      <c r="M102" s="1" t="s">
        <v>35</v>
      </c>
      <c r="N102" s="1" t="str">
        <f t="array" ref="N102">XLOOKUP(A:A,'CategoriasSeções'!A:A,'CategoriasSeções'!B:B)</f>
        <v>APOIO ATENDIMENTO</v>
      </c>
      <c r="O102" s="1" t="s">
        <v>36</v>
      </c>
      <c r="P102" s="3">
        <v>45343.600694444445</v>
      </c>
      <c r="Q102" s="3">
        <v>45526.552777777775</v>
      </c>
      <c r="R102" s="1" t="s">
        <v>570</v>
      </c>
      <c r="S102" s="1" t="s">
        <v>570</v>
      </c>
      <c r="T102" s="1" t="s">
        <v>38</v>
      </c>
      <c r="U102" s="1" t="s">
        <v>38</v>
      </c>
      <c r="V102" s="1" t="s">
        <v>75</v>
      </c>
      <c r="W102" s="1" t="s">
        <v>39</v>
      </c>
      <c r="X102" s="1" t="s">
        <v>39</v>
      </c>
      <c r="Y102" s="3">
        <v>45343.600694444445</v>
      </c>
      <c r="Z102" s="1" t="s">
        <v>40</v>
      </c>
      <c r="AA102" s="1">
        <v>1666192.0</v>
      </c>
      <c r="AB102" s="1" t="s">
        <v>55</v>
      </c>
      <c r="AC102" s="1" t="s">
        <v>571</v>
      </c>
      <c r="AD102" s="1" t="s">
        <v>572</v>
      </c>
      <c r="AE102" s="1" t="s">
        <v>44</v>
      </c>
    </row>
    <row r="103" ht="56.25" customHeight="1">
      <c r="A103" s="1">
        <v>2.4281357697933E13</v>
      </c>
      <c r="B103" s="2" t="s">
        <v>573</v>
      </c>
      <c r="C103" s="2" t="s">
        <v>574</v>
      </c>
      <c r="D103" s="1">
        <v>2.3293533279885E13</v>
      </c>
      <c r="E103" s="1" t="s">
        <v>474</v>
      </c>
      <c r="F103" s="1" t="b">
        <v>1</v>
      </c>
      <c r="G103" s="1" t="s">
        <v>47</v>
      </c>
      <c r="H103" s="1" t="b">
        <v>0</v>
      </c>
      <c r="I103" s="1">
        <v>0.0</v>
      </c>
      <c r="J103" s="1">
        <v>0.0</v>
      </c>
      <c r="K103" s="1">
        <v>0.0</v>
      </c>
      <c r="L103" s="1">
        <v>1.0516194287885E13</v>
      </c>
      <c r="M103" s="1" t="s">
        <v>35</v>
      </c>
      <c r="N103" s="1" t="str">
        <f t="array" ref="N103">XLOOKUP(A:A,'CategoriasSeções'!A:A,'CategoriasSeções'!B:B)</f>
        <v>APOIO ATENDIMENTO</v>
      </c>
      <c r="O103" s="1" t="s">
        <v>36</v>
      </c>
      <c r="P103" s="3">
        <v>45342.563888888886</v>
      </c>
      <c r="Q103" s="3">
        <v>45526.46388888889</v>
      </c>
      <c r="R103" s="1" t="s">
        <v>575</v>
      </c>
      <c r="S103" s="1" t="s">
        <v>575</v>
      </c>
      <c r="T103" s="1" t="s">
        <v>38</v>
      </c>
      <c r="U103" s="1" t="s">
        <v>38</v>
      </c>
      <c r="V103" s="1" t="s">
        <v>75</v>
      </c>
      <c r="W103" s="1" t="s">
        <v>39</v>
      </c>
      <c r="X103" s="1" t="s">
        <v>39</v>
      </c>
      <c r="Y103" s="3">
        <v>45342.563888888886</v>
      </c>
      <c r="Z103" s="1" t="s">
        <v>40</v>
      </c>
      <c r="AA103" s="1">
        <v>1666192.0</v>
      </c>
      <c r="AB103" s="1" t="s">
        <v>55</v>
      </c>
      <c r="AC103" s="1" t="s">
        <v>55</v>
      </c>
      <c r="AD103" s="1" t="s">
        <v>576</v>
      </c>
      <c r="AE103" s="1" t="s">
        <v>44</v>
      </c>
    </row>
    <row r="104" ht="56.25" customHeight="1">
      <c r="A104" s="1">
        <v>2.4278130169997E13</v>
      </c>
      <c r="B104" s="2" t="s">
        <v>577</v>
      </c>
      <c r="C104" s="2" t="s">
        <v>578</v>
      </c>
      <c r="D104" s="1">
        <v>2.5445008728E10</v>
      </c>
      <c r="E104" s="1" t="s">
        <v>410</v>
      </c>
      <c r="F104" s="1" t="b">
        <v>0</v>
      </c>
      <c r="G104" s="1" t="s">
        <v>34</v>
      </c>
      <c r="H104" s="1" t="b">
        <v>0</v>
      </c>
      <c r="I104" s="1">
        <v>0.0</v>
      </c>
      <c r="J104" s="1">
        <v>0.0</v>
      </c>
      <c r="K104" s="1">
        <v>0.0</v>
      </c>
      <c r="L104" s="1">
        <v>2.4278205232653E13</v>
      </c>
      <c r="M104" s="1" t="s">
        <v>35</v>
      </c>
      <c r="N104" s="1" t="str">
        <f t="array" ref="N104">XLOOKUP(A:A,'CategoriasSeções'!A:A,'CategoriasSeções'!B:B)</f>
        <v>APOIO ATENDIMENTO</v>
      </c>
      <c r="O104" s="1" t="s">
        <v>579</v>
      </c>
      <c r="P104" s="3">
        <v>45342.48333333333</v>
      </c>
      <c r="Q104" s="3">
        <v>45342.4875</v>
      </c>
      <c r="R104" s="1" t="s">
        <v>580</v>
      </c>
      <c r="S104" s="1" t="s">
        <v>580</v>
      </c>
      <c r="T104" s="1" t="s">
        <v>38</v>
      </c>
      <c r="U104" s="1" t="s">
        <v>38</v>
      </c>
      <c r="V104" s="1" t="s">
        <v>75</v>
      </c>
      <c r="W104" s="1" t="s">
        <v>39</v>
      </c>
      <c r="X104" s="1" t="s">
        <v>39</v>
      </c>
      <c r="Y104" s="3">
        <v>45342.4875</v>
      </c>
      <c r="Z104" s="1" t="s">
        <v>40</v>
      </c>
      <c r="AA104" s="1">
        <v>1666192.0</v>
      </c>
      <c r="AB104" s="1" t="s">
        <v>55</v>
      </c>
      <c r="AC104" s="1" t="s">
        <v>581</v>
      </c>
      <c r="AD104" s="1" t="s">
        <v>582</v>
      </c>
      <c r="AE104" s="1" t="s">
        <v>44</v>
      </c>
    </row>
    <row r="105" ht="56.25" customHeight="1">
      <c r="A105" s="1">
        <v>2.4204949822605E13</v>
      </c>
      <c r="B105" s="2" t="s">
        <v>583</v>
      </c>
      <c r="C105" s="2" t="s">
        <v>584</v>
      </c>
      <c r="D105" s="1">
        <v>2.2354238362509E13</v>
      </c>
      <c r="E105" s="1" t="s">
        <v>437</v>
      </c>
      <c r="F105" s="1" t="b">
        <v>1</v>
      </c>
      <c r="G105" s="1" t="s">
        <v>47</v>
      </c>
      <c r="H105" s="1" t="b">
        <v>0</v>
      </c>
      <c r="I105" s="1">
        <v>0.0</v>
      </c>
      <c r="J105" s="1">
        <v>0.0</v>
      </c>
      <c r="K105" s="1">
        <v>0.0</v>
      </c>
      <c r="L105" s="1">
        <v>1.0516194287885E13</v>
      </c>
      <c r="M105" s="1" t="s">
        <v>35</v>
      </c>
      <c r="N105" s="1" t="str">
        <f t="array" ref="N105">XLOOKUP(A:A,'CategoriasSeções'!A:A,'CategoriasSeções'!B:B)</f>
        <v>APOIO ATENDIMENTO</v>
      </c>
      <c r="O105" s="1" t="s">
        <v>36</v>
      </c>
      <c r="P105" s="3">
        <v>45339.60208333333</v>
      </c>
      <c r="Q105" s="3">
        <v>45339.60208333333</v>
      </c>
      <c r="R105" s="1" t="s">
        <v>585</v>
      </c>
      <c r="S105" s="1" t="s">
        <v>585</v>
      </c>
      <c r="T105" s="1" t="s">
        <v>38</v>
      </c>
      <c r="U105" s="1" t="s">
        <v>38</v>
      </c>
      <c r="V105" s="1" t="s">
        <v>75</v>
      </c>
      <c r="W105" s="1" t="s">
        <v>39</v>
      </c>
      <c r="X105" s="1" t="s">
        <v>39</v>
      </c>
      <c r="Y105" s="3">
        <v>45339.60208333333</v>
      </c>
      <c r="Z105" s="1" t="s">
        <v>40</v>
      </c>
      <c r="AA105" s="1">
        <v>1666192.0</v>
      </c>
      <c r="AB105" s="1" t="s">
        <v>55</v>
      </c>
      <c r="AC105" s="1" t="s">
        <v>55</v>
      </c>
      <c r="AD105" s="1" t="s">
        <v>586</v>
      </c>
      <c r="AE105" s="1" t="s">
        <v>44</v>
      </c>
    </row>
    <row r="106" ht="56.25" customHeight="1">
      <c r="A106" s="1">
        <v>2.4204752747277E13</v>
      </c>
      <c r="B106" s="2" t="s">
        <v>587</v>
      </c>
      <c r="C106" s="2" t="s">
        <v>588</v>
      </c>
      <c r="D106" s="1">
        <v>2.2354238362509E13</v>
      </c>
      <c r="E106" s="1" t="s">
        <v>437</v>
      </c>
      <c r="F106" s="1" t="b">
        <v>0</v>
      </c>
      <c r="G106" s="1" t="s">
        <v>34</v>
      </c>
      <c r="H106" s="1" t="b">
        <v>0</v>
      </c>
      <c r="I106" s="1">
        <v>0.0</v>
      </c>
      <c r="J106" s="1">
        <v>0.0</v>
      </c>
      <c r="K106" s="1">
        <v>0.0</v>
      </c>
      <c r="L106" s="1">
        <v>1.0516194287885E13</v>
      </c>
      <c r="M106" s="1" t="s">
        <v>35</v>
      </c>
      <c r="N106" s="1" t="str">
        <f t="array" ref="N106">XLOOKUP(A:A,'CategoriasSeções'!A:A,'CategoriasSeções'!B:B)</f>
        <v>APOIO ATENDIMENTO</v>
      </c>
      <c r="O106" s="1" t="s">
        <v>36</v>
      </c>
      <c r="P106" s="3">
        <v>45339.59444444445</v>
      </c>
      <c r="Q106" s="3">
        <v>45353.57986111111</v>
      </c>
      <c r="R106" s="1" t="s">
        <v>589</v>
      </c>
      <c r="S106" s="1" t="s">
        <v>589</v>
      </c>
      <c r="T106" s="1" t="s">
        <v>38</v>
      </c>
      <c r="U106" s="1" t="s">
        <v>38</v>
      </c>
      <c r="V106" s="1" t="s">
        <v>75</v>
      </c>
      <c r="W106" s="1" t="s">
        <v>39</v>
      </c>
      <c r="X106" s="1" t="s">
        <v>39</v>
      </c>
      <c r="Y106" s="3">
        <v>45353.57986111111</v>
      </c>
      <c r="Z106" s="1" t="s">
        <v>40</v>
      </c>
      <c r="AA106" s="1">
        <v>1666192.0</v>
      </c>
      <c r="AB106" s="1" t="s">
        <v>590</v>
      </c>
      <c r="AC106" s="1" t="s">
        <v>55</v>
      </c>
      <c r="AD106" s="1" t="s">
        <v>591</v>
      </c>
      <c r="AE106" s="1" t="s">
        <v>44</v>
      </c>
    </row>
    <row r="107" ht="56.25" customHeight="1">
      <c r="A107" s="1">
        <v>2.4023737865997E13</v>
      </c>
      <c r="B107" s="2" t="s">
        <v>592</v>
      </c>
      <c r="C107" s="2" t="s">
        <v>593</v>
      </c>
      <c r="D107" s="1">
        <v>2.3293533279885E13</v>
      </c>
      <c r="E107" s="1" t="s">
        <v>474</v>
      </c>
      <c r="F107" s="1" t="b">
        <v>1</v>
      </c>
      <c r="G107" s="1" t="s">
        <v>47</v>
      </c>
      <c r="H107" s="1" t="b">
        <v>0</v>
      </c>
      <c r="I107" s="1">
        <v>0.0</v>
      </c>
      <c r="J107" s="1">
        <v>0.0</v>
      </c>
      <c r="K107" s="1">
        <v>0.0</v>
      </c>
      <c r="L107" s="1">
        <v>1.0516194287885E13</v>
      </c>
      <c r="M107" s="1" t="s">
        <v>35</v>
      </c>
      <c r="N107" s="1" t="str">
        <f t="array" ref="N107">XLOOKUP(A:A,'CategoriasSeções'!A:A,'CategoriasSeções'!B:B)</f>
        <v>APOIO ATENDIMENTO</v>
      </c>
      <c r="O107" s="1" t="s">
        <v>36</v>
      </c>
      <c r="P107" s="3">
        <v>45332.575694444444</v>
      </c>
      <c r="Q107" s="3">
        <v>45526.55972222222</v>
      </c>
      <c r="R107" s="1" t="s">
        <v>594</v>
      </c>
      <c r="S107" s="1" t="s">
        <v>594</v>
      </c>
      <c r="T107" s="1" t="s">
        <v>38</v>
      </c>
      <c r="U107" s="1" t="s">
        <v>38</v>
      </c>
      <c r="V107" s="1" t="s">
        <v>75</v>
      </c>
      <c r="W107" s="1" t="s">
        <v>39</v>
      </c>
      <c r="X107" s="1" t="s">
        <v>39</v>
      </c>
      <c r="Y107" s="3">
        <v>45346.55138888889</v>
      </c>
      <c r="Z107" s="1" t="s">
        <v>40</v>
      </c>
      <c r="AA107" s="1">
        <v>1666192.0</v>
      </c>
      <c r="AB107" s="1" t="s">
        <v>55</v>
      </c>
      <c r="AC107" s="1" t="s">
        <v>55</v>
      </c>
      <c r="AD107" s="1" t="s">
        <v>595</v>
      </c>
      <c r="AE107" s="1" t="s">
        <v>44</v>
      </c>
    </row>
    <row r="108" ht="56.25" customHeight="1">
      <c r="A108" s="1">
        <v>2.3943883896589E13</v>
      </c>
      <c r="B108" s="2" t="s">
        <v>596</v>
      </c>
      <c r="C108" s="2" t="s">
        <v>597</v>
      </c>
      <c r="D108" s="1">
        <v>2.5445008728E10</v>
      </c>
      <c r="E108" s="1" t="s">
        <v>410</v>
      </c>
      <c r="F108" s="1" t="b">
        <v>0</v>
      </c>
      <c r="G108" s="1" t="s">
        <v>34</v>
      </c>
      <c r="H108" s="1" t="b">
        <v>0</v>
      </c>
      <c r="I108" s="1">
        <v>0.0</v>
      </c>
      <c r="J108" s="1">
        <v>0.0</v>
      </c>
      <c r="K108" s="1">
        <v>0.0</v>
      </c>
      <c r="L108" s="1">
        <v>3.60010090031E11</v>
      </c>
      <c r="M108" s="1" t="s">
        <v>35</v>
      </c>
      <c r="N108" s="1" t="str">
        <f t="array" ref="N108">XLOOKUP(A:A,'CategoriasSeções'!A:A,'CategoriasSeções'!B:B)</f>
        <v>Comunicados</v>
      </c>
      <c r="O108" s="1" t="s">
        <v>229</v>
      </c>
      <c r="P108" s="3">
        <v>45329.816666666666</v>
      </c>
      <c r="Q108" s="3">
        <v>45526.52222222222</v>
      </c>
      <c r="R108" s="1" t="s">
        <v>598</v>
      </c>
      <c r="S108" s="1" t="s">
        <v>598</v>
      </c>
      <c r="T108" s="1" t="s">
        <v>38</v>
      </c>
      <c r="U108" s="1" t="s">
        <v>38</v>
      </c>
      <c r="V108" s="1" t="s">
        <v>75</v>
      </c>
      <c r="W108" s="1" t="s">
        <v>69</v>
      </c>
      <c r="X108" s="1" t="s">
        <v>69</v>
      </c>
      <c r="Y108" s="3">
        <v>45329.82152777778</v>
      </c>
      <c r="AA108" s="1">
        <v>1666192.0</v>
      </c>
      <c r="AB108" s="1" t="s">
        <v>55</v>
      </c>
      <c r="AC108" s="1" t="s">
        <v>55</v>
      </c>
      <c r="AD108" s="1" t="s">
        <v>599</v>
      </c>
      <c r="AE108" s="1" t="s">
        <v>55</v>
      </c>
    </row>
    <row r="109" ht="56.25" customHeight="1">
      <c r="A109" s="1">
        <v>2.3333132191117E13</v>
      </c>
      <c r="B109" s="2" t="s">
        <v>600</v>
      </c>
      <c r="C109" s="2" t="s">
        <v>601</v>
      </c>
      <c r="D109" s="1">
        <v>2.2354238362509E13</v>
      </c>
      <c r="E109" s="1" t="s">
        <v>437</v>
      </c>
      <c r="F109" s="1" t="b">
        <v>0</v>
      </c>
      <c r="G109" s="1" t="s">
        <v>34</v>
      </c>
      <c r="H109" s="1" t="b">
        <v>0</v>
      </c>
      <c r="I109" s="1">
        <v>0.0</v>
      </c>
      <c r="J109" s="1">
        <v>0.0</v>
      </c>
      <c r="K109" s="1">
        <v>0.0</v>
      </c>
      <c r="L109" s="1">
        <v>1.0516194287885E13</v>
      </c>
      <c r="M109" s="1" t="s">
        <v>35</v>
      </c>
      <c r="N109" s="1" t="str">
        <f t="array" ref="N109">XLOOKUP(A:A,'CategoriasSeções'!A:A,'CategoriasSeções'!B:B)</f>
        <v>APOIO ATENDIMENTO</v>
      </c>
      <c r="O109" s="1" t="s">
        <v>36</v>
      </c>
      <c r="P109" s="3">
        <v>45309.87152777778</v>
      </c>
      <c r="Q109" s="3">
        <v>45395.56597222222</v>
      </c>
      <c r="R109" s="1" t="s">
        <v>602</v>
      </c>
      <c r="S109" s="1" t="s">
        <v>602</v>
      </c>
      <c r="T109" s="1" t="s">
        <v>38</v>
      </c>
      <c r="U109" s="1" t="s">
        <v>38</v>
      </c>
      <c r="V109" s="1" t="s">
        <v>75</v>
      </c>
      <c r="W109" s="1" t="s">
        <v>39</v>
      </c>
      <c r="X109" s="1" t="s">
        <v>39</v>
      </c>
      <c r="Y109" s="3">
        <v>45395.56597222222</v>
      </c>
      <c r="Z109" s="1" t="s">
        <v>40</v>
      </c>
      <c r="AA109" s="1">
        <v>1666192.0</v>
      </c>
      <c r="AB109" s="1" t="s">
        <v>55</v>
      </c>
      <c r="AC109" s="1" t="s">
        <v>603</v>
      </c>
      <c r="AD109" s="1" t="s">
        <v>604</v>
      </c>
      <c r="AE109" s="1" t="s">
        <v>44</v>
      </c>
    </row>
    <row r="110" ht="56.25" customHeight="1">
      <c r="A110" s="1">
        <v>2.3331971505165E13</v>
      </c>
      <c r="B110" s="2" t="s">
        <v>605</v>
      </c>
      <c r="C110" s="2" t="s">
        <v>606</v>
      </c>
      <c r="D110" s="1">
        <v>2.2354238362509E13</v>
      </c>
      <c r="E110" s="1" t="s">
        <v>437</v>
      </c>
      <c r="F110" s="1" t="b">
        <v>0</v>
      </c>
      <c r="G110" s="1" t="s">
        <v>34</v>
      </c>
      <c r="H110" s="1" t="b">
        <v>0</v>
      </c>
      <c r="I110" s="1">
        <v>0.0</v>
      </c>
      <c r="J110" s="1">
        <v>0.0</v>
      </c>
      <c r="K110" s="1">
        <v>0.0</v>
      </c>
      <c r="L110" s="1">
        <v>1.0516194287885E13</v>
      </c>
      <c r="M110" s="1" t="s">
        <v>35</v>
      </c>
      <c r="N110" s="1" t="str">
        <f t="array" ref="N110">XLOOKUP(A:A,'CategoriasSeções'!A:A,'CategoriasSeções'!B:B)</f>
        <v>APOIO ATENDIMENTO</v>
      </c>
      <c r="O110" s="1" t="s">
        <v>36</v>
      </c>
      <c r="P110" s="3">
        <v>45309.847916666666</v>
      </c>
      <c r="Q110" s="3">
        <v>45526.603472222225</v>
      </c>
      <c r="R110" s="1" t="s">
        <v>607</v>
      </c>
      <c r="S110" s="1" t="s">
        <v>607</v>
      </c>
      <c r="T110" s="1" t="s">
        <v>38</v>
      </c>
      <c r="U110" s="1" t="s">
        <v>38</v>
      </c>
      <c r="V110" s="1" t="s">
        <v>75</v>
      </c>
      <c r="W110" s="1" t="s">
        <v>39</v>
      </c>
      <c r="X110" s="1" t="s">
        <v>39</v>
      </c>
      <c r="Y110" s="3">
        <v>45395.54513888889</v>
      </c>
      <c r="Z110" s="1" t="s">
        <v>40</v>
      </c>
      <c r="AA110" s="1">
        <v>1666192.0</v>
      </c>
      <c r="AB110" s="1" t="s">
        <v>608</v>
      </c>
      <c r="AC110" s="1" t="s">
        <v>609</v>
      </c>
      <c r="AD110" s="1" t="s">
        <v>610</v>
      </c>
      <c r="AE110" s="1" t="s">
        <v>44</v>
      </c>
    </row>
    <row r="111" ht="56.25" customHeight="1">
      <c r="A111" s="1">
        <v>2.3317440954509E13</v>
      </c>
      <c r="B111" s="2" t="s">
        <v>611</v>
      </c>
      <c r="C111" s="2" t="s">
        <v>612</v>
      </c>
      <c r="D111" s="1">
        <v>2.2354238362509E13</v>
      </c>
      <c r="E111" s="1" t="s">
        <v>437</v>
      </c>
      <c r="F111" s="1" t="b">
        <v>0</v>
      </c>
      <c r="G111" s="1" t="s">
        <v>34</v>
      </c>
      <c r="H111" s="1" t="b">
        <v>0</v>
      </c>
      <c r="I111" s="1">
        <v>0.0</v>
      </c>
      <c r="J111" s="1">
        <v>0.0</v>
      </c>
      <c r="K111" s="1">
        <v>0.0</v>
      </c>
      <c r="L111" s="1">
        <v>3.60013317151E11</v>
      </c>
      <c r="M111" s="1" t="s">
        <v>35</v>
      </c>
      <c r="N111" s="1" t="str">
        <f t="array" ref="N111">XLOOKUP(A:A,'CategoriasSeções'!A:A,'CategoriasSeções'!B:B)</f>
        <v>APOIO ATENDIMENTO</v>
      </c>
      <c r="O111" s="1" t="s">
        <v>53</v>
      </c>
      <c r="P111" s="3">
        <v>45309.600694444445</v>
      </c>
      <c r="Q111" s="3">
        <v>45377.51875</v>
      </c>
      <c r="R111" s="1" t="s">
        <v>613</v>
      </c>
      <c r="S111" s="1" t="s">
        <v>613</v>
      </c>
      <c r="T111" s="1" t="s">
        <v>38</v>
      </c>
      <c r="U111" s="1" t="s">
        <v>38</v>
      </c>
      <c r="V111" s="1" t="s">
        <v>75</v>
      </c>
      <c r="W111" s="1" t="s">
        <v>39</v>
      </c>
      <c r="X111" s="1" t="s">
        <v>39</v>
      </c>
      <c r="Y111" s="3">
        <v>45377.51875</v>
      </c>
      <c r="Z111" s="1" t="s">
        <v>40</v>
      </c>
      <c r="AA111" s="1">
        <v>1666192.0</v>
      </c>
      <c r="AB111" s="1" t="s">
        <v>614</v>
      </c>
      <c r="AC111" s="1" t="s">
        <v>615</v>
      </c>
      <c r="AD111" s="1" t="s">
        <v>616</v>
      </c>
      <c r="AE111" s="1" t="s">
        <v>44</v>
      </c>
    </row>
    <row r="112" ht="56.25" customHeight="1">
      <c r="A112" s="1">
        <v>2.3120757650957E13</v>
      </c>
      <c r="B112" s="2" t="s">
        <v>617</v>
      </c>
      <c r="C112" s="2" t="s">
        <v>618</v>
      </c>
      <c r="D112" s="1">
        <v>2.2354238362509E13</v>
      </c>
      <c r="E112" s="1" t="s">
        <v>437</v>
      </c>
      <c r="F112" s="1" t="b">
        <v>0</v>
      </c>
      <c r="G112" s="1" t="s">
        <v>34</v>
      </c>
      <c r="H112" s="1" t="b">
        <v>0</v>
      </c>
      <c r="I112" s="1">
        <v>0.0</v>
      </c>
      <c r="J112" s="1">
        <v>0.0</v>
      </c>
      <c r="K112" s="1">
        <v>0.0</v>
      </c>
      <c r="L112" s="1">
        <v>1.0516194287885E13</v>
      </c>
      <c r="M112" s="1" t="s">
        <v>35</v>
      </c>
      <c r="N112" s="1" t="str">
        <f t="array" ref="N112">XLOOKUP(A:A,'CategoriasSeções'!A:A,'CategoriasSeções'!B:B)</f>
        <v>APOIO ATENDIMENTO</v>
      </c>
      <c r="O112" s="1" t="s">
        <v>36</v>
      </c>
      <c r="P112" s="3">
        <v>45302.663194444445</v>
      </c>
      <c r="Q112" s="3">
        <v>45302.663194444445</v>
      </c>
      <c r="R112" s="1" t="s">
        <v>619</v>
      </c>
      <c r="S112" s="1" t="s">
        <v>619</v>
      </c>
      <c r="T112" s="1" t="s">
        <v>38</v>
      </c>
      <c r="U112" s="1" t="s">
        <v>38</v>
      </c>
      <c r="V112" s="1" t="s">
        <v>39</v>
      </c>
      <c r="W112" s="1" t="s">
        <v>39</v>
      </c>
      <c r="X112" s="1" t="s">
        <v>39</v>
      </c>
      <c r="Y112" s="3">
        <v>45302.663194444445</v>
      </c>
      <c r="Z112" s="1" t="s">
        <v>40</v>
      </c>
      <c r="AA112" s="1">
        <v>1666212.0</v>
      </c>
      <c r="AB112" s="1" t="s">
        <v>620</v>
      </c>
      <c r="AC112" s="1" t="s">
        <v>621</v>
      </c>
      <c r="AD112" s="1" t="s">
        <v>622</v>
      </c>
      <c r="AE112" s="1" t="s">
        <v>44</v>
      </c>
    </row>
    <row r="113" ht="56.25" customHeight="1">
      <c r="A113" s="1">
        <v>2.3047723490061E13</v>
      </c>
      <c r="B113" s="2" t="s">
        <v>623</v>
      </c>
      <c r="C113" s="2" t="s">
        <v>624</v>
      </c>
      <c r="D113" s="1">
        <v>2.2354238362509E13</v>
      </c>
      <c r="E113" s="1" t="s">
        <v>437</v>
      </c>
      <c r="F113" s="1" t="b">
        <v>0</v>
      </c>
      <c r="G113" s="1" t="s">
        <v>34</v>
      </c>
      <c r="H113" s="1" t="b">
        <v>0</v>
      </c>
      <c r="I113" s="1">
        <v>0.0</v>
      </c>
      <c r="J113" s="1">
        <v>0.0</v>
      </c>
      <c r="K113" s="1">
        <v>0.0</v>
      </c>
      <c r="L113" s="1">
        <v>1.0516194287885E13</v>
      </c>
      <c r="M113" s="1" t="s">
        <v>35</v>
      </c>
      <c r="N113" s="1" t="str">
        <f t="array" ref="N113">XLOOKUP(A:A,'CategoriasSeções'!A:A,'CategoriasSeções'!B:B)</f>
        <v>APOIO ATENDIMENTO</v>
      </c>
      <c r="O113" s="1" t="s">
        <v>36</v>
      </c>
      <c r="P113" s="3">
        <v>45300.56597222222</v>
      </c>
      <c r="Q113" s="3">
        <v>45300.56597222222</v>
      </c>
      <c r="R113" s="1" t="s">
        <v>625</v>
      </c>
      <c r="S113" s="1" t="s">
        <v>625</v>
      </c>
      <c r="T113" s="1" t="s">
        <v>38</v>
      </c>
      <c r="U113" s="1" t="s">
        <v>38</v>
      </c>
      <c r="V113" s="1" t="s">
        <v>39</v>
      </c>
      <c r="W113" s="1" t="s">
        <v>39</v>
      </c>
      <c r="X113" s="1" t="s">
        <v>39</v>
      </c>
      <c r="Y113" s="3">
        <v>45300.56597222222</v>
      </c>
      <c r="Z113" s="1" t="s">
        <v>40</v>
      </c>
      <c r="AA113" s="1">
        <v>1666212.0</v>
      </c>
      <c r="AB113" s="1" t="s">
        <v>626</v>
      </c>
      <c r="AC113" s="1" t="s">
        <v>627</v>
      </c>
      <c r="AD113" s="1" t="s">
        <v>628</v>
      </c>
      <c r="AE113" s="1" t="s">
        <v>44</v>
      </c>
    </row>
    <row r="114" ht="56.25" customHeight="1">
      <c r="A114" s="1">
        <v>2.2884212670221E13</v>
      </c>
      <c r="B114" s="2" t="s">
        <v>629</v>
      </c>
      <c r="C114" s="2" t="s">
        <v>630</v>
      </c>
      <c r="D114" s="1">
        <v>2.2354238362509E13</v>
      </c>
      <c r="E114" s="1" t="s">
        <v>437</v>
      </c>
      <c r="F114" s="1" t="b">
        <v>0</v>
      </c>
      <c r="G114" s="1" t="s">
        <v>34</v>
      </c>
      <c r="H114" s="1" t="b">
        <v>0</v>
      </c>
      <c r="I114" s="1">
        <v>0.0</v>
      </c>
      <c r="J114" s="1">
        <v>0.0</v>
      </c>
      <c r="K114" s="1">
        <v>0.0</v>
      </c>
      <c r="L114" s="1">
        <v>1.0516194287885E13</v>
      </c>
      <c r="M114" s="1" t="s">
        <v>35</v>
      </c>
      <c r="N114" s="1" t="str">
        <f t="array" ref="N114">XLOOKUP(A:A,'CategoriasSeções'!A:A,'CategoriasSeções'!B:B)</f>
        <v>APOIO ATENDIMENTO</v>
      </c>
      <c r="O114" s="1" t="s">
        <v>36</v>
      </c>
      <c r="P114" s="3">
        <v>45294.66180555556</v>
      </c>
      <c r="Q114" s="3">
        <v>45309.60277777778</v>
      </c>
      <c r="R114" s="1" t="s">
        <v>631</v>
      </c>
      <c r="S114" s="1" t="s">
        <v>631</v>
      </c>
      <c r="T114" s="1" t="s">
        <v>38</v>
      </c>
      <c r="U114" s="1" t="s">
        <v>38</v>
      </c>
      <c r="V114" s="1" t="s">
        <v>39</v>
      </c>
      <c r="W114" s="1" t="s">
        <v>39</v>
      </c>
      <c r="X114" s="1" t="s">
        <v>39</v>
      </c>
      <c r="Y114" s="3">
        <v>45309.60277777778</v>
      </c>
      <c r="Z114" s="1" t="s">
        <v>40</v>
      </c>
      <c r="AA114" s="1">
        <v>1666212.0</v>
      </c>
      <c r="AB114" s="1" t="s">
        <v>55</v>
      </c>
      <c r="AC114" s="1" t="s">
        <v>632</v>
      </c>
      <c r="AD114" s="1" t="s">
        <v>633</v>
      </c>
      <c r="AE114" s="1" t="s">
        <v>44</v>
      </c>
    </row>
    <row r="115" ht="56.25" customHeight="1">
      <c r="A115" s="1">
        <v>2.2883722491149E13</v>
      </c>
      <c r="B115" s="2" t="s">
        <v>634</v>
      </c>
      <c r="C115" s="2" t="s">
        <v>635</v>
      </c>
      <c r="D115" s="1">
        <v>2.2354238362509E13</v>
      </c>
      <c r="E115" s="1" t="s">
        <v>437</v>
      </c>
      <c r="F115" s="1" t="b">
        <v>0</v>
      </c>
      <c r="G115" s="1" t="s">
        <v>34</v>
      </c>
      <c r="H115" s="1" t="b">
        <v>0</v>
      </c>
      <c r="I115" s="1">
        <v>0.0</v>
      </c>
      <c r="J115" s="1">
        <v>0.0</v>
      </c>
      <c r="K115" s="1">
        <v>0.0</v>
      </c>
      <c r="L115" s="1">
        <v>1.0516194287885E13</v>
      </c>
      <c r="M115" s="1" t="s">
        <v>35</v>
      </c>
      <c r="N115" s="1" t="str">
        <f t="array" ref="N115">XLOOKUP(A:A,'CategoriasSeções'!A:A,'CategoriasSeções'!B:B)</f>
        <v>APOIO ATENDIMENTO</v>
      </c>
      <c r="O115" s="1" t="s">
        <v>36</v>
      </c>
      <c r="P115" s="3">
        <v>45294.652083333334</v>
      </c>
      <c r="Q115" s="3">
        <v>45526.611805555556</v>
      </c>
      <c r="R115" s="1" t="s">
        <v>636</v>
      </c>
      <c r="S115" s="1" t="s">
        <v>636</v>
      </c>
      <c r="T115" s="1" t="s">
        <v>38</v>
      </c>
      <c r="U115" s="1" t="s">
        <v>38</v>
      </c>
      <c r="V115" s="1" t="s">
        <v>39</v>
      </c>
      <c r="W115" s="1" t="s">
        <v>39</v>
      </c>
      <c r="X115" s="1" t="s">
        <v>39</v>
      </c>
      <c r="Y115" s="3">
        <v>45294.652083333334</v>
      </c>
      <c r="Z115" s="1" t="s">
        <v>40</v>
      </c>
      <c r="AA115" s="1">
        <v>1666212.0</v>
      </c>
      <c r="AB115" s="1" t="s">
        <v>637</v>
      </c>
      <c r="AC115" s="1" t="s">
        <v>638</v>
      </c>
      <c r="AD115" s="1" t="s">
        <v>639</v>
      </c>
      <c r="AE115" s="1" t="s">
        <v>44</v>
      </c>
    </row>
    <row r="116" ht="56.25" customHeight="1">
      <c r="A116" s="1">
        <v>2.2859736115341E13</v>
      </c>
      <c r="B116" s="2" t="s">
        <v>640</v>
      </c>
      <c r="C116" s="2" t="s">
        <v>641</v>
      </c>
      <c r="D116" s="1">
        <v>2.2354238362509E13</v>
      </c>
      <c r="E116" s="1" t="s">
        <v>437</v>
      </c>
      <c r="F116" s="1" t="b">
        <v>0</v>
      </c>
      <c r="G116" s="1" t="s">
        <v>34</v>
      </c>
      <c r="H116" s="1" t="b">
        <v>0</v>
      </c>
      <c r="I116" s="1">
        <v>0.0</v>
      </c>
      <c r="J116" s="1">
        <v>0.0</v>
      </c>
      <c r="K116" s="1">
        <v>0.0</v>
      </c>
      <c r="L116" s="1">
        <v>1.0516194287885E13</v>
      </c>
      <c r="M116" s="1" t="s">
        <v>35</v>
      </c>
      <c r="N116" s="1" t="str">
        <f t="array" ref="N116">XLOOKUP(A:A,'CategoriasSeções'!A:A,'CategoriasSeções'!B:B)</f>
        <v>APOIO ATENDIMENTO</v>
      </c>
      <c r="O116" s="1" t="s">
        <v>36</v>
      </c>
      <c r="P116" s="3">
        <v>45293.84722222222</v>
      </c>
      <c r="Q116" s="3">
        <v>45332.566666666666</v>
      </c>
      <c r="R116" s="1" t="s">
        <v>642</v>
      </c>
      <c r="S116" s="1" t="s">
        <v>642</v>
      </c>
      <c r="T116" s="1" t="s">
        <v>38</v>
      </c>
      <c r="U116" s="1" t="s">
        <v>38</v>
      </c>
      <c r="V116" s="1" t="s">
        <v>39</v>
      </c>
      <c r="W116" s="1" t="s">
        <v>39</v>
      </c>
      <c r="X116" s="1" t="s">
        <v>39</v>
      </c>
      <c r="Y116" s="3">
        <v>45332.566666666666</v>
      </c>
      <c r="Z116" s="1" t="s">
        <v>40</v>
      </c>
      <c r="AA116" s="1">
        <v>1666212.0</v>
      </c>
      <c r="AB116" s="1" t="s">
        <v>55</v>
      </c>
      <c r="AC116" s="1" t="s">
        <v>643</v>
      </c>
      <c r="AD116" s="1" t="s">
        <v>644</v>
      </c>
      <c r="AE116" s="1" t="s">
        <v>44</v>
      </c>
    </row>
    <row r="117" ht="56.25" customHeight="1">
      <c r="A117" s="1">
        <v>2.2718603281805E13</v>
      </c>
      <c r="B117" s="2" t="s">
        <v>645</v>
      </c>
      <c r="C117" s="2" t="s">
        <v>646</v>
      </c>
      <c r="D117" s="1">
        <v>2.2354238362509E13</v>
      </c>
      <c r="E117" s="1" t="s">
        <v>437</v>
      </c>
      <c r="F117" s="1" t="b">
        <v>0</v>
      </c>
      <c r="G117" s="1" t="s">
        <v>34</v>
      </c>
      <c r="H117" s="1" t="b">
        <v>0</v>
      </c>
      <c r="I117" s="1">
        <v>0.0</v>
      </c>
      <c r="J117" s="1">
        <v>0.0</v>
      </c>
      <c r="K117" s="1">
        <v>0.0</v>
      </c>
      <c r="L117" s="1">
        <v>1.0516194287885E13</v>
      </c>
      <c r="M117" s="1" t="s">
        <v>35</v>
      </c>
      <c r="N117" s="1" t="str">
        <f t="array" ref="N117">XLOOKUP(A:A,'CategoriasSeções'!A:A,'CategoriasSeções'!B:B)</f>
        <v>APOIO ATENDIMENTO</v>
      </c>
      <c r="O117" s="1" t="s">
        <v>36</v>
      </c>
      <c r="P117" s="12">
        <v>45287.74236111111</v>
      </c>
      <c r="Q117" s="12">
        <v>45287.743055555555</v>
      </c>
      <c r="R117" s="1" t="s">
        <v>647</v>
      </c>
      <c r="S117" s="1" t="s">
        <v>647</v>
      </c>
      <c r="T117" s="1" t="s">
        <v>38</v>
      </c>
      <c r="U117" s="1" t="s">
        <v>38</v>
      </c>
      <c r="V117" s="1" t="s">
        <v>39</v>
      </c>
      <c r="W117" s="1" t="s">
        <v>39</v>
      </c>
      <c r="X117" s="1" t="s">
        <v>39</v>
      </c>
      <c r="Y117" s="12">
        <v>45287.743055555555</v>
      </c>
      <c r="Z117" s="1" t="s">
        <v>40</v>
      </c>
      <c r="AA117" s="1">
        <v>1666212.0</v>
      </c>
      <c r="AB117" s="1" t="s">
        <v>648</v>
      </c>
      <c r="AC117" s="1" t="s">
        <v>649</v>
      </c>
      <c r="AD117" s="1" t="s">
        <v>650</v>
      </c>
      <c r="AE117" s="1" t="s">
        <v>44</v>
      </c>
    </row>
    <row r="118" ht="56.25" customHeight="1">
      <c r="A118" s="1">
        <v>2.2601750339853E13</v>
      </c>
      <c r="B118" s="2" t="s">
        <v>651</v>
      </c>
      <c r="C118" s="2" t="s">
        <v>652</v>
      </c>
      <c r="D118" s="1">
        <v>2.2354238362509E13</v>
      </c>
      <c r="E118" s="1" t="s">
        <v>437</v>
      </c>
      <c r="F118" s="1" t="b">
        <v>0</v>
      </c>
      <c r="G118" s="1" t="s">
        <v>34</v>
      </c>
      <c r="H118" s="1" t="b">
        <v>0</v>
      </c>
      <c r="I118" s="1">
        <v>0.0</v>
      </c>
      <c r="J118" s="1">
        <v>0.0</v>
      </c>
      <c r="K118" s="1">
        <v>0.0</v>
      </c>
      <c r="L118" s="1">
        <v>1.0516194287885E13</v>
      </c>
      <c r="M118" s="1" t="s">
        <v>35</v>
      </c>
      <c r="N118" s="1" t="str">
        <f t="array" ref="N118">XLOOKUP(A:A,'CategoriasSeções'!A:A,'CategoriasSeções'!B:B)</f>
        <v>APOIO ATENDIMENTO</v>
      </c>
      <c r="O118" s="1" t="s">
        <v>36</v>
      </c>
      <c r="P118" s="12">
        <v>45282.62013888889</v>
      </c>
      <c r="Q118" s="12">
        <v>45282.71944444445</v>
      </c>
      <c r="R118" s="1" t="s">
        <v>653</v>
      </c>
      <c r="S118" s="1" t="s">
        <v>653</v>
      </c>
      <c r="T118" s="1" t="s">
        <v>38</v>
      </c>
      <c r="U118" s="1" t="s">
        <v>38</v>
      </c>
      <c r="V118" s="1" t="s">
        <v>39</v>
      </c>
      <c r="W118" s="1" t="s">
        <v>39</v>
      </c>
      <c r="X118" s="1" t="s">
        <v>39</v>
      </c>
      <c r="Y118" s="12">
        <v>45282.71944444445</v>
      </c>
      <c r="Z118" s="1" t="s">
        <v>40</v>
      </c>
      <c r="AA118" s="1">
        <v>1666212.0</v>
      </c>
      <c r="AB118" s="1" t="s">
        <v>55</v>
      </c>
      <c r="AC118" s="1" t="s">
        <v>654</v>
      </c>
      <c r="AD118" s="1" t="s">
        <v>655</v>
      </c>
      <c r="AE118" s="1" t="s">
        <v>44</v>
      </c>
    </row>
    <row r="119" ht="56.25" customHeight="1">
      <c r="A119" s="1">
        <v>2.2545719006093E13</v>
      </c>
      <c r="B119" s="2" t="s">
        <v>656</v>
      </c>
      <c r="C119" s="2" t="s">
        <v>657</v>
      </c>
      <c r="D119" s="1">
        <v>2.2354238362509E13</v>
      </c>
      <c r="E119" s="1" t="s">
        <v>437</v>
      </c>
      <c r="F119" s="1" t="b">
        <v>0</v>
      </c>
      <c r="G119" s="1" t="s">
        <v>34</v>
      </c>
      <c r="H119" s="1" t="b">
        <v>0</v>
      </c>
      <c r="I119" s="1">
        <v>0.0</v>
      </c>
      <c r="J119" s="1">
        <v>0.0</v>
      </c>
      <c r="K119" s="1">
        <v>0.0</v>
      </c>
      <c r="L119" s="1">
        <v>1.0516194287885E13</v>
      </c>
      <c r="M119" s="1" t="s">
        <v>35</v>
      </c>
      <c r="N119" s="1" t="str">
        <f t="array" ref="N119">XLOOKUP(A:A,'CategoriasSeções'!A:A,'CategoriasSeções'!B:B)</f>
        <v>APOIO ATENDIMENTO</v>
      </c>
      <c r="O119" s="1" t="s">
        <v>36</v>
      </c>
      <c r="P119" s="12">
        <v>45280.86111111111</v>
      </c>
      <c r="Q119" s="12">
        <v>45280.86111111111</v>
      </c>
      <c r="R119" s="1" t="s">
        <v>658</v>
      </c>
      <c r="S119" s="1" t="s">
        <v>658</v>
      </c>
      <c r="T119" s="1" t="s">
        <v>38</v>
      </c>
      <c r="U119" s="1" t="s">
        <v>38</v>
      </c>
      <c r="V119" s="1" t="s">
        <v>39</v>
      </c>
      <c r="W119" s="1" t="s">
        <v>39</v>
      </c>
      <c r="X119" s="1" t="s">
        <v>39</v>
      </c>
      <c r="Y119" s="12">
        <v>45280.86111111111</v>
      </c>
      <c r="Z119" s="1" t="s">
        <v>40</v>
      </c>
      <c r="AA119" s="1">
        <v>1666212.0</v>
      </c>
      <c r="AB119" s="1" t="s">
        <v>659</v>
      </c>
      <c r="AC119" s="1" t="s">
        <v>660</v>
      </c>
      <c r="AD119" s="1" t="s">
        <v>661</v>
      </c>
      <c r="AE119" s="1" t="s">
        <v>44</v>
      </c>
    </row>
    <row r="120" ht="56.25" customHeight="1">
      <c r="A120" s="1">
        <v>2.2528858942477E13</v>
      </c>
      <c r="B120" s="2" t="s">
        <v>662</v>
      </c>
      <c r="C120" s="2" t="s">
        <v>663</v>
      </c>
      <c r="D120" s="1">
        <v>2.2354238362509E13</v>
      </c>
      <c r="E120" s="1" t="s">
        <v>437</v>
      </c>
      <c r="F120" s="1" t="b">
        <v>0</v>
      </c>
      <c r="G120" s="1" t="s">
        <v>34</v>
      </c>
      <c r="H120" s="1" t="b">
        <v>0</v>
      </c>
      <c r="I120" s="1">
        <v>0.0</v>
      </c>
      <c r="J120" s="1">
        <v>0.0</v>
      </c>
      <c r="K120" s="1">
        <v>0.0</v>
      </c>
      <c r="L120" s="1">
        <v>3.60013317151E11</v>
      </c>
      <c r="M120" s="1" t="s">
        <v>35</v>
      </c>
      <c r="N120" s="1" t="str">
        <f t="array" ref="N120">XLOOKUP(A:A,'CategoriasSeções'!A:A,'CategoriasSeções'!B:B)</f>
        <v>APOIO ATENDIMENTO</v>
      </c>
      <c r="O120" s="1" t="s">
        <v>53</v>
      </c>
      <c r="P120" s="12">
        <v>45280.566666666666</v>
      </c>
      <c r="Q120" s="12">
        <v>45280.56736111111</v>
      </c>
      <c r="R120" s="1" t="s">
        <v>664</v>
      </c>
      <c r="S120" s="1" t="s">
        <v>664</v>
      </c>
      <c r="T120" s="1" t="s">
        <v>38</v>
      </c>
      <c r="U120" s="1" t="s">
        <v>38</v>
      </c>
      <c r="V120" s="1" t="s">
        <v>39</v>
      </c>
      <c r="W120" s="1" t="s">
        <v>39</v>
      </c>
      <c r="X120" s="1" t="s">
        <v>39</v>
      </c>
      <c r="Y120" s="12">
        <v>45280.56736111111</v>
      </c>
      <c r="Z120" s="1" t="s">
        <v>40</v>
      </c>
      <c r="AA120" s="1">
        <v>1666212.0</v>
      </c>
      <c r="AB120" s="1" t="s">
        <v>665</v>
      </c>
      <c r="AC120" s="1" t="s">
        <v>666</v>
      </c>
      <c r="AD120" s="1" t="s">
        <v>667</v>
      </c>
      <c r="AE120" s="1" t="s">
        <v>44</v>
      </c>
    </row>
    <row r="121" ht="56.25" customHeight="1">
      <c r="A121" s="1">
        <v>2.2527297395469E13</v>
      </c>
      <c r="B121" s="2" t="s">
        <v>668</v>
      </c>
      <c r="C121" s="2" t="s">
        <v>669</v>
      </c>
      <c r="D121" s="1">
        <v>2.2354238362509E13</v>
      </c>
      <c r="E121" s="1" t="s">
        <v>437</v>
      </c>
      <c r="F121" s="1" t="b">
        <v>0</v>
      </c>
      <c r="G121" s="1" t="s">
        <v>34</v>
      </c>
      <c r="H121" s="1" t="b">
        <v>0</v>
      </c>
      <c r="I121" s="1">
        <v>0.0</v>
      </c>
      <c r="J121" s="1">
        <v>0.0</v>
      </c>
      <c r="K121" s="1">
        <v>0.0</v>
      </c>
      <c r="L121" s="1">
        <v>3.60013317151E11</v>
      </c>
      <c r="M121" s="1" t="s">
        <v>35</v>
      </c>
      <c r="N121" s="1" t="str">
        <f t="array" ref="N121">XLOOKUP(A:A,'CategoriasSeções'!A:A,'CategoriasSeções'!B:B)</f>
        <v>APOIO ATENDIMENTO</v>
      </c>
      <c r="O121" s="1" t="s">
        <v>53</v>
      </c>
      <c r="P121" s="12">
        <v>45280.52916666667</v>
      </c>
      <c r="Q121" s="12">
        <v>45280.52916666667</v>
      </c>
      <c r="R121" s="1" t="s">
        <v>670</v>
      </c>
      <c r="S121" s="1" t="s">
        <v>670</v>
      </c>
      <c r="T121" s="1" t="s">
        <v>38</v>
      </c>
      <c r="U121" s="1" t="s">
        <v>38</v>
      </c>
      <c r="V121" s="1" t="s">
        <v>39</v>
      </c>
      <c r="W121" s="1" t="s">
        <v>39</v>
      </c>
      <c r="X121" s="1" t="s">
        <v>39</v>
      </c>
      <c r="Y121" s="12">
        <v>45280.52916666667</v>
      </c>
      <c r="Z121" s="1" t="s">
        <v>40</v>
      </c>
      <c r="AA121" s="1">
        <v>1666212.0</v>
      </c>
      <c r="AB121" s="1" t="s">
        <v>55</v>
      </c>
      <c r="AC121" s="1" t="s">
        <v>671</v>
      </c>
      <c r="AD121" s="1" t="s">
        <v>672</v>
      </c>
      <c r="AE121" s="1" t="s">
        <v>44</v>
      </c>
    </row>
    <row r="122" ht="56.25" customHeight="1">
      <c r="A122" s="1">
        <v>2.2527023643277E13</v>
      </c>
      <c r="B122" s="2" t="s">
        <v>673</v>
      </c>
      <c r="C122" s="2" t="s">
        <v>674</v>
      </c>
      <c r="D122" s="1">
        <v>2.2354238362509E13</v>
      </c>
      <c r="E122" s="1" t="s">
        <v>437</v>
      </c>
      <c r="F122" s="1" t="b">
        <v>0</v>
      </c>
      <c r="G122" s="1" t="s">
        <v>34</v>
      </c>
      <c r="H122" s="1" t="b">
        <v>0</v>
      </c>
      <c r="I122" s="1">
        <v>0.0</v>
      </c>
      <c r="J122" s="1">
        <v>0.0</v>
      </c>
      <c r="K122" s="1">
        <v>0.0</v>
      </c>
      <c r="L122" s="1">
        <v>3.60013317151E11</v>
      </c>
      <c r="M122" s="1" t="s">
        <v>35</v>
      </c>
      <c r="N122" s="1" t="str">
        <f t="array" ref="N122">XLOOKUP(A:A,'CategoriasSeções'!A:A,'CategoriasSeções'!B:B)</f>
        <v>APOIO ATENDIMENTO</v>
      </c>
      <c r="O122" s="1" t="s">
        <v>53</v>
      </c>
      <c r="P122" s="12">
        <v>45280.521527777775</v>
      </c>
      <c r="Q122" s="12">
        <v>45280.521527777775</v>
      </c>
      <c r="R122" s="1" t="s">
        <v>675</v>
      </c>
      <c r="S122" s="1" t="s">
        <v>675</v>
      </c>
      <c r="T122" s="1" t="s">
        <v>38</v>
      </c>
      <c r="U122" s="1" t="s">
        <v>38</v>
      </c>
      <c r="V122" s="1" t="s">
        <v>39</v>
      </c>
      <c r="W122" s="1" t="s">
        <v>39</v>
      </c>
      <c r="X122" s="1" t="s">
        <v>39</v>
      </c>
      <c r="Y122" s="12">
        <v>45280.521527777775</v>
      </c>
      <c r="Z122" s="1" t="s">
        <v>40</v>
      </c>
      <c r="AA122" s="1">
        <v>1666212.0</v>
      </c>
      <c r="AB122" s="1" t="s">
        <v>676</v>
      </c>
      <c r="AC122" s="1" t="s">
        <v>677</v>
      </c>
      <c r="AD122" s="1" t="s">
        <v>678</v>
      </c>
      <c r="AE122" s="1" t="s">
        <v>44</v>
      </c>
    </row>
    <row r="123" ht="56.25" customHeight="1">
      <c r="A123" s="1">
        <v>2.2526914045965E13</v>
      </c>
      <c r="B123" s="2" t="s">
        <v>679</v>
      </c>
      <c r="C123" s="2" t="s">
        <v>680</v>
      </c>
      <c r="D123" s="1">
        <v>2.2354238362509E13</v>
      </c>
      <c r="E123" s="1" t="s">
        <v>437</v>
      </c>
      <c r="F123" s="1" t="b">
        <v>0</v>
      </c>
      <c r="G123" s="1" t="s">
        <v>34</v>
      </c>
      <c r="H123" s="1" t="b">
        <v>0</v>
      </c>
      <c r="I123" s="1">
        <v>0.0</v>
      </c>
      <c r="J123" s="1">
        <v>0.0</v>
      </c>
      <c r="K123" s="1">
        <v>0.0</v>
      </c>
      <c r="L123" s="1">
        <v>3.60013317151E11</v>
      </c>
      <c r="M123" s="1" t="s">
        <v>35</v>
      </c>
      <c r="N123" s="1" t="str">
        <f t="array" ref="N123">XLOOKUP(A:A,'CategoriasSeções'!A:A,'CategoriasSeções'!B:B)</f>
        <v>APOIO ATENDIMENTO</v>
      </c>
      <c r="O123" s="1" t="s">
        <v>53</v>
      </c>
      <c r="P123" s="12">
        <v>45280.518055555556</v>
      </c>
      <c r="Q123" s="12">
        <v>45280.53055555555</v>
      </c>
      <c r="R123" s="1" t="s">
        <v>681</v>
      </c>
      <c r="S123" s="1" t="s">
        <v>681</v>
      </c>
      <c r="T123" s="1" t="s">
        <v>38</v>
      </c>
      <c r="U123" s="1" t="s">
        <v>38</v>
      </c>
      <c r="V123" s="1" t="s">
        <v>39</v>
      </c>
      <c r="W123" s="1" t="s">
        <v>39</v>
      </c>
      <c r="X123" s="1" t="s">
        <v>39</v>
      </c>
      <c r="Y123" s="12">
        <v>45280.52361111111</v>
      </c>
      <c r="Z123" s="1" t="s">
        <v>40</v>
      </c>
      <c r="AA123" s="1">
        <v>1666212.0</v>
      </c>
      <c r="AB123" s="1" t="s">
        <v>665</v>
      </c>
      <c r="AC123" s="1" t="s">
        <v>682</v>
      </c>
      <c r="AD123" s="1" t="s">
        <v>683</v>
      </c>
      <c r="AE123" s="1" t="s">
        <v>44</v>
      </c>
    </row>
    <row r="124" ht="56.25" customHeight="1">
      <c r="A124" s="1">
        <v>2.2526646445837E13</v>
      </c>
      <c r="B124" s="2" t="s">
        <v>684</v>
      </c>
      <c r="C124" s="2" t="s">
        <v>685</v>
      </c>
      <c r="D124" s="1">
        <v>2.2354238362509E13</v>
      </c>
      <c r="E124" s="1" t="s">
        <v>437</v>
      </c>
      <c r="F124" s="1" t="b">
        <v>0</v>
      </c>
      <c r="G124" s="1" t="s">
        <v>34</v>
      </c>
      <c r="H124" s="1" t="b">
        <v>0</v>
      </c>
      <c r="I124" s="1">
        <v>0.0</v>
      </c>
      <c r="J124" s="1">
        <v>0.0</v>
      </c>
      <c r="K124" s="1">
        <v>0.0</v>
      </c>
      <c r="L124" s="1">
        <v>3.60013317151E11</v>
      </c>
      <c r="M124" s="1" t="s">
        <v>35</v>
      </c>
      <c r="N124" s="1" t="str">
        <f t="array" ref="N124">XLOOKUP(A:A,'CategoriasSeções'!A:A,'CategoriasSeções'!B:B)</f>
        <v>APOIO ATENDIMENTO</v>
      </c>
      <c r="O124" s="1" t="s">
        <v>53</v>
      </c>
      <c r="P124" s="12">
        <v>45280.51180555556</v>
      </c>
      <c r="Q124" s="12">
        <v>45280.5125</v>
      </c>
      <c r="R124" s="1" t="s">
        <v>686</v>
      </c>
      <c r="S124" s="1" t="s">
        <v>686</v>
      </c>
      <c r="T124" s="1" t="s">
        <v>38</v>
      </c>
      <c r="U124" s="1" t="s">
        <v>38</v>
      </c>
      <c r="V124" s="1" t="s">
        <v>39</v>
      </c>
      <c r="W124" s="1" t="s">
        <v>39</v>
      </c>
      <c r="X124" s="1" t="s">
        <v>39</v>
      </c>
      <c r="Y124" s="12">
        <v>45280.5125</v>
      </c>
      <c r="Z124" s="1" t="s">
        <v>40</v>
      </c>
      <c r="AA124" s="1">
        <v>1666212.0</v>
      </c>
      <c r="AB124" s="1" t="s">
        <v>55</v>
      </c>
      <c r="AC124" s="1" t="s">
        <v>687</v>
      </c>
      <c r="AD124" s="1" t="s">
        <v>688</v>
      </c>
      <c r="AE124" s="1" t="s">
        <v>44</v>
      </c>
    </row>
    <row r="125" ht="56.25" customHeight="1">
      <c r="A125" s="1">
        <v>2.2526541868941E13</v>
      </c>
      <c r="B125" s="2" t="s">
        <v>689</v>
      </c>
      <c r="C125" s="2" t="s">
        <v>690</v>
      </c>
      <c r="D125" s="1">
        <v>2.2354238362509E13</v>
      </c>
      <c r="E125" s="1" t="s">
        <v>437</v>
      </c>
      <c r="F125" s="1" t="b">
        <v>0</v>
      </c>
      <c r="G125" s="1" t="s">
        <v>34</v>
      </c>
      <c r="H125" s="1" t="b">
        <v>0</v>
      </c>
      <c r="I125" s="1">
        <v>0.0</v>
      </c>
      <c r="J125" s="1">
        <v>0.0</v>
      </c>
      <c r="K125" s="1">
        <v>0.0</v>
      </c>
      <c r="L125" s="1">
        <v>3.60013317151E11</v>
      </c>
      <c r="M125" s="1" t="s">
        <v>35</v>
      </c>
      <c r="N125" s="1" t="str">
        <f t="array" ref="N125">XLOOKUP(A:A,'CategoriasSeções'!A:A,'CategoriasSeções'!B:B)</f>
        <v>APOIO ATENDIMENTO</v>
      </c>
      <c r="O125" s="1" t="s">
        <v>53</v>
      </c>
      <c r="P125" s="12">
        <v>45280.50833333333</v>
      </c>
      <c r="Q125" s="12">
        <v>45280.53125</v>
      </c>
      <c r="R125" s="1" t="s">
        <v>691</v>
      </c>
      <c r="S125" s="1" t="s">
        <v>691</v>
      </c>
      <c r="T125" s="1" t="s">
        <v>38</v>
      </c>
      <c r="U125" s="1" t="s">
        <v>38</v>
      </c>
      <c r="V125" s="1" t="s">
        <v>39</v>
      </c>
      <c r="W125" s="1" t="s">
        <v>39</v>
      </c>
      <c r="X125" s="1" t="s">
        <v>39</v>
      </c>
      <c r="Y125" s="12">
        <v>45280.53125</v>
      </c>
      <c r="Z125" s="1" t="s">
        <v>40</v>
      </c>
      <c r="AA125" s="1">
        <v>1666212.0</v>
      </c>
      <c r="AB125" s="1" t="s">
        <v>692</v>
      </c>
      <c r="AC125" s="1" t="s">
        <v>55</v>
      </c>
      <c r="AD125" s="1" t="s">
        <v>693</v>
      </c>
      <c r="AE125" s="1" t="s">
        <v>44</v>
      </c>
    </row>
    <row r="126" ht="56.25" customHeight="1">
      <c r="A126" s="1">
        <v>2.2526318397453E13</v>
      </c>
      <c r="B126" s="2" t="s">
        <v>694</v>
      </c>
      <c r="C126" s="2" t="s">
        <v>695</v>
      </c>
      <c r="D126" s="1">
        <v>2.5445008728E10</v>
      </c>
      <c r="E126" s="1" t="s">
        <v>410</v>
      </c>
      <c r="F126" s="1" t="b">
        <v>0</v>
      </c>
      <c r="G126" s="1" t="s">
        <v>34</v>
      </c>
      <c r="H126" s="1" t="b">
        <v>0</v>
      </c>
      <c r="I126" s="1">
        <v>0.0</v>
      </c>
      <c r="J126" s="1">
        <v>0.0</v>
      </c>
      <c r="K126" s="1">
        <v>0.0</v>
      </c>
      <c r="L126" s="1">
        <v>1.0516194287885E13</v>
      </c>
      <c r="M126" s="1" t="s">
        <v>35</v>
      </c>
      <c r="N126" s="1" t="str">
        <f t="array" ref="N126">XLOOKUP(A:A,'CategoriasSeções'!A:A,'CategoriasSeções'!B:B)</f>
        <v>APOIO ATENDIMENTO</v>
      </c>
      <c r="O126" s="1" t="s">
        <v>36</v>
      </c>
      <c r="P126" s="12">
        <v>45280.501388888886</v>
      </c>
      <c r="Q126" s="12">
        <v>45280.53125</v>
      </c>
      <c r="R126" s="1" t="s">
        <v>696</v>
      </c>
      <c r="S126" s="1" t="s">
        <v>696</v>
      </c>
      <c r="T126" s="1" t="s">
        <v>38</v>
      </c>
      <c r="U126" s="1" t="s">
        <v>38</v>
      </c>
      <c r="V126" s="1" t="s">
        <v>39</v>
      </c>
      <c r="W126" s="1" t="s">
        <v>39</v>
      </c>
      <c r="X126" s="1" t="s">
        <v>39</v>
      </c>
      <c r="Y126" s="12">
        <v>45280.53125</v>
      </c>
      <c r="Z126" s="1" t="s">
        <v>40</v>
      </c>
      <c r="AA126" s="1">
        <v>1666212.0</v>
      </c>
      <c r="AB126" s="1" t="s">
        <v>55</v>
      </c>
      <c r="AC126" s="1" t="s">
        <v>697</v>
      </c>
      <c r="AD126" s="1" t="s">
        <v>698</v>
      </c>
      <c r="AE126" s="1" t="s">
        <v>44</v>
      </c>
    </row>
    <row r="127" ht="56.25" customHeight="1">
      <c r="A127" s="1">
        <v>2.2419830133901E13</v>
      </c>
      <c r="B127" s="2" t="s">
        <v>699</v>
      </c>
      <c r="C127" s="2" t="s">
        <v>700</v>
      </c>
      <c r="D127" s="1">
        <v>2.5445008728E10</v>
      </c>
      <c r="E127" s="1" t="s">
        <v>410</v>
      </c>
      <c r="F127" s="1" t="b">
        <v>1</v>
      </c>
      <c r="G127" s="1" t="s">
        <v>47</v>
      </c>
      <c r="H127" s="1" t="b">
        <v>0</v>
      </c>
      <c r="I127" s="1">
        <v>0.0</v>
      </c>
      <c r="J127" s="1">
        <v>0.0</v>
      </c>
      <c r="K127" s="1">
        <v>0.0</v>
      </c>
      <c r="L127" s="1">
        <v>3.60013317151E11</v>
      </c>
      <c r="M127" s="1" t="s">
        <v>35</v>
      </c>
      <c r="N127" s="1" t="str">
        <f t="array" ref="N127">XLOOKUP(A:A,'CategoriasSeções'!A:A,'CategoriasSeções'!B:B)</f>
        <v>APOIO ATENDIMENTO</v>
      </c>
      <c r="O127" s="1" t="s">
        <v>53</v>
      </c>
      <c r="P127" s="12">
        <v>45276.80625</v>
      </c>
      <c r="Q127" s="12">
        <v>45276.81180555555</v>
      </c>
      <c r="R127" s="1" t="s">
        <v>701</v>
      </c>
      <c r="S127" s="1" t="s">
        <v>701</v>
      </c>
      <c r="T127" s="1" t="s">
        <v>38</v>
      </c>
      <c r="U127" s="1" t="s">
        <v>38</v>
      </c>
      <c r="V127" s="1" t="s">
        <v>39</v>
      </c>
      <c r="W127" s="1" t="s">
        <v>39</v>
      </c>
      <c r="X127" s="1" t="s">
        <v>39</v>
      </c>
      <c r="Y127" s="12">
        <v>45276.81041666667</v>
      </c>
      <c r="Z127" s="1" t="s">
        <v>40</v>
      </c>
      <c r="AA127" s="1">
        <v>1666212.0</v>
      </c>
      <c r="AB127" s="1" t="s">
        <v>55</v>
      </c>
      <c r="AC127" s="1" t="s">
        <v>702</v>
      </c>
      <c r="AD127" s="1" t="s">
        <v>703</v>
      </c>
      <c r="AE127" s="1" t="s">
        <v>44</v>
      </c>
    </row>
    <row r="128" ht="56.25" customHeight="1">
      <c r="A128" s="1">
        <v>1.8817200171021E13</v>
      </c>
      <c r="B128" s="2" t="s">
        <v>704</v>
      </c>
      <c r="C128" s="2" t="s">
        <v>705</v>
      </c>
      <c r="D128" s="1">
        <v>2.5445008728E10</v>
      </c>
      <c r="E128" s="1" t="s">
        <v>410</v>
      </c>
      <c r="F128" s="1" t="b">
        <v>0</v>
      </c>
      <c r="G128" s="1" t="s">
        <v>34</v>
      </c>
      <c r="H128" s="1" t="b">
        <v>0</v>
      </c>
      <c r="I128" s="1">
        <v>0.0</v>
      </c>
      <c r="J128" s="1">
        <v>-1.0</v>
      </c>
      <c r="K128" s="1">
        <v>1.0</v>
      </c>
      <c r="L128" s="1">
        <v>3.60010090031E11</v>
      </c>
      <c r="M128" s="1" t="s">
        <v>35</v>
      </c>
      <c r="N128" s="1" t="str">
        <f t="array" ref="N128">XLOOKUP(A:A,'CategoriasSeções'!A:A,'CategoriasSeções'!B:B)</f>
        <v>Comunicados</v>
      </c>
      <c r="O128" s="1" t="s">
        <v>229</v>
      </c>
      <c r="P128" s="3">
        <v>45161.910416666666</v>
      </c>
      <c r="Q128" s="3">
        <v>45526.620833333334</v>
      </c>
      <c r="R128" s="1" t="s">
        <v>706</v>
      </c>
      <c r="S128" s="1" t="s">
        <v>706</v>
      </c>
      <c r="T128" s="1" t="s">
        <v>38</v>
      </c>
      <c r="U128" s="1" t="s">
        <v>38</v>
      </c>
      <c r="V128" s="1" t="s">
        <v>75</v>
      </c>
      <c r="W128" s="1" t="s">
        <v>69</v>
      </c>
      <c r="X128" s="1" t="s">
        <v>69</v>
      </c>
      <c r="Y128" s="3">
        <v>45161.910416666666</v>
      </c>
      <c r="AA128" s="1">
        <v>1666192.0</v>
      </c>
      <c r="AB128" s="1" t="s">
        <v>55</v>
      </c>
      <c r="AC128" s="1" t="s">
        <v>55</v>
      </c>
      <c r="AD128" s="1" t="s">
        <v>707</v>
      </c>
      <c r="AE128" s="1" t="s">
        <v>55</v>
      </c>
    </row>
    <row r="129" ht="56.25" customHeight="1">
      <c r="A129" s="1">
        <v>1.8727472957581E13</v>
      </c>
      <c r="B129" s="2" t="s">
        <v>708</v>
      </c>
      <c r="C129" s="2" t="s">
        <v>709</v>
      </c>
      <c r="D129" s="1">
        <v>3.87048456972E11</v>
      </c>
      <c r="E129" s="1" t="s">
        <v>433</v>
      </c>
      <c r="F129" s="1" t="b">
        <v>1</v>
      </c>
      <c r="G129" s="1" t="s">
        <v>47</v>
      </c>
      <c r="H129" s="1" t="b">
        <v>0</v>
      </c>
      <c r="I129" s="1">
        <v>0.0</v>
      </c>
      <c r="J129" s="1">
        <v>0.0</v>
      </c>
      <c r="K129" s="1">
        <v>0.0</v>
      </c>
      <c r="L129" s="1">
        <v>1.0516194287885E13</v>
      </c>
      <c r="M129" s="1" t="s">
        <v>35</v>
      </c>
      <c r="N129" s="1" t="str">
        <f t="array" ref="N129">XLOOKUP(A:A,'CategoriasSeções'!A:A,'CategoriasSeções'!B:B)</f>
        <v>APOIO ATENDIMENTO</v>
      </c>
      <c r="O129" s="1" t="s">
        <v>36</v>
      </c>
      <c r="P129" s="3">
        <v>45159.61875</v>
      </c>
      <c r="Q129" s="3">
        <v>45231.56527777778</v>
      </c>
      <c r="R129" s="1" t="s">
        <v>710</v>
      </c>
      <c r="S129" s="1" t="s">
        <v>710</v>
      </c>
      <c r="T129" s="1" t="s">
        <v>38</v>
      </c>
      <c r="U129" s="1" t="s">
        <v>38</v>
      </c>
      <c r="V129" s="1" t="s">
        <v>39</v>
      </c>
      <c r="W129" s="1" t="s">
        <v>39</v>
      </c>
      <c r="X129" s="1" t="s">
        <v>39</v>
      </c>
      <c r="Y129" s="3">
        <v>45159.61875</v>
      </c>
      <c r="Z129" s="1" t="s">
        <v>40</v>
      </c>
      <c r="AA129" s="1">
        <v>1666212.0</v>
      </c>
      <c r="AB129" s="1" t="s">
        <v>55</v>
      </c>
      <c r="AC129" s="1" t="s">
        <v>55</v>
      </c>
      <c r="AD129" s="1" t="s">
        <v>711</v>
      </c>
      <c r="AE129" s="1" t="s">
        <v>44</v>
      </c>
    </row>
    <row r="130" ht="56.25" customHeight="1">
      <c r="A130" s="1">
        <v>1.8665299725581E13</v>
      </c>
      <c r="B130" s="2" t="s">
        <v>712</v>
      </c>
      <c r="C130" s="2" t="s">
        <v>713</v>
      </c>
      <c r="D130" s="1">
        <v>3.87048456972E11</v>
      </c>
      <c r="E130" s="1" t="s">
        <v>433</v>
      </c>
      <c r="F130" s="1" t="b">
        <v>0</v>
      </c>
      <c r="G130" s="1" t="s">
        <v>34</v>
      </c>
      <c r="H130" s="1" t="b">
        <v>0</v>
      </c>
      <c r="I130" s="1">
        <v>0.0</v>
      </c>
      <c r="J130" s="1">
        <v>1.0</v>
      </c>
      <c r="K130" s="1">
        <v>1.0</v>
      </c>
      <c r="L130" s="1">
        <v>3.60010154272E11</v>
      </c>
      <c r="M130" s="1" t="s">
        <v>35</v>
      </c>
      <c r="N130" s="1" t="str">
        <f t="array" ref="N130">XLOOKUP(A:A,'CategoriasSeções'!A:A,'CategoriasSeções'!B:B)</f>
        <v>Dúvidas Gerais</v>
      </c>
      <c r="O130" s="1" t="s">
        <v>85</v>
      </c>
      <c r="P130" s="3">
        <v>45156.69027777778</v>
      </c>
      <c r="Q130" s="3">
        <v>45526.45486111111</v>
      </c>
      <c r="R130" s="1" t="s">
        <v>714</v>
      </c>
      <c r="S130" s="1" t="s">
        <v>714</v>
      </c>
      <c r="T130" s="1" t="s">
        <v>38</v>
      </c>
      <c r="U130" s="1" t="s">
        <v>38</v>
      </c>
      <c r="V130" s="1" t="s">
        <v>39</v>
      </c>
      <c r="W130" s="1" t="s">
        <v>69</v>
      </c>
      <c r="X130" s="1" t="s">
        <v>69</v>
      </c>
      <c r="Y130" s="3">
        <v>45161.76458333333</v>
      </c>
      <c r="AA130" s="1">
        <v>1666212.0</v>
      </c>
      <c r="AB130" s="1" t="s">
        <v>55</v>
      </c>
      <c r="AC130" s="1" t="s">
        <v>55</v>
      </c>
      <c r="AD130" s="1" t="s">
        <v>715</v>
      </c>
      <c r="AE130" s="1" t="s">
        <v>55</v>
      </c>
    </row>
    <row r="131" ht="56.25" customHeight="1">
      <c r="A131" s="1">
        <v>1.8664293608461E13</v>
      </c>
      <c r="B131" s="2" t="s">
        <v>716</v>
      </c>
      <c r="C131" s="2" t="s">
        <v>717</v>
      </c>
      <c r="D131" s="1">
        <v>2.5445008728E10</v>
      </c>
      <c r="E131" s="1" t="s">
        <v>410</v>
      </c>
      <c r="F131" s="1" t="b">
        <v>0</v>
      </c>
      <c r="G131" s="1" t="s">
        <v>34</v>
      </c>
      <c r="H131" s="1" t="b">
        <v>0</v>
      </c>
      <c r="I131" s="1">
        <v>0.0</v>
      </c>
      <c r="J131" s="1">
        <v>-2.0</v>
      </c>
      <c r="K131" s="1">
        <v>2.0</v>
      </c>
      <c r="L131" s="1">
        <v>3.60010154272E11</v>
      </c>
      <c r="M131" s="1" t="s">
        <v>35</v>
      </c>
      <c r="N131" s="1" t="str">
        <f t="array" ref="N131">XLOOKUP(A:A,'CategoriasSeções'!A:A,'CategoriasSeções'!B:B)</f>
        <v>Dúvidas Gerais</v>
      </c>
      <c r="O131" s="1" t="s">
        <v>85</v>
      </c>
      <c r="P131" s="3">
        <v>45156.67569444444</v>
      </c>
      <c r="Q131" s="3">
        <v>45526.57638888889</v>
      </c>
      <c r="R131" s="1" t="s">
        <v>718</v>
      </c>
      <c r="S131" s="1" t="s">
        <v>718</v>
      </c>
      <c r="T131" s="1" t="s">
        <v>38</v>
      </c>
      <c r="U131" s="1" t="s">
        <v>38</v>
      </c>
      <c r="V131" s="1" t="s">
        <v>75</v>
      </c>
      <c r="W131" s="1" t="s">
        <v>69</v>
      </c>
      <c r="X131" s="1" t="s">
        <v>69</v>
      </c>
      <c r="Y131" s="3">
        <v>45161.90347222222</v>
      </c>
      <c r="AA131" s="1">
        <v>1666192.0</v>
      </c>
      <c r="AB131" s="1" t="s">
        <v>55</v>
      </c>
      <c r="AC131" s="1" t="s">
        <v>55</v>
      </c>
      <c r="AD131" s="1" t="s">
        <v>719</v>
      </c>
      <c r="AE131" s="1" t="s">
        <v>55</v>
      </c>
    </row>
    <row r="132" ht="56.25" customHeight="1">
      <c r="A132" s="1">
        <v>1.8663428825869E13</v>
      </c>
      <c r="B132" s="2" t="s">
        <v>720</v>
      </c>
      <c r="C132" s="2" t="s">
        <v>721</v>
      </c>
      <c r="D132" s="1">
        <v>3.87048456972E11</v>
      </c>
      <c r="E132" s="1" t="s">
        <v>433</v>
      </c>
      <c r="F132" s="1" t="b">
        <v>0</v>
      </c>
      <c r="G132" s="1" t="s">
        <v>34</v>
      </c>
      <c r="H132" s="1" t="b">
        <v>0</v>
      </c>
      <c r="I132" s="1">
        <v>0.0</v>
      </c>
      <c r="J132" s="1">
        <v>0.0</v>
      </c>
      <c r="K132" s="1">
        <v>0.0</v>
      </c>
      <c r="L132" s="1">
        <v>1.15003480707E11</v>
      </c>
      <c r="M132" s="1" t="s">
        <v>35</v>
      </c>
      <c r="N132" s="1" t="str">
        <f t="array" ref="N132">XLOOKUP(A:A,'CategoriasSeções'!A:A,'CategoriasSeções'!B:B)</f>
        <v>Dúvidas Gerais</v>
      </c>
      <c r="O132" s="1" t="s">
        <v>722</v>
      </c>
      <c r="P132" s="3">
        <v>45156.66458333333</v>
      </c>
      <c r="Q132" s="3">
        <v>45526.552777777775</v>
      </c>
      <c r="R132" s="1" t="s">
        <v>723</v>
      </c>
      <c r="S132" s="1" t="s">
        <v>723</v>
      </c>
      <c r="T132" s="1" t="s">
        <v>38</v>
      </c>
      <c r="U132" s="1" t="s">
        <v>38</v>
      </c>
      <c r="V132" s="1" t="s">
        <v>39</v>
      </c>
      <c r="W132" s="1" t="s">
        <v>69</v>
      </c>
      <c r="X132" s="1" t="s">
        <v>69</v>
      </c>
      <c r="Y132" s="3">
        <v>45161.89513888889</v>
      </c>
      <c r="AA132" s="1">
        <v>1666212.0</v>
      </c>
      <c r="AB132" s="1" t="s">
        <v>55</v>
      </c>
      <c r="AC132" s="1" t="s">
        <v>55</v>
      </c>
      <c r="AD132" s="1" t="s">
        <v>724</v>
      </c>
      <c r="AE132" s="1" t="s">
        <v>55</v>
      </c>
    </row>
    <row r="133" ht="56.25" customHeight="1">
      <c r="A133" s="1">
        <v>1.8171266379277E13</v>
      </c>
      <c r="B133" s="2" t="s">
        <v>725</v>
      </c>
      <c r="C133" s="2" t="s">
        <v>726</v>
      </c>
      <c r="D133" s="1">
        <v>3.87048456972E11</v>
      </c>
      <c r="E133" s="1" t="s">
        <v>433</v>
      </c>
      <c r="F133" s="1" t="b">
        <v>1</v>
      </c>
      <c r="G133" s="1" t="s">
        <v>47</v>
      </c>
      <c r="H133" s="1" t="b">
        <v>0</v>
      </c>
      <c r="I133" s="1">
        <v>0.0</v>
      </c>
      <c r="J133" s="1">
        <v>0.0</v>
      </c>
      <c r="K133" s="1">
        <v>0.0</v>
      </c>
      <c r="L133" s="1">
        <v>4.652571072653E12</v>
      </c>
      <c r="M133" s="1" t="s">
        <v>35</v>
      </c>
      <c r="N133" s="1" t="str">
        <f t="array" ref="N133">XLOOKUP(A:A,'CategoriasSeções'!A:A,'CategoriasSeções'!B:B)</f>
        <v>APOIO ATENDIMENTO</v>
      </c>
      <c r="O133" s="1" t="s">
        <v>151</v>
      </c>
      <c r="P133" s="3">
        <v>45140.80902777778</v>
      </c>
      <c r="Q133" s="3">
        <v>45231.56527777778</v>
      </c>
      <c r="R133" s="1" t="s">
        <v>727</v>
      </c>
      <c r="S133" s="1" t="s">
        <v>727</v>
      </c>
      <c r="T133" s="1" t="s">
        <v>38</v>
      </c>
      <c r="U133" s="1" t="s">
        <v>38</v>
      </c>
      <c r="V133" s="1" t="s">
        <v>75</v>
      </c>
      <c r="W133" s="1" t="s">
        <v>39</v>
      </c>
      <c r="X133" s="1" t="s">
        <v>39</v>
      </c>
      <c r="Y133" s="3">
        <v>45140.80902777778</v>
      </c>
      <c r="Z133" s="1" t="s">
        <v>40</v>
      </c>
      <c r="AA133" s="1">
        <v>1666192.0</v>
      </c>
      <c r="AB133" s="1" t="s">
        <v>55</v>
      </c>
      <c r="AC133" s="1" t="s">
        <v>55</v>
      </c>
      <c r="AD133" s="1" t="s">
        <v>728</v>
      </c>
      <c r="AE133" s="1" t="s">
        <v>44</v>
      </c>
    </row>
    <row r="134" ht="56.25" customHeight="1">
      <c r="A134" s="1">
        <v>1.6171823237901E13</v>
      </c>
      <c r="B134" s="2" t="s">
        <v>729</v>
      </c>
      <c r="C134" s="2" t="s">
        <v>730</v>
      </c>
      <c r="D134" s="1">
        <v>2.5445008728E10</v>
      </c>
      <c r="E134" s="1" t="s">
        <v>410</v>
      </c>
      <c r="F134" s="1" t="b">
        <v>0</v>
      </c>
      <c r="G134" s="1" t="s">
        <v>34</v>
      </c>
      <c r="H134" s="1" t="b">
        <v>0</v>
      </c>
      <c r="I134" s="1">
        <v>0.0</v>
      </c>
      <c r="J134" s="1">
        <v>-2.0</v>
      </c>
      <c r="K134" s="1">
        <v>2.0</v>
      </c>
      <c r="L134" s="1">
        <v>4.422918866061E12</v>
      </c>
      <c r="M134" s="1" t="s">
        <v>35</v>
      </c>
      <c r="N134" s="1" t="str">
        <f t="array" ref="N134">XLOOKUP(A:A,'CategoriasSeções'!A:A,'CategoriasSeções'!B:B)</f>
        <v>APOIO ATENDIMENTO</v>
      </c>
      <c r="O134" s="1" t="s">
        <v>731</v>
      </c>
      <c r="P134" s="3">
        <v>45072.813888888886</v>
      </c>
      <c r="Q134" s="12">
        <v>45276.85972222222</v>
      </c>
      <c r="R134" s="1" t="s">
        <v>732</v>
      </c>
      <c r="S134" s="1" t="s">
        <v>732</v>
      </c>
      <c r="T134" s="1" t="s">
        <v>38</v>
      </c>
      <c r="U134" s="1" t="s">
        <v>38</v>
      </c>
      <c r="V134" s="1" t="s">
        <v>39</v>
      </c>
      <c r="W134" s="1" t="s">
        <v>39</v>
      </c>
      <c r="X134" s="1" t="s">
        <v>39</v>
      </c>
      <c r="Y134" s="12">
        <v>45276.85972222222</v>
      </c>
      <c r="Z134" s="1" t="s">
        <v>40</v>
      </c>
      <c r="AA134" s="1">
        <v>1666212.0</v>
      </c>
      <c r="AB134" s="1" t="s">
        <v>55</v>
      </c>
      <c r="AC134" s="1" t="s">
        <v>702</v>
      </c>
      <c r="AD134" s="1" t="s">
        <v>733</v>
      </c>
      <c r="AE134" s="1" t="s">
        <v>44</v>
      </c>
    </row>
    <row r="135" ht="56.25" customHeight="1">
      <c r="A135" s="1">
        <v>1.0516074299277E13</v>
      </c>
      <c r="B135" s="2" t="s">
        <v>734</v>
      </c>
      <c r="C135" s="2" t="s">
        <v>735</v>
      </c>
      <c r="D135" s="1">
        <v>2.5445008728E10</v>
      </c>
      <c r="E135" s="1" t="s">
        <v>410</v>
      </c>
      <c r="F135" s="1" t="b">
        <v>0</v>
      </c>
      <c r="G135" s="1" t="s">
        <v>34</v>
      </c>
      <c r="H135" s="1" t="b">
        <v>0</v>
      </c>
      <c r="I135" s="1">
        <v>0.0</v>
      </c>
      <c r="J135" s="1">
        <v>0.0</v>
      </c>
      <c r="K135" s="1">
        <v>0.0</v>
      </c>
      <c r="L135" s="1">
        <v>1.0516194287885E13</v>
      </c>
      <c r="M135" s="1" t="s">
        <v>35</v>
      </c>
      <c r="N135" s="1" t="str">
        <f t="array" ref="N135">XLOOKUP(A:A,'CategoriasSeções'!A:A,'CategoriasSeções'!B:B)</f>
        <v>APOIO ATENDIMENTO</v>
      </c>
      <c r="O135" s="1" t="s">
        <v>36</v>
      </c>
      <c r="P135" s="3">
        <v>44874.84930555556</v>
      </c>
      <c r="Q135" s="3">
        <v>45231.56527777778</v>
      </c>
      <c r="R135" s="1" t="s">
        <v>736</v>
      </c>
      <c r="S135" s="1" t="s">
        <v>736</v>
      </c>
      <c r="T135" s="1" t="s">
        <v>38</v>
      </c>
      <c r="U135" s="1" t="s">
        <v>38</v>
      </c>
      <c r="V135" s="1" t="s">
        <v>75</v>
      </c>
      <c r="W135" s="1" t="s">
        <v>39</v>
      </c>
      <c r="X135" s="1" t="s">
        <v>39</v>
      </c>
      <c r="Y135" s="3">
        <v>44874.85</v>
      </c>
      <c r="Z135" s="1" t="s">
        <v>40</v>
      </c>
      <c r="AA135" s="1">
        <v>1666192.0</v>
      </c>
      <c r="AB135" s="1" t="s">
        <v>55</v>
      </c>
      <c r="AC135" s="1" t="s">
        <v>55</v>
      </c>
      <c r="AD135" s="1" t="s">
        <v>737</v>
      </c>
      <c r="AE135" s="1" t="s">
        <v>44</v>
      </c>
    </row>
    <row r="136" ht="56.25" customHeight="1">
      <c r="A136" s="1">
        <v>1.0205136927501E13</v>
      </c>
      <c r="B136" s="2" t="s">
        <v>738</v>
      </c>
      <c r="C136" s="2" t="s">
        <v>739</v>
      </c>
      <c r="D136" s="1">
        <v>2.5445008728E10</v>
      </c>
      <c r="E136" s="1" t="s">
        <v>410</v>
      </c>
      <c r="F136" s="1" t="b">
        <v>0</v>
      </c>
      <c r="G136" s="1" t="s">
        <v>34</v>
      </c>
      <c r="H136" s="1" t="b">
        <v>0</v>
      </c>
      <c r="I136" s="1">
        <v>0.0</v>
      </c>
      <c r="J136" s="1">
        <v>0.0</v>
      </c>
      <c r="K136" s="1">
        <v>0.0</v>
      </c>
      <c r="L136" s="1">
        <v>3.60013315511E11</v>
      </c>
      <c r="M136" s="1" t="s">
        <v>35</v>
      </c>
      <c r="N136" s="1" t="str">
        <f t="array" ref="N136">XLOOKUP(A:A,'CategoriasSeções'!A:A,'CategoriasSeções'!B:B)</f>
        <v>Dúvidas Gerais</v>
      </c>
      <c r="O136" s="1" t="s">
        <v>129</v>
      </c>
      <c r="P136" s="12">
        <v>44861.85972222222</v>
      </c>
      <c r="Q136" s="3">
        <v>45526.35555555556</v>
      </c>
      <c r="R136" s="1" t="s">
        <v>740</v>
      </c>
      <c r="S136" s="1" t="s">
        <v>740</v>
      </c>
      <c r="T136" s="1" t="s">
        <v>38</v>
      </c>
      <c r="U136" s="1" t="s">
        <v>38</v>
      </c>
      <c r="V136" s="1" t="s">
        <v>75</v>
      </c>
      <c r="W136" s="1" t="s">
        <v>69</v>
      </c>
      <c r="X136" s="1" t="s">
        <v>69</v>
      </c>
      <c r="Y136" s="12">
        <v>44861.85972222222</v>
      </c>
      <c r="AA136" s="1">
        <v>1666192.0</v>
      </c>
      <c r="AB136" s="1" t="s">
        <v>55</v>
      </c>
      <c r="AC136" s="1" t="s">
        <v>55</v>
      </c>
      <c r="AD136" s="1" t="s">
        <v>741</v>
      </c>
      <c r="AE136" s="1" t="s">
        <v>55</v>
      </c>
    </row>
    <row r="137" ht="56.25" customHeight="1">
      <c r="A137" s="1">
        <v>8.840845251597E12</v>
      </c>
      <c r="B137" s="2" t="s">
        <v>742</v>
      </c>
      <c r="C137" s="2" t="s">
        <v>743</v>
      </c>
      <c r="D137" s="1">
        <v>2.5445008728E10</v>
      </c>
      <c r="E137" s="1" t="s">
        <v>410</v>
      </c>
      <c r="F137" s="1" t="b">
        <v>0</v>
      </c>
      <c r="G137" s="1" t="s">
        <v>34</v>
      </c>
      <c r="H137" s="1" t="b">
        <v>0</v>
      </c>
      <c r="I137" s="1">
        <v>0.0</v>
      </c>
      <c r="J137" s="1">
        <v>0.0</v>
      </c>
      <c r="K137" s="1">
        <v>0.0</v>
      </c>
      <c r="L137" s="1">
        <v>3.60013315531E11</v>
      </c>
      <c r="M137" s="1" t="s">
        <v>35</v>
      </c>
      <c r="N137" s="1" t="str">
        <f t="array" ref="N137">XLOOKUP(A:A,'CategoriasSeções'!A:A,'CategoriasSeções'!B:B)</f>
        <v>Dúvidas Gerais</v>
      </c>
      <c r="O137" s="1" t="s">
        <v>96</v>
      </c>
      <c r="P137" s="3">
        <v>44805.05486111111</v>
      </c>
      <c r="Q137" s="3">
        <v>45194.63680555556</v>
      </c>
      <c r="R137" s="1" t="s">
        <v>744</v>
      </c>
      <c r="S137" s="1" t="s">
        <v>744</v>
      </c>
      <c r="T137" s="1" t="s">
        <v>38</v>
      </c>
      <c r="U137" s="1" t="s">
        <v>38</v>
      </c>
      <c r="V137" s="1" t="s">
        <v>75</v>
      </c>
      <c r="W137" s="1" t="s">
        <v>69</v>
      </c>
      <c r="X137" s="1" t="s">
        <v>69</v>
      </c>
      <c r="Y137" s="3">
        <v>45194.63680555556</v>
      </c>
      <c r="AA137" s="1">
        <v>1666192.0</v>
      </c>
      <c r="AB137" s="1" t="s">
        <v>55</v>
      </c>
      <c r="AC137" s="1" t="s">
        <v>55</v>
      </c>
      <c r="AD137" s="1" t="s">
        <v>745</v>
      </c>
      <c r="AE137" s="1" t="s">
        <v>55</v>
      </c>
    </row>
    <row r="138" ht="56.25" customHeight="1">
      <c r="A138" s="1">
        <v>8.472874606349E12</v>
      </c>
      <c r="B138" s="2" t="s">
        <v>746</v>
      </c>
      <c r="C138" s="2" t="s">
        <v>747</v>
      </c>
      <c r="D138" s="1">
        <v>3.87048456972E11</v>
      </c>
      <c r="E138" s="1" t="s">
        <v>433</v>
      </c>
      <c r="F138" s="1" t="b">
        <v>0</v>
      </c>
      <c r="G138" s="1" t="s">
        <v>34</v>
      </c>
      <c r="H138" s="1" t="b">
        <v>0</v>
      </c>
      <c r="I138" s="1">
        <v>0.0</v>
      </c>
      <c r="J138" s="1">
        <v>0.0</v>
      </c>
      <c r="K138" s="1">
        <v>0.0</v>
      </c>
      <c r="L138" s="1">
        <v>3.60013315531E11</v>
      </c>
      <c r="M138" s="1" t="s">
        <v>35</v>
      </c>
      <c r="N138" s="1" t="str">
        <f t="array" ref="N138">XLOOKUP(A:A,'CategoriasSeções'!A:A,'CategoriasSeções'!B:B)</f>
        <v>Dúvidas Gerais</v>
      </c>
      <c r="O138" s="1" t="s">
        <v>96</v>
      </c>
      <c r="P138" s="3">
        <v>44790.024305555555</v>
      </c>
      <c r="Q138" s="3">
        <v>44805.47777777778</v>
      </c>
      <c r="R138" s="1" t="s">
        <v>748</v>
      </c>
      <c r="S138" s="1" t="s">
        <v>748</v>
      </c>
      <c r="T138" s="1" t="s">
        <v>38</v>
      </c>
      <c r="U138" s="1" t="s">
        <v>38</v>
      </c>
      <c r="V138" s="1" t="s">
        <v>75</v>
      </c>
      <c r="W138" s="1" t="s">
        <v>69</v>
      </c>
      <c r="X138" s="1" t="s">
        <v>69</v>
      </c>
      <c r="Y138" s="3">
        <v>44805.47777777778</v>
      </c>
      <c r="AA138" s="1">
        <v>1666192.0</v>
      </c>
      <c r="AB138" s="1" t="s">
        <v>55</v>
      </c>
      <c r="AC138" s="1" t="s">
        <v>55</v>
      </c>
      <c r="AD138" s="1" t="s">
        <v>749</v>
      </c>
      <c r="AE138" s="1" t="s">
        <v>55</v>
      </c>
    </row>
    <row r="139" ht="56.25" customHeight="1">
      <c r="A139" s="1">
        <v>8.472814179981E12</v>
      </c>
      <c r="B139" s="2" t="s">
        <v>750</v>
      </c>
      <c r="C139" s="2" t="s">
        <v>751</v>
      </c>
      <c r="D139" s="1">
        <v>3.87048456972E11</v>
      </c>
      <c r="E139" s="1" t="s">
        <v>433</v>
      </c>
      <c r="F139" s="1" t="b">
        <v>0</v>
      </c>
      <c r="G139" s="1" t="s">
        <v>34</v>
      </c>
      <c r="H139" s="1" t="b">
        <v>0</v>
      </c>
      <c r="I139" s="1">
        <v>0.0</v>
      </c>
      <c r="J139" s="1">
        <v>0.0</v>
      </c>
      <c r="K139" s="1">
        <v>0.0</v>
      </c>
      <c r="L139" s="1">
        <v>3.60013315531E11</v>
      </c>
      <c r="M139" s="1" t="s">
        <v>35</v>
      </c>
      <c r="N139" s="1" t="str">
        <f t="array" ref="N139">XLOOKUP(A:A,'CategoriasSeções'!A:A,'CategoriasSeções'!B:B)</f>
        <v>Dúvidas Gerais</v>
      </c>
      <c r="O139" s="1" t="s">
        <v>96</v>
      </c>
      <c r="P139" s="3">
        <v>44790.02013888889</v>
      </c>
      <c r="Q139" s="3">
        <v>44805.48333333333</v>
      </c>
      <c r="R139" s="1" t="s">
        <v>752</v>
      </c>
      <c r="S139" s="1" t="s">
        <v>752</v>
      </c>
      <c r="T139" s="1" t="s">
        <v>38</v>
      </c>
      <c r="U139" s="1" t="s">
        <v>38</v>
      </c>
      <c r="V139" s="1" t="s">
        <v>75</v>
      </c>
      <c r="W139" s="1" t="s">
        <v>69</v>
      </c>
      <c r="X139" s="1" t="s">
        <v>69</v>
      </c>
      <c r="Y139" s="3">
        <v>44805.48333333333</v>
      </c>
      <c r="AA139" s="1">
        <v>1666192.0</v>
      </c>
      <c r="AB139" s="1" t="s">
        <v>55</v>
      </c>
      <c r="AC139" s="1" t="s">
        <v>55</v>
      </c>
      <c r="AD139" s="1" t="s">
        <v>753</v>
      </c>
      <c r="AE139" s="1" t="s">
        <v>55</v>
      </c>
    </row>
    <row r="140" ht="56.25" customHeight="1">
      <c r="A140" s="1">
        <v>8.472516540045E12</v>
      </c>
      <c r="B140" s="2" t="s">
        <v>754</v>
      </c>
      <c r="C140" s="2" t="s">
        <v>755</v>
      </c>
      <c r="D140" s="1">
        <v>3.87048456972E11</v>
      </c>
      <c r="E140" s="1" t="s">
        <v>433</v>
      </c>
      <c r="F140" s="1" t="b">
        <v>0</v>
      </c>
      <c r="G140" s="1" t="s">
        <v>34</v>
      </c>
      <c r="H140" s="1" t="b">
        <v>0</v>
      </c>
      <c r="I140" s="1">
        <v>0.0</v>
      </c>
      <c r="J140" s="1">
        <v>0.0</v>
      </c>
      <c r="K140" s="1">
        <v>0.0</v>
      </c>
      <c r="L140" s="1">
        <v>3.60013315531E11</v>
      </c>
      <c r="M140" s="1" t="s">
        <v>35</v>
      </c>
      <c r="N140" s="1" t="str">
        <f t="array" ref="N140">XLOOKUP(A:A,'CategoriasSeções'!A:A,'CategoriasSeções'!B:B)</f>
        <v>Dúvidas Gerais</v>
      </c>
      <c r="O140" s="1" t="s">
        <v>96</v>
      </c>
      <c r="P140" s="3">
        <v>44790.004166666666</v>
      </c>
      <c r="Q140" s="3">
        <v>45231.56527777778</v>
      </c>
      <c r="R140" s="1" t="s">
        <v>756</v>
      </c>
      <c r="S140" s="1" t="s">
        <v>756</v>
      </c>
      <c r="T140" s="1" t="s">
        <v>38</v>
      </c>
      <c r="U140" s="1" t="s">
        <v>38</v>
      </c>
      <c r="V140" s="1" t="s">
        <v>75</v>
      </c>
      <c r="W140" s="1" t="s">
        <v>757</v>
      </c>
      <c r="X140" s="1" t="s">
        <v>757</v>
      </c>
      <c r="Y140" s="3">
        <v>44823.53680555556</v>
      </c>
      <c r="Z140" s="1" t="s">
        <v>758</v>
      </c>
      <c r="AA140" s="1">
        <v>1666192.0</v>
      </c>
      <c r="AB140" s="1" t="s">
        <v>55</v>
      </c>
      <c r="AC140" s="1" t="s">
        <v>55</v>
      </c>
      <c r="AD140" s="1" t="s">
        <v>759</v>
      </c>
      <c r="AE140" s="1" t="s">
        <v>760</v>
      </c>
    </row>
    <row r="141" ht="56.25" customHeight="1">
      <c r="A141" s="1">
        <v>8.472312195085E12</v>
      </c>
      <c r="B141" s="2" t="s">
        <v>761</v>
      </c>
      <c r="C141" s="2" t="s">
        <v>762</v>
      </c>
      <c r="D141" s="1">
        <v>3.87048456972E11</v>
      </c>
      <c r="E141" s="1" t="s">
        <v>433</v>
      </c>
      <c r="F141" s="1" t="b">
        <v>1</v>
      </c>
      <c r="G141" s="1" t="s">
        <v>47</v>
      </c>
      <c r="H141" s="1" t="b">
        <v>0</v>
      </c>
      <c r="I141" s="1">
        <v>0.0</v>
      </c>
      <c r="J141" s="1">
        <v>0.0</v>
      </c>
      <c r="K141" s="1">
        <v>0.0</v>
      </c>
      <c r="L141" s="1">
        <v>3.60013315531E11</v>
      </c>
      <c r="M141" s="1" t="s">
        <v>35</v>
      </c>
      <c r="N141" s="1" t="str">
        <f t="array" ref="N141">XLOOKUP(A:A,'CategoriasSeções'!A:A,'CategoriasSeções'!B:B)</f>
        <v>Dúvidas Gerais</v>
      </c>
      <c r="O141" s="1" t="s">
        <v>96</v>
      </c>
      <c r="P141" s="3">
        <v>44789.99444444444</v>
      </c>
      <c r="Q141" s="3">
        <v>45231.56527777778</v>
      </c>
      <c r="R141" s="1" t="s">
        <v>763</v>
      </c>
      <c r="S141" s="1" t="s">
        <v>763</v>
      </c>
      <c r="T141" s="1" t="s">
        <v>38</v>
      </c>
      <c r="U141" s="1" t="s">
        <v>38</v>
      </c>
      <c r="V141" s="1" t="s">
        <v>75</v>
      </c>
      <c r="W141" s="1" t="s">
        <v>757</v>
      </c>
      <c r="X141" s="1" t="s">
        <v>757</v>
      </c>
      <c r="Y141" s="3">
        <v>44809.53402777778</v>
      </c>
      <c r="Z141" s="1" t="s">
        <v>758</v>
      </c>
      <c r="AA141" s="1">
        <v>1666192.0</v>
      </c>
      <c r="AB141" s="1" t="s">
        <v>55</v>
      </c>
      <c r="AC141" s="1" t="s">
        <v>55</v>
      </c>
      <c r="AD141" s="1" t="s">
        <v>764</v>
      </c>
      <c r="AE141" s="1" t="s">
        <v>760</v>
      </c>
    </row>
    <row r="142" ht="56.25" customHeight="1">
      <c r="A142" s="1">
        <v>8.472214549133E12</v>
      </c>
      <c r="B142" s="2" t="s">
        <v>765</v>
      </c>
      <c r="C142" s="2" t="s">
        <v>766</v>
      </c>
      <c r="D142" s="1">
        <v>3.87048456972E11</v>
      </c>
      <c r="E142" s="1" t="s">
        <v>433</v>
      </c>
      <c r="F142" s="1" t="b">
        <v>1</v>
      </c>
      <c r="G142" s="1" t="s">
        <v>47</v>
      </c>
      <c r="H142" s="1" t="b">
        <v>0</v>
      </c>
      <c r="I142" s="1">
        <v>0.0</v>
      </c>
      <c r="J142" s="1">
        <v>0.0</v>
      </c>
      <c r="K142" s="1">
        <v>0.0</v>
      </c>
      <c r="L142" s="1">
        <v>3.60013315531E11</v>
      </c>
      <c r="M142" s="1" t="s">
        <v>35</v>
      </c>
      <c r="N142" s="1" t="str">
        <f t="array" ref="N142">XLOOKUP(A:A,'CategoriasSeções'!A:A,'CategoriasSeções'!B:B)</f>
        <v>Dúvidas Gerais</v>
      </c>
      <c r="O142" s="1" t="s">
        <v>96</v>
      </c>
      <c r="P142" s="3">
        <v>44789.989583333336</v>
      </c>
      <c r="Q142" s="3">
        <v>45231.56527777778</v>
      </c>
      <c r="R142" s="1" t="s">
        <v>767</v>
      </c>
      <c r="S142" s="1" t="s">
        <v>767</v>
      </c>
      <c r="T142" s="1" t="s">
        <v>38</v>
      </c>
      <c r="U142" s="1" t="s">
        <v>38</v>
      </c>
      <c r="V142" s="1" t="s">
        <v>75</v>
      </c>
      <c r="W142" s="1" t="s">
        <v>39</v>
      </c>
      <c r="X142" s="1" t="s">
        <v>39</v>
      </c>
      <c r="Y142" s="3">
        <v>44809.53402777778</v>
      </c>
      <c r="Z142" s="1" t="s">
        <v>40</v>
      </c>
      <c r="AA142" s="1">
        <v>1666192.0</v>
      </c>
      <c r="AB142" s="1" t="s">
        <v>55</v>
      </c>
      <c r="AC142" s="1" t="s">
        <v>55</v>
      </c>
      <c r="AD142" s="1" t="s">
        <v>768</v>
      </c>
      <c r="AE142" s="1" t="s">
        <v>44</v>
      </c>
    </row>
    <row r="143" ht="56.25" customHeight="1">
      <c r="A143" s="1">
        <v>8.472058613261E12</v>
      </c>
      <c r="B143" s="2" t="s">
        <v>769</v>
      </c>
      <c r="C143" s="2" t="s">
        <v>770</v>
      </c>
      <c r="D143" s="1">
        <v>3.87048456972E11</v>
      </c>
      <c r="E143" s="1" t="s">
        <v>433</v>
      </c>
      <c r="F143" s="1" t="b">
        <v>0</v>
      </c>
      <c r="G143" s="1" t="s">
        <v>34</v>
      </c>
      <c r="H143" s="1" t="b">
        <v>0</v>
      </c>
      <c r="I143" s="1">
        <v>0.0</v>
      </c>
      <c r="J143" s="1">
        <v>0.0</v>
      </c>
      <c r="K143" s="1">
        <v>0.0</v>
      </c>
      <c r="L143" s="1">
        <v>3.60013315531E11</v>
      </c>
      <c r="M143" s="1" t="s">
        <v>35</v>
      </c>
      <c r="N143" s="1" t="str">
        <f t="array" ref="N143">XLOOKUP(A:A,'CategoriasSeções'!A:A,'CategoriasSeções'!B:B)</f>
        <v>Dúvidas Gerais</v>
      </c>
      <c r="O143" s="1" t="s">
        <v>96</v>
      </c>
      <c r="P143" s="3">
        <v>44789.979166666664</v>
      </c>
      <c r="Q143" s="3">
        <v>44805.489583333336</v>
      </c>
      <c r="R143" s="1" t="s">
        <v>771</v>
      </c>
      <c r="S143" s="1" t="s">
        <v>771</v>
      </c>
      <c r="T143" s="1" t="s">
        <v>38</v>
      </c>
      <c r="U143" s="1" t="s">
        <v>38</v>
      </c>
      <c r="V143" s="1" t="s">
        <v>75</v>
      </c>
      <c r="W143" s="1" t="s">
        <v>69</v>
      </c>
      <c r="X143" s="1" t="s">
        <v>69</v>
      </c>
      <c r="Y143" s="3">
        <v>44805.489583333336</v>
      </c>
      <c r="AA143" s="1">
        <v>1666192.0</v>
      </c>
      <c r="AB143" s="1" t="s">
        <v>55</v>
      </c>
      <c r="AC143" s="1" t="s">
        <v>55</v>
      </c>
      <c r="AD143" s="1" t="s">
        <v>772</v>
      </c>
      <c r="AE143" s="1" t="s">
        <v>55</v>
      </c>
    </row>
    <row r="144" ht="56.25" customHeight="1">
      <c r="A144" s="1">
        <v>8.390753642381E12</v>
      </c>
      <c r="B144" s="2" t="s">
        <v>773</v>
      </c>
      <c r="C144" s="2" t="s">
        <v>774</v>
      </c>
      <c r="D144" s="1">
        <v>2.5445008728E10</v>
      </c>
      <c r="E144" s="1" t="s">
        <v>410</v>
      </c>
      <c r="F144" s="1" t="b">
        <v>0</v>
      </c>
      <c r="G144" s="1" t="s">
        <v>34</v>
      </c>
      <c r="H144" s="1" t="b">
        <v>0</v>
      </c>
      <c r="I144" s="1">
        <v>0.0</v>
      </c>
      <c r="J144" s="1">
        <v>0.0</v>
      </c>
      <c r="K144" s="1">
        <v>0.0</v>
      </c>
      <c r="L144" s="1">
        <v>3.60013315531E11</v>
      </c>
      <c r="M144" s="1" t="s">
        <v>35</v>
      </c>
      <c r="N144" s="1" t="str">
        <f t="array" ref="N144">XLOOKUP(A:A,'CategoriasSeções'!A:A,'CategoriasSeções'!B:B)</f>
        <v>Dúvidas Gerais</v>
      </c>
      <c r="O144" s="1" t="s">
        <v>96</v>
      </c>
      <c r="P144" s="3">
        <v>44786.06597222222</v>
      </c>
      <c r="Q144" s="3">
        <v>45526.552777777775</v>
      </c>
      <c r="R144" s="1" t="s">
        <v>775</v>
      </c>
      <c r="S144" s="1" t="s">
        <v>775</v>
      </c>
      <c r="T144" s="1" t="s">
        <v>38</v>
      </c>
      <c r="U144" s="1" t="s">
        <v>38</v>
      </c>
      <c r="V144" s="1" t="s">
        <v>75</v>
      </c>
      <c r="W144" s="1" t="s">
        <v>69</v>
      </c>
      <c r="X144" s="1" t="s">
        <v>69</v>
      </c>
      <c r="Y144" s="3">
        <v>44805.49722222222</v>
      </c>
      <c r="AA144" s="1">
        <v>1666192.0</v>
      </c>
      <c r="AB144" s="1" t="s">
        <v>55</v>
      </c>
      <c r="AC144" s="1" t="s">
        <v>55</v>
      </c>
      <c r="AD144" s="1" t="s">
        <v>776</v>
      </c>
      <c r="AE144" s="1" t="s">
        <v>55</v>
      </c>
    </row>
    <row r="145" ht="56.25" customHeight="1">
      <c r="A145" s="1">
        <v>4.652559260557E12</v>
      </c>
      <c r="B145" s="2" t="s">
        <v>777</v>
      </c>
      <c r="C145" s="2" t="s">
        <v>778</v>
      </c>
      <c r="D145" s="1">
        <v>3.87048456972E11</v>
      </c>
      <c r="E145" s="1" t="s">
        <v>433</v>
      </c>
      <c r="F145" s="1" t="b">
        <v>0</v>
      </c>
      <c r="G145" s="1" t="s">
        <v>34</v>
      </c>
      <c r="H145" s="1" t="b">
        <v>0</v>
      </c>
      <c r="I145" s="1">
        <v>0.0</v>
      </c>
      <c r="J145" s="1">
        <v>0.0</v>
      </c>
      <c r="K145" s="1">
        <v>0.0</v>
      </c>
      <c r="L145" s="1">
        <v>4.652571072653E12</v>
      </c>
      <c r="M145" s="1" t="s">
        <v>35</v>
      </c>
      <c r="N145" s="1" t="str">
        <f t="array" ref="N145">XLOOKUP(A:A,'CategoriasSeções'!A:A,'CategoriasSeções'!B:B)</f>
        <v>APOIO ATENDIMENTO</v>
      </c>
      <c r="O145" s="1" t="s">
        <v>151</v>
      </c>
      <c r="P145" s="3">
        <v>44628.53680555556</v>
      </c>
      <c r="Q145" s="3">
        <v>45526.611805555556</v>
      </c>
      <c r="R145" s="1" t="s">
        <v>779</v>
      </c>
      <c r="S145" s="1" t="s">
        <v>779</v>
      </c>
      <c r="T145" s="1" t="s">
        <v>38</v>
      </c>
      <c r="U145" s="1" t="s">
        <v>38</v>
      </c>
      <c r="V145" s="1" t="s">
        <v>75</v>
      </c>
      <c r="W145" s="1" t="s">
        <v>39</v>
      </c>
      <c r="X145" s="1" t="s">
        <v>39</v>
      </c>
      <c r="Y145" s="3">
        <v>44629.833333333336</v>
      </c>
      <c r="Z145" s="1" t="s">
        <v>40</v>
      </c>
      <c r="AA145" s="1">
        <v>1666192.0</v>
      </c>
      <c r="AB145" s="1" t="s">
        <v>55</v>
      </c>
      <c r="AC145" s="1" t="s">
        <v>55</v>
      </c>
      <c r="AD145" s="1" t="s">
        <v>780</v>
      </c>
      <c r="AE145" s="1" t="s">
        <v>44</v>
      </c>
    </row>
    <row r="146" ht="56.25" customHeight="1">
      <c r="A146" s="1">
        <v>4.422919758861E12</v>
      </c>
      <c r="B146" s="2" t="s">
        <v>781</v>
      </c>
      <c r="C146" s="2" t="s">
        <v>782</v>
      </c>
      <c r="D146" s="1">
        <v>2.5445008728E10</v>
      </c>
      <c r="E146" s="1" t="s">
        <v>410</v>
      </c>
      <c r="F146" s="1" t="b">
        <v>0</v>
      </c>
      <c r="G146" s="1" t="s">
        <v>34</v>
      </c>
      <c r="H146" s="1" t="b">
        <v>0</v>
      </c>
      <c r="I146" s="1">
        <v>0.0</v>
      </c>
      <c r="J146" s="1">
        <v>0.0</v>
      </c>
      <c r="K146" s="1">
        <v>0.0</v>
      </c>
      <c r="L146" s="1">
        <v>3.60013202372E11</v>
      </c>
      <c r="M146" s="1" t="s">
        <v>35</v>
      </c>
      <c r="N146" s="1" t="str">
        <f t="array" ref="N146">XLOOKUP(A:A,'CategoriasSeções'!A:A,'CategoriasSeções'!B:B)</f>
        <v>Dúvidas Gerais</v>
      </c>
      <c r="O146" s="1" t="s">
        <v>103</v>
      </c>
      <c r="P146" s="3">
        <v>44586.790972222225</v>
      </c>
      <c r="Q146" s="3">
        <v>45231.56527777778</v>
      </c>
      <c r="R146" s="1" t="s">
        <v>732</v>
      </c>
      <c r="S146" s="1" t="s">
        <v>732</v>
      </c>
      <c r="T146" s="1" t="s">
        <v>38</v>
      </c>
      <c r="U146" s="1" t="s">
        <v>38</v>
      </c>
      <c r="V146" s="1" t="s">
        <v>75</v>
      </c>
      <c r="W146" s="1" t="s">
        <v>39</v>
      </c>
      <c r="X146" s="1" t="s">
        <v>39</v>
      </c>
      <c r="Y146" s="3">
        <v>45072.81180555555</v>
      </c>
      <c r="Z146" s="1" t="s">
        <v>40</v>
      </c>
      <c r="AA146" s="1">
        <v>1666192.0</v>
      </c>
      <c r="AB146" s="1" t="s">
        <v>55</v>
      </c>
      <c r="AC146" s="1" t="s">
        <v>783</v>
      </c>
      <c r="AD146" s="1" t="s">
        <v>733</v>
      </c>
      <c r="AE146" s="1" t="s">
        <v>44</v>
      </c>
    </row>
    <row r="147" ht="56.25" customHeight="1">
      <c r="A147" s="1">
        <v>3.60060364071E11</v>
      </c>
      <c r="B147" s="2" t="s">
        <v>784</v>
      </c>
      <c r="C147" s="2" t="s">
        <v>785</v>
      </c>
      <c r="D147" s="1">
        <v>3.87048456972E11</v>
      </c>
      <c r="E147" s="1" t="s">
        <v>433</v>
      </c>
      <c r="F147" s="1" t="b">
        <v>1</v>
      </c>
      <c r="G147" s="1" t="s">
        <v>47</v>
      </c>
      <c r="H147" s="1" t="b">
        <v>0</v>
      </c>
      <c r="I147" s="1">
        <v>0.0</v>
      </c>
      <c r="J147" s="1">
        <v>0.0</v>
      </c>
      <c r="K147" s="1">
        <v>0.0</v>
      </c>
      <c r="L147" s="1">
        <v>3.60013202372E11</v>
      </c>
      <c r="M147" s="1" t="s">
        <v>35</v>
      </c>
      <c r="N147" s="1" t="str">
        <f t="array" ref="N147">XLOOKUP(A:A,'CategoriasSeções'!A:A,'CategoriasSeções'!B:B)</f>
        <v>Dúvidas Gerais</v>
      </c>
      <c r="O147" s="1" t="s">
        <v>103</v>
      </c>
      <c r="P147" s="3">
        <v>44311.89791666667</v>
      </c>
      <c r="Q147" s="3">
        <v>45526.55972222222</v>
      </c>
      <c r="R147" s="1" t="s">
        <v>786</v>
      </c>
      <c r="S147" s="1" t="s">
        <v>786</v>
      </c>
      <c r="T147" s="1" t="s">
        <v>38</v>
      </c>
      <c r="U147" s="1" t="s">
        <v>38</v>
      </c>
      <c r="V147" s="1" t="s">
        <v>75</v>
      </c>
      <c r="W147" s="1" t="s">
        <v>39</v>
      </c>
      <c r="X147" s="1" t="s">
        <v>39</v>
      </c>
      <c r="Y147" s="3">
        <v>44311.89791666667</v>
      </c>
      <c r="Z147" s="1" t="s">
        <v>40</v>
      </c>
      <c r="AA147" s="1">
        <v>1666192.0</v>
      </c>
      <c r="AB147" s="1" t="s">
        <v>55</v>
      </c>
      <c r="AC147" s="1" t="s">
        <v>55</v>
      </c>
      <c r="AD147" s="1" t="s">
        <v>787</v>
      </c>
      <c r="AE147" s="1" t="s">
        <v>44</v>
      </c>
    </row>
    <row r="148" ht="56.25" customHeight="1">
      <c r="A148" s="1">
        <v>3.60059921652E11</v>
      </c>
      <c r="B148" s="2" t="s">
        <v>788</v>
      </c>
      <c r="C148" s="2" t="s">
        <v>789</v>
      </c>
      <c r="D148" s="1">
        <v>2.5445008728E10</v>
      </c>
      <c r="E148" s="1" t="s">
        <v>410</v>
      </c>
      <c r="F148" s="1" t="b">
        <v>1</v>
      </c>
      <c r="G148" s="1" t="s">
        <v>47</v>
      </c>
      <c r="H148" s="1" t="b">
        <v>0</v>
      </c>
      <c r="I148" s="1">
        <v>0.0</v>
      </c>
      <c r="J148" s="1">
        <v>0.0</v>
      </c>
      <c r="K148" s="1">
        <v>0.0</v>
      </c>
      <c r="L148" s="1">
        <v>3.60013317151E11</v>
      </c>
      <c r="M148" s="1" t="s">
        <v>35</v>
      </c>
      <c r="N148" s="1" t="str">
        <f t="array" ref="N148">XLOOKUP(A:A,'CategoriasSeções'!A:A,'CategoriasSeções'!B:B)</f>
        <v>APOIO ATENDIMENTO</v>
      </c>
      <c r="O148" s="1" t="s">
        <v>53</v>
      </c>
      <c r="P148" s="3">
        <v>44311.467361111114</v>
      </c>
      <c r="Q148" s="3">
        <v>45231.56527777778</v>
      </c>
      <c r="R148" s="1" t="s">
        <v>790</v>
      </c>
      <c r="S148" s="1" t="s">
        <v>790</v>
      </c>
      <c r="T148" s="1" t="s">
        <v>38</v>
      </c>
      <c r="U148" s="1" t="s">
        <v>38</v>
      </c>
      <c r="V148" s="1" t="s">
        <v>75</v>
      </c>
      <c r="W148" s="1" t="s">
        <v>39</v>
      </c>
      <c r="X148" s="1" t="s">
        <v>39</v>
      </c>
      <c r="Y148" s="3">
        <v>44311.467361111114</v>
      </c>
      <c r="Z148" s="1" t="s">
        <v>40</v>
      </c>
      <c r="AA148" s="1">
        <v>1666192.0</v>
      </c>
      <c r="AB148" s="1" t="s">
        <v>55</v>
      </c>
      <c r="AC148" s="1" t="s">
        <v>55</v>
      </c>
      <c r="AD148" s="1" t="s">
        <v>791</v>
      </c>
      <c r="AE148" s="1" t="s">
        <v>44</v>
      </c>
    </row>
    <row r="149" ht="56.25" customHeight="1">
      <c r="A149" s="1">
        <v>3.60059919672E11</v>
      </c>
      <c r="B149" s="2" t="s">
        <v>792</v>
      </c>
      <c r="C149" s="2" t="s">
        <v>793</v>
      </c>
      <c r="D149" s="1">
        <v>2.5445008728E10</v>
      </c>
      <c r="E149" s="1" t="s">
        <v>410</v>
      </c>
      <c r="F149" s="1" t="b">
        <v>0</v>
      </c>
      <c r="G149" s="1" t="s">
        <v>34</v>
      </c>
      <c r="H149" s="1" t="b">
        <v>0</v>
      </c>
      <c r="I149" s="1">
        <v>0.0</v>
      </c>
      <c r="J149" s="1">
        <v>0.0</v>
      </c>
      <c r="K149" s="1">
        <v>0.0</v>
      </c>
      <c r="L149" s="1">
        <v>3.60013202372E11</v>
      </c>
      <c r="M149" s="1" t="s">
        <v>35</v>
      </c>
      <c r="N149" s="1" t="str">
        <f t="array" ref="N149">XLOOKUP(A:A,'CategoriasSeções'!A:A,'CategoriasSeções'!B:B)</f>
        <v>Dúvidas Gerais</v>
      </c>
      <c r="O149" s="1" t="s">
        <v>103</v>
      </c>
      <c r="P149" s="3">
        <v>44310.74097222222</v>
      </c>
      <c r="Q149" s="3">
        <v>44387.620833333334</v>
      </c>
      <c r="R149" s="1" t="s">
        <v>794</v>
      </c>
      <c r="S149" s="1" t="s">
        <v>794</v>
      </c>
      <c r="T149" s="1" t="s">
        <v>38</v>
      </c>
      <c r="U149" s="1" t="s">
        <v>38</v>
      </c>
      <c r="V149" s="1" t="s">
        <v>75</v>
      </c>
      <c r="W149" s="1" t="s">
        <v>69</v>
      </c>
      <c r="X149" s="1" t="s">
        <v>69</v>
      </c>
      <c r="Y149" s="3">
        <v>44387.620833333334</v>
      </c>
      <c r="AA149" s="1">
        <v>1666192.0</v>
      </c>
      <c r="AB149" s="1" t="s">
        <v>55</v>
      </c>
      <c r="AC149" s="1" t="s">
        <v>795</v>
      </c>
      <c r="AD149" s="1" t="s">
        <v>796</v>
      </c>
      <c r="AE149" s="1" t="s">
        <v>55</v>
      </c>
    </row>
    <row r="150" ht="56.25" customHeight="1">
      <c r="A150" s="1">
        <v>3.60060360031E11</v>
      </c>
      <c r="B150" s="2" t="s">
        <v>797</v>
      </c>
      <c r="C150" s="2" t="s">
        <v>798</v>
      </c>
      <c r="D150" s="1">
        <v>2.5445008728E10</v>
      </c>
      <c r="E150" s="1" t="s">
        <v>410</v>
      </c>
      <c r="F150" s="1" t="b">
        <v>1</v>
      </c>
      <c r="G150" s="1" t="s">
        <v>47</v>
      </c>
      <c r="H150" s="1" t="b">
        <v>0</v>
      </c>
      <c r="I150" s="1">
        <v>0.0</v>
      </c>
      <c r="J150" s="1">
        <v>0.0</v>
      </c>
      <c r="K150" s="1">
        <v>0.0</v>
      </c>
      <c r="L150" s="1">
        <v>3.60013317151E11</v>
      </c>
      <c r="M150" s="1" t="s">
        <v>35</v>
      </c>
      <c r="N150" s="1" t="str">
        <f t="array" ref="N150">XLOOKUP(A:A,'CategoriasSeções'!A:A,'CategoriasSeções'!B:B)</f>
        <v>APOIO ATENDIMENTO</v>
      </c>
      <c r="O150" s="1" t="s">
        <v>53</v>
      </c>
      <c r="P150" s="3">
        <v>44310.73125</v>
      </c>
      <c r="Q150" s="3">
        <v>45231.56527777778</v>
      </c>
      <c r="R150" s="1" t="s">
        <v>799</v>
      </c>
      <c r="S150" s="1" t="s">
        <v>799</v>
      </c>
      <c r="T150" s="1" t="s">
        <v>38</v>
      </c>
      <c r="U150" s="1" t="s">
        <v>38</v>
      </c>
      <c r="V150" s="1" t="s">
        <v>75</v>
      </c>
      <c r="W150" s="1" t="s">
        <v>39</v>
      </c>
      <c r="X150" s="1" t="s">
        <v>39</v>
      </c>
      <c r="Y150" s="3">
        <v>44310.73125</v>
      </c>
      <c r="Z150" s="1" t="s">
        <v>40</v>
      </c>
      <c r="AA150" s="1">
        <v>1666192.0</v>
      </c>
      <c r="AB150" s="1" t="s">
        <v>55</v>
      </c>
      <c r="AC150" s="1" t="s">
        <v>55</v>
      </c>
      <c r="AD150" s="1" t="s">
        <v>800</v>
      </c>
      <c r="AE150" s="1" t="s">
        <v>44</v>
      </c>
    </row>
    <row r="151" ht="56.25" customHeight="1">
      <c r="A151" s="1">
        <v>3.60060359971E11</v>
      </c>
      <c r="B151" s="2" t="s">
        <v>801</v>
      </c>
      <c r="C151" s="2" t="s">
        <v>802</v>
      </c>
      <c r="D151" s="1">
        <v>2.5445008728E10</v>
      </c>
      <c r="E151" s="1" t="s">
        <v>410</v>
      </c>
      <c r="F151" s="1" t="b">
        <v>0</v>
      </c>
      <c r="G151" s="1" t="s">
        <v>34</v>
      </c>
      <c r="H151" s="1" t="b">
        <v>0</v>
      </c>
      <c r="I151" s="1">
        <v>0.0</v>
      </c>
      <c r="J151" s="1">
        <v>0.0</v>
      </c>
      <c r="K151" s="1">
        <v>0.0</v>
      </c>
      <c r="L151" s="1">
        <v>3.60013202372E11</v>
      </c>
      <c r="M151" s="1" t="s">
        <v>35</v>
      </c>
      <c r="N151" s="1" t="str">
        <f t="array" ref="N151">XLOOKUP(A:A,'CategoriasSeções'!A:A,'CategoriasSeções'!B:B)</f>
        <v>Dúvidas Gerais</v>
      </c>
      <c r="O151" s="1" t="s">
        <v>103</v>
      </c>
      <c r="P151" s="3">
        <v>44310.72638888889</v>
      </c>
      <c r="Q151" s="3">
        <v>45453.77291666667</v>
      </c>
      <c r="R151" s="1" t="s">
        <v>803</v>
      </c>
      <c r="S151" s="1" t="s">
        <v>803</v>
      </c>
      <c r="T151" s="1" t="s">
        <v>38</v>
      </c>
      <c r="U151" s="1" t="s">
        <v>38</v>
      </c>
      <c r="V151" s="1" t="s">
        <v>75</v>
      </c>
      <c r="W151" s="1" t="s">
        <v>69</v>
      </c>
      <c r="X151" s="1" t="s">
        <v>69</v>
      </c>
      <c r="Y151" s="3">
        <v>45453.77291666667</v>
      </c>
      <c r="AA151" s="1">
        <v>1666192.0</v>
      </c>
      <c r="AB151" s="1" t="s">
        <v>55</v>
      </c>
      <c r="AC151" s="1" t="s">
        <v>55</v>
      </c>
      <c r="AD151" s="1" t="s">
        <v>804</v>
      </c>
      <c r="AE151" s="1" t="s">
        <v>55</v>
      </c>
    </row>
    <row r="152" ht="56.25" customHeight="1">
      <c r="A152" s="1">
        <v>3.60060359871E11</v>
      </c>
      <c r="B152" s="2" t="s">
        <v>805</v>
      </c>
      <c r="C152" s="2" t="s">
        <v>806</v>
      </c>
      <c r="D152" s="1">
        <v>2.5445008728E10</v>
      </c>
      <c r="E152" s="1" t="s">
        <v>410</v>
      </c>
      <c r="F152" s="1" t="b">
        <v>0</v>
      </c>
      <c r="G152" s="1" t="s">
        <v>34</v>
      </c>
      <c r="H152" s="1" t="b">
        <v>0</v>
      </c>
      <c r="I152" s="1">
        <v>0.0</v>
      </c>
      <c r="J152" s="1">
        <v>0.0</v>
      </c>
      <c r="K152" s="1">
        <v>0.0</v>
      </c>
      <c r="L152" s="1">
        <v>3.60013202372E11</v>
      </c>
      <c r="M152" s="1" t="s">
        <v>35</v>
      </c>
      <c r="N152" s="1" t="str">
        <f t="array" ref="N152">XLOOKUP(A:A,'CategoriasSeções'!A:A,'CategoriasSeções'!B:B)</f>
        <v>Dúvidas Gerais</v>
      </c>
      <c r="O152" s="1" t="s">
        <v>103</v>
      </c>
      <c r="P152" s="3">
        <v>44310.71875</v>
      </c>
      <c r="Q152" s="3">
        <v>45455.72777777778</v>
      </c>
      <c r="R152" s="1" t="s">
        <v>807</v>
      </c>
      <c r="S152" s="1" t="s">
        <v>807</v>
      </c>
      <c r="T152" s="1" t="s">
        <v>38</v>
      </c>
      <c r="U152" s="1" t="s">
        <v>38</v>
      </c>
      <c r="V152" s="1" t="s">
        <v>75</v>
      </c>
      <c r="W152" s="1" t="s">
        <v>69</v>
      </c>
      <c r="X152" s="1" t="s">
        <v>69</v>
      </c>
      <c r="Y152" s="3">
        <v>45455.72777777778</v>
      </c>
      <c r="AA152" s="1">
        <v>1666192.0</v>
      </c>
      <c r="AB152" s="1" t="s">
        <v>55</v>
      </c>
      <c r="AC152" s="1" t="s">
        <v>55</v>
      </c>
      <c r="AD152" s="1" t="s">
        <v>808</v>
      </c>
      <c r="AE152" s="1" t="s">
        <v>55</v>
      </c>
    </row>
    <row r="153" ht="56.25" customHeight="1">
      <c r="A153" s="1">
        <v>3.60060359551E11</v>
      </c>
      <c r="B153" s="2" t="s">
        <v>809</v>
      </c>
      <c r="C153" s="2" t="s">
        <v>810</v>
      </c>
      <c r="D153" s="1">
        <v>2.5445008728E10</v>
      </c>
      <c r="E153" s="1" t="s">
        <v>410</v>
      </c>
      <c r="F153" s="1" t="b">
        <v>0</v>
      </c>
      <c r="G153" s="1" t="s">
        <v>34</v>
      </c>
      <c r="H153" s="1" t="b">
        <v>0</v>
      </c>
      <c r="I153" s="1">
        <v>0.0</v>
      </c>
      <c r="J153" s="1">
        <v>0.0</v>
      </c>
      <c r="K153" s="1">
        <v>0.0</v>
      </c>
      <c r="L153" s="1">
        <v>3.60010154272E11</v>
      </c>
      <c r="M153" s="1" t="s">
        <v>35</v>
      </c>
      <c r="N153" s="1" t="str">
        <f t="array" ref="N153">XLOOKUP(A:A,'CategoriasSeções'!A:A,'CategoriasSeções'!B:B)</f>
        <v>Dúvidas Gerais</v>
      </c>
      <c r="O153" s="1" t="s">
        <v>85</v>
      </c>
      <c r="P153" s="3">
        <v>44310.69027777778</v>
      </c>
      <c r="Q153" s="3">
        <v>44387.62986111111</v>
      </c>
      <c r="R153" s="1" t="s">
        <v>811</v>
      </c>
      <c r="S153" s="1" t="s">
        <v>811</v>
      </c>
      <c r="T153" s="1" t="s">
        <v>38</v>
      </c>
      <c r="U153" s="1" t="s">
        <v>38</v>
      </c>
      <c r="V153" s="1" t="s">
        <v>75</v>
      </c>
      <c r="W153" s="1" t="s">
        <v>69</v>
      </c>
      <c r="X153" s="1" t="s">
        <v>69</v>
      </c>
      <c r="Y153" s="3">
        <v>44387.62847222222</v>
      </c>
      <c r="AA153" s="1">
        <v>1666192.0</v>
      </c>
      <c r="AB153" s="1" t="s">
        <v>55</v>
      </c>
      <c r="AC153" s="1" t="s">
        <v>55</v>
      </c>
      <c r="AD153" s="1" t="s">
        <v>812</v>
      </c>
      <c r="AE153" s="1" t="s">
        <v>55</v>
      </c>
    </row>
    <row r="154" ht="56.25" customHeight="1">
      <c r="A154" s="1">
        <v>3.60060359511E11</v>
      </c>
      <c r="B154" s="2" t="s">
        <v>813</v>
      </c>
      <c r="C154" s="2" t="s">
        <v>814</v>
      </c>
      <c r="D154" s="1">
        <v>2.5445008728E10</v>
      </c>
      <c r="E154" s="1" t="s">
        <v>410</v>
      </c>
      <c r="F154" s="1" t="b">
        <v>1</v>
      </c>
      <c r="G154" s="1" t="s">
        <v>47</v>
      </c>
      <c r="H154" s="1" t="b">
        <v>0</v>
      </c>
      <c r="I154" s="1">
        <v>0.0</v>
      </c>
      <c r="J154" s="1">
        <v>0.0</v>
      </c>
      <c r="K154" s="1">
        <v>0.0</v>
      </c>
      <c r="L154" s="1">
        <v>3.60010154272E11</v>
      </c>
      <c r="M154" s="1" t="s">
        <v>35</v>
      </c>
      <c r="N154" s="1" t="str">
        <f t="array" ref="N154">XLOOKUP(A:A,'CategoriasSeções'!A:A,'CategoriasSeções'!B:B)</f>
        <v>Dúvidas Gerais</v>
      </c>
      <c r="O154" s="1" t="s">
        <v>85</v>
      </c>
      <c r="P154" s="3">
        <v>44310.68680555555</v>
      </c>
      <c r="Q154" s="3">
        <v>45231.56527777778</v>
      </c>
      <c r="R154" s="1" t="s">
        <v>815</v>
      </c>
      <c r="S154" s="1" t="s">
        <v>815</v>
      </c>
      <c r="T154" s="1" t="s">
        <v>38</v>
      </c>
      <c r="U154" s="1" t="s">
        <v>38</v>
      </c>
      <c r="V154" s="1" t="s">
        <v>75</v>
      </c>
      <c r="W154" s="1" t="s">
        <v>39</v>
      </c>
      <c r="X154" s="1" t="s">
        <v>39</v>
      </c>
      <c r="Y154" s="3">
        <v>44310.68680555555</v>
      </c>
      <c r="Z154" s="1" t="s">
        <v>40</v>
      </c>
      <c r="AA154" s="1">
        <v>1666192.0</v>
      </c>
      <c r="AB154" s="1" t="s">
        <v>55</v>
      </c>
      <c r="AC154" s="1" t="s">
        <v>55</v>
      </c>
      <c r="AE154" s="1" t="s">
        <v>44</v>
      </c>
    </row>
    <row r="155" ht="56.25" customHeight="1">
      <c r="A155" s="1">
        <v>3.60059919412E11</v>
      </c>
      <c r="B155" s="2" t="s">
        <v>816</v>
      </c>
      <c r="C155" s="2" t="s">
        <v>817</v>
      </c>
      <c r="D155" s="1">
        <v>2.5445008728E10</v>
      </c>
      <c r="E155" s="1" t="s">
        <v>410</v>
      </c>
      <c r="F155" s="1" t="b">
        <v>1</v>
      </c>
      <c r="G155" s="1" t="s">
        <v>47</v>
      </c>
      <c r="H155" s="1" t="b">
        <v>0</v>
      </c>
      <c r="I155" s="1">
        <v>0.0</v>
      </c>
      <c r="J155" s="1">
        <v>0.0</v>
      </c>
      <c r="K155" s="1">
        <v>0.0</v>
      </c>
      <c r="L155" s="1">
        <v>3.60010154272E11</v>
      </c>
      <c r="M155" s="1" t="s">
        <v>35</v>
      </c>
      <c r="N155" s="1" t="str">
        <f t="array" ref="N155">XLOOKUP(A:A,'CategoriasSeções'!A:A,'CategoriasSeções'!B:B)</f>
        <v>Dúvidas Gerais</v>
      </c>
      <c r="O155" s="1" t="s">
        <v>85</v>
      </c>
      <c r="P155" s="3">
        <v>44310.686111111114</v>
      </c>
      <c r="Q155" s="3">
        <v>45231.56527777778</v>
      </c>
      <c r="R155" s="1" t="s">
        <v>818</v>
      </c>
      <c r="S155" s="1" t="s">
        <v>818</v>
      </c>
      <c r="T155" s="1" t="s">
        <v>38</v>
      </c>
      <c r="U155" s="1" t="s">
        <v>38</v>
      </c>
      <c r="V155" s="1" t="s">
        <v>75</v>
      </c>
      <c r="W155" s="1" t="s">
        <v>39</v>
      </c>
      <c r="X155" s="1" t="s">
        <v>39</v>
      </c>
      <c r="Y155" s="3">
        <v>44310.686111111114</v>
      </c>
      <c r="Z155" s="1" t="s">
        <v>40</v>
      </c>
      <c r="AA155" s="1">
        <v>1666192.0</v>
      </c>
      <c r="AB155" s="1" t="s">
        <v>55</v>
      </c>
      <c r="AC155" s="1" t="s">
        <v>55</v>
      </c>
      <c r="AE155" s="1" t="s">
        <v>44</v>
      </c>
    </row>
    <row r="156" ht="56.25" customHeight="1">
      <c r="A156" s="1">
        <v>3.60059919392E11</v>
      </c>
      <c r="B156" s="2" t="s">
        <v>819</v>
      </c>
      <c r="C156" s="2" t="s">
        <v>820</v>
      </c>
      <c r="D156" s="1">
        <v>2.5445008728E10</v>
      </c>
      <c r="E156" s="1" t="s">
        <v>410</v>
      </c>
      <c r="F156" s="1" t="b">
        <v>1</v>
      </c>
      <c r="G156" s="1" t="s">
        <v>47</v>
      </c>
      <c r="H156" s="1" t="b">
        <v>0</v>
      </c>
      <c r="I156" s="1">
        <v>0.0</v>
      </c>
      <c r="J156" s="1">
        <v>0.0</v>
      </c>
      <c r="K156" s="1">
        <v>0.0</v>
      </c>
      <c r="L156" s="1">
        <v>3.60010154272E11</v>
      </c>
      <c r="M156" s="1" t="s">
        <v>35</v>
      </c>
      <c r="N156" s="1" t="str">
        <f t="array" ref="N156">XLOOKUP(A:A,'CategoriasSeções'!A:A,'CategoriasSeções'!B:B)</f>
        <v>Dúvidas Gerais</v>
      </c>
      <c r="O156" s="1" t="s">
        <v>85</v>
      </c>
      <c r="P156" s="3">
        <v>44310.68541666667</v>
      </c>
      <c r="Q156" s="3">
        <v>45231.56527777778</v>
      </c>
      <c r="R156" s="1" t="s">
        <v>821</v>
      </c>
      <c r="S156" s="1" t="s">
        <v>821</v>
      </c>
      <c r="T156" s="1" t="s">
        <v>38</v>
      </c>
      <c r="U156" s="1" t="s">
        <v>38</v>
      </c>
      <c r="V156" s="1" t="s">
        <v>75</v>
      </c>
      <c r="W156" s="1" t="s">
        <v>39</v>
      </c>
      <c r="X156" s="1" t="s">
        <v>39</v>
      </c>
      <c r="Y156" s="3">
        <v>44310.68541666667</v>
      </c>
      <c r="Z156" s="1" t="s">
        <v>40</v>
      </c>
      <c r="AA156" s="1">
        <v>1666192.0</v>
      </c>
      <c r="AB156" s="1" t="s">
        <v>55</v>
      </c>
      <c r="AC156" s="1" t="s">
        <v>55</v>
      </c>
      <c r="AE156" s="1" t="s">
        <v>44</v>
      </c>
    </row>
    <row r="157" ht="56.25" customHeight="1">
      <c r="A157" s="1">
        <v>3.60060359471E11</v>
      </c>
      <c r="B157" s="2" t="s">
        <v>822</v>
      </c>
      <c r="C157" s="2" t="s">
        <v>823</v>
      </c>
      <c r="D157" s="1">
        <v>2.5445008728E10</v>
      </c>
      <c r="E157" s="1" t="s">
        <v>410</v>
      </c>
      <c r="F157" s="1" t="b">
        <v>1</v>
      </c>
      <c r="G157" s="1" t="s">
        <v>47</v>
      </c>
      <c r="H157" s="1" t="b">
        <v>0</v>
      </c>
      <c r="I157" s="1">
        <v>0.0</v>
      </c>
      <c r="J157" s="1">
        <v>0.0</v>
      </c>
      <c r="K157" s="1">
        <v>0.0</v>
      </c>
      <c r="L157" s="1">
        <v>3.60010154272E11</v>
      </c>
      <c r="M157" s="1" t="s">
        <v>35</v>
      </c>
      <c r="N157" s="1" t="str">
        <f t="array" ref="N157">XLOOKUP(A:A,'CategoriasSeções'!A:A,'CategoriasSeções'!B:B)</f>
        <v>Dúvidas Gerais</v>
      </c>
      <c r="O157" s="1" t="s">
        <v>85</v>
      </c>
      <c r="P157" s="3">
        <v>44310.68472222222</v>
      </c>
      <c r="Q157" s="3">
        <v>45231.56527777778</v>
      </c>
      <c r="R157" s="1" t="s">
        <v>824</v>
      </c>
      <c r="S157" s="1" t="s">
        <v>824</v>
      </c>
      <c r="T157" s="1" t="s">
        <v>38</v>
      </c>
      <c r="U157" s="1" t="s">
        <v>38</v>
      </c>
      <c r="V157" s="1" t="s">
        <v>75</v>
      </c>
      <c r="W157" s="1" t="s">
        <v>39</v>
      </c>
      <c r="X157" s="1" t="s">
        <v>39</v>
      </c>
      <c r="Y157" s="3">
        <v>44310.68472222222</v>
      </c>
      <c r="Z157" s="1" t="s">
        <v>40</v>
      </c>
      <c r="AA157" s="1">
        <v>1666192.0</v>
      </c>
      <c r="AB157" s="1" t="s">
        <v>55</v>
      </c>
      <c r="AC157" s="1" t="s">
        <v>55</v>
      </c>
      <c r="AE157" s="1" t="s">
        <v>44</v>
      </c>
    </row>
    <row r="158" ht="56.25" customHeight="1">
      <c r="A158" s="1">
        <v>3.60059919332E11</v>
      </c>
      <c r="B158" s="2" t="s">
        <v>825</v>
      </c>
      <c r="C158" s="2" t="s">
        <v>826</v>
      </c>
      <c r="D158" s="1">
        <v>2.5445008728E10</v>
      </c>
      <c r="E158" s="1" t="s">
        <v>410</v>
      </c>
      <c r="F158" s="1" t="b">
        <v>1</v>
      </c>
      <c r="G158" s="1" t="s">
        <v>47</v>
      </c>
      <c r="H158" s="1" t="b">
        <v>0</v>
      </c>
      <c r="I158" s="1">
        <v>0.0</v>
      </c>
      <c r="J158" s="1">
        <v>0.0</v>
      </c>
      <c r="K158" s="1">
        <v>0.0</v>
      </c>
      <c r="L158" s="1">
        <v>3.60010154272E11</v>
      </c>
      <c r="M158" s="1" t="s">
        <v>35</v>
      </c>
      <c r="N158" s="1" t="str">
        <f t="array" ref="N158">XLOOKUP(A:A,'CategoriasSeções'!A:A,'CategoriasSeções'!B:B)</f>
        <v>Dúvidas Gerais</v>
      </c>
      <c r="O158" s="1" t="s">
        <v>85</v>
      </c>
      <c r="P158" s="3">
        <v>44310.68402777778</v>
      </c>
      <c r="Q158" s="3">
        <v>45231.56527777778</v>
      </c>
      <c r="R158" s="1" t="s">
        <v>827</v>
      </c>
      <c r="S158" s="1" t="s">
        <v>827</v>
      </c>
      <c r="T158" s="1" t="s">
        <v>38</v>
      </c>
      <c r="U158" s="1" t="s">
        <v>38</v>
      </c>
      <c r="V158" s="1" t="s">
        <v>75</v>
      </c>
      <c r="W158" s="1" t="s">
        <v>39</v>
      </c>
      <c r="X158" s="1" t="s">
        <v>39</v>
      </c>
      <c r="Y158" s="3">
        <v>44310.68402777778</v>
      </c>
      <c r="Z158" s="1" t="s">
        <v>40</v>
      </c>
      <c r="AA158" s="1">
        <v>1666192.0</v>
      </c>
      <c r="AB158" s="1" t="s">
        <v>55</v>
      </c>
      <c r="AC158" s="1" t="s">
        <v>55</v>
      </c>
      <c r="AE158" s="1" t="s">
        <v>44</v>
      </c>
    </row>
    <row r="159" ht="56.25" customHeight="1">
      <c r="A159" s="1">
        <v>3.60060359431E11</v>
      </c>
      <c r="B159" s="2" t="s">
        <v>828</v>
      </c>
      <c r="C159" s="2" t="s">
        <v>829</v>
      </c>
      <c r="D159" s="1">
        <v>2.5445008728E10</v>
      </c>
      <c r="E159" s="1" t="s">
        <v>410</v>
      </c>
      <c r="F159" s="1" t="b">
        <v>1</v>
      </c>
      <c r="G159" s="1" t="s">
        <v>47</v>
      </c>
      <c r="H159" s="1" t="b">
        <v>0</v>
      </c>
      <c r="I159" s="1">
        <v>0.0</v>
      </c>
      <c r="J159" s="1">
        <v>0.0</v>
      </c>
      <c r="K159" s="1">
        <v>0.0</v>
      </c>
      <c r="L159" s="1">
        <v>3.60010154272E11</v>
      </c>
      <c r="M159" s="1" t="s">
        <v>35</v>
      </c>
      <c r="N159" s="1" t="str">
        <f t="array" ref="N159">XLOOKUP(A:A,'CategoriasSeções'!A:A,'CategoriasSeções'!B:B)</f>
        <v>Dúvidas Gerais</v>
      </c>
      <c r="O159" s="1" t="s">
        <v>85</v>
      </c>
      <c r="P159" s="3">
        <v>44310.683333333334</v>
      </c>
      <c r="Q159" s="3">
        <v>45231.56527777778</v>
      </c>
      <c r="R159" s="1" t="s">
        <v>830</v>
      </c>
      <c r="S159" s="1" t="s">
        <v>830</v>
      </c>
      <c r="T159" s="1" t="s">
        <v>38</v>
      </c>
      <c r="U159" s="1" t="s">
        <v>38</v>
      </c>
      <c r="V159" s="1" t="s">
        <v>75</v>
      </c>
      <c r="W159" s="1" t="s">
        <v>39</v>
      </c>
      <c r="X159" s="1" t="s">
        <v>39</v>
      </c>
      <c r="Y159" s="3">
        <v>44310.683333333334</v>
      </c>
      <c r="Z159" s="1" t="s">
        <v>40</v>
      </c>
      <c r="AA159" s="1">
        <v>1666192.0</v>
      </c>
      <c r="AB159" s="1" t="s">
        <v>55</v>
      </c>
      <c r="AC159" s="1" t="s">
        <v>55</v>
      </c>
      <c r="AE159" s="1" t="s">
        <v>44</v>
      </c>
    </row>
    <row r="160" ht="56.25" customHeight="1">
      <c r="A160" s="1">
        <v>3.60059919312E11</v>
      </c>
      <c r="B160" s="2" t="s">
        <v>831</v>
      </c>
      <c r="C160" s="2" t="s">
        <v>832</v>
      </c>
      <c r="D160" s="1">
        <v>2.5445008728E10</v>
      </c>
      <c r="E160" s="1" t="s">
        <v>410</v>
      </c>
      <c r="F160" s="1" t="b">
        <v>1</v>
      </c>
      <c r="G160" s="1" t="s">
        <v>47</v>
      </c>
      <c r="H160" s="1" t="b">
        <v>0</v>
      </c>
      <c r="I160" s="1">
        <v>0.0</v>
      </c>
      <c r="J160" s="1">
        <v>0.0</v>
      </c>
      <c r="K160" s="1">
        <v>0.0</v>
      </c>
      <c r="L160" s="1">
        <v>3.60010154272E11</v>
      </c>
      <c r="M160" s="1" t="s">
        <v>35</v>
      </c>
      <c r="N160" s="1" t="str">
        <f t="array" ref="N160">XLOOKUP(A:A,'CategoriasSeções'!A:A,'CategoriasSeções'!B:B)</f>
        <v>Dúvidas Gerais</v>
      </c>
      <c r="O160" s="1" t="s">
        <v>85</v>
      </c>
      <c r="P160" s="3">
        <v>44310.68263888889</v>
      </c>
      <c r="Q160" s="3">
        <v>45231.56527777778</v>
      </c>
      <c r="R160" s="1" t="s">
        <v>833</v>
      </c>
      <c r="S160" s="1" t="s">
        <v>833</v>
      </c>
      <c r="T160" s="1" t="s">
        <v>38</v>
      </c>
      <c r="U160" s="1" t="s">
        <v>38</v>
      </c>
      <c r="V160" s="1" t="s">
        <v>75</v>
      </c>
      <c r="W160" s="1" t="s">
        <v>39</v>
      </c>
      <c r="X160" s="1" t="s">
        <v>39</v>
      </c>
      <c r="Y160" s="3">
        <v>44310.68263888889</v>
      </c>
      <c r="Z160" s="1" t="s">
        <v>40</v>
      </c>
      <c r="AA160" s="1">
        <v>1666192.0</v>
      </c>
      <c r="AB160" s="1" t="s">
        <v>55</v>
      </c>
      <c r="AC160" s="1" t="s">
        <v>55</v>
      </c>
      <c r="AE160" s="1" t="s">
        <v>44</v>
      </c>
    </row>
    <row r="161" ht="56.25" customHeight="1">
      <c r="A161" s="1">
        <v>3.60059918512E11</v>
      </c>
      <c r="B161" s="2" t="s">
        <v>834</v>
      </c>
      <c r="C161" s="2" t="s">
        <v>835</v>
      </c>
      <c r="D161" s="1">
        <v>2.5445008728E10</v>
      </c>
      <c r="E161" s="1" t="s">
        <v>410</v>
      </c>
      <c r="F161" s="1" t="b">
        <v>0</v>
      </c>
      <c r="G161" s="1" t="s">
        <v>34</v>
      </c>
      <c r="H161" s="1" t="b">
        <v>0</v>
      </c>
      <c r="I161" s="1">
        <v>0.0</v>
      </c>
      <c r="J161" s="1">
        <v>0.0</v>
      </c>
      <c r="K161" s="1">
        <v>0.0</v>
      </c>
      <c r="L161" s="1">
        <v>3.60013315511E11</v>
      </c>
      <c r="M161" s="1" t="s">
        <v>35</v>
      </c>
      <c r="N161" s="1" t="str">
        <f t="array" ref="N161">XLOOKUP(A:A,'CategoriasSeções'!A:A,'CategoriasSeções'!B:B)</f>
        <v>Dúvidas Gerais</v>
      </c>
      <c r="O161" s="1" t="s">
        <v>129</v>
      </c>
      <c r="P161" s="3">
        <v>44310.58888888889</v>
      </c>
      <c r="Q161" s="3">
        <v>44310.58888888889</v>
      </c>
      <c r="R161" s="1" t="s">
        <v>836</v>
      </c>
      <c r="S161" s="1" t="s">
        <v>836</v>
      </c>
      <c r="T161" s="1" t="s">
        <v>38</v>
      </c>
      <c r="U161" s="1" t="s">
        <v>38</v>
      </c>
      <c r="V161" s="1" t="s">
        <v>75</v>
      </c>
      <c r="W161" s="1" t="s">
        <v>69</v>
      </c>
      <c r="X161" s="1" t="s">
        <v>69</v>
      </c>
      <c r="Y161" s="3">
        <v>44310.58888888889</v>
      </c>
      <c r="AA161" s="1">
        <v>1666192.0</v>
      </c>
      <c r="AB161" s="1" t="s">
        <v>55</v>
      </c>
      <c r="AC161" s="1" t="s">
        <v>837</v>
      </c>
      <c r="AD161" s="1" t="s">
        <v>838</v>
      </c>
      <c r="AE161" s="1" t="s">
        <v>55</v>
      </c>
    </row>
    <row r="162" ht="56.25" customHeight="1">
      <c r="A162" s="1">
        <v>3.60060358151E11</v>
      </c>
      <c r="B162" s="2" t="s">
        <v>839</v>
      </c>
      <c r="C162" s="2" t="s">
        <v>840</v>
      </c>
      <c r="D162" s="1">
        <v>2.5445008728E10</v>
      </c>
      <c r="E162" s="1" t="s">
        <v>410</v>
      </c>
      <c r="F162" s="1" t="b">
        <v>0</v>
      </c>
      <c r="G162" s="1" t="s">
        <v>34</v>
      </c>
      <c r="H162" s="1" t="b">
        <v>0</v>
      </c>
      <c r="I162" s="1">
        <v>0.0</v>
      </c>
      <c r="J162" s="1">
        <v>0.0</v>
      </c>
      <c r="K162" s="1">
        <v>0.0</v>
      </c>
      <c r="L162" s="1">
        <v>1.15003480707E11</v>
      </c>
      <c r="M162" s="1" t="s">
        <v>35</v>
      </c>
      <c r="N162" s="1" t="str">
        <f t="array" ref="N162">XLOOKUP(A:A,'CategoriasSeções'!A:A,'CategoriasSeções'!B:B)</f>
        <v>Dúvidas Gerais</v>
      </c>
      <c r="O162" s="1" t="s">
        <v>722</v>
      </c>
      <c r="P162" s="3">
        <v>44310.53402777778</v>
      </c>
      <c r="Q162" s="3">
        <v>44310.535416666666</v>
      </c>
      <c r="R162" s="1" t="s">
        <v>841</v>
      </c>
      <c r="S162" s="1" t="s">
        <v>841</v>
      </c>
      <c r="T162" s="1" t="s">
        <v>38</v>
      </c>
      <c r="U162" s="1" t="s">
        <v>38</v>
      </c>
      <c r="V162" s="1" t="s">
        <v>75</v>
      </c>
      <c r="W162" s="1" t="s">
        <v>69</v>
      </c>
      <c r="X162" s="1" t="s">
        <v>69</v>
      </c>
      <c r="Y162" s="3">
        <v>44310.53402777778</v>
      </c>
      <c r="AA162" s="1">
        <v>1666192.0</v>
      </c>
      <c r="AB162" s="1" t="s">
        <v>55</v>
      </c>
      <c r="AC162" s="1" t="s">
        <v>842</v>
      </c>
      <c r="AD162" s="1" t="s">
        <v>843</v>
      </c>
      <c r="AE162" s="1" t="s">
        <v>55</v>
      </c>
    </row>
    <row r="163" ht="56.25" customHeight="1">
      <c r="A163" s="1">
        <v>3.60059917992E11</v>
      </c>
      <c r="B163" s="2" t="s">
        <v>844</v>
      </c>
      <c r="C163" s="2" t="s">
        <v>845</v>
      </c>
      <c r="D163" s="1">
        <v>2.5445008728E10</v>
      </c>
      <c r="E163" s="1" t="s">
        <v>410</v>
      </c>
      <c r="F163" s="1" t="b">
        <v>0</v>
      </c>
      <c r="G163" s="1" t="s">
        <v>34</v>
      </c>
      <c r="H163" s="1" t="b">
        <v>0</v>
      </c>
      <c r="I163" s="1">
        <v>0.0</v>
      </c>
      <c r="J163" s="1">
        <v>0.0</v>
      </c>
      <c r="K163" s="1">
        <v>0.0</v>
      </c>
      <c r="L163" s="1">
        <v>1.15003480707E11</v>
      </c>
      <c r="M163" s="1" t="s">
        <v>35</v>
      </c>
      <c r="N163" s="1" t="str">
        <f t="array" ref="N163">XLOOKUP(A:A,'CategoriasSeções'!A:A,'CategoriasSeções'!B:B)</f>
        <v>Dúvidas Gerais</v>
      </c>
      <c r="O163" s="1" t="s">
        <v>722</v>
      </c>
      <c r="P163" s="3">
        <v>44310.53125</v>
      </c>
      <c r="Q163" s="3">
        <v>45526.52222222222</v>
      </c>
      <c r="R163" s="1" t="s">
        <v>846</v>
      </c>
      <c r="S163" s="1" t="s">
        <v>846</v>
      </c>
      <c r="T163" s="1" t="s">
        <v>38</v>
      </c>
      <c r="U163" s="1" t="s">
        <v>38</v>
      </c>
      <c r="V163" s="1" t="s">
        <v>75</v>
      </c>
      <c r="W163" s="1" t="s">
        <v>69</v>
      </c>
      <c r="X163" s="1" t="s">
        <v>69</v>
      </c>
      <c r="Y163" s="3">
        <v>44310.535416666666</v>
      </c>
      <c r="AA163" s="1">
        <v>1666192.0</v>
      </c>
      <c r="AB163" s="1" t="s">
        <v>55</v>
      </c>
      <c r="AC163" s="1" t="s">
        <v>847</v>
      </c>
      <c r="AD163" s="1" t="s">
        <v>848</v>
      </c>
      <c r="AE163" s="1" t="s">
        <v>55</v>
      </c>
    </row>
    <row r="164" ht="56.25" customHeight="1">
      <c r="A164" s="1">
        <v>3.60059917872E11</v>
      </c>
      <c r="B164" s="2" t="s">
        <v>849</v>
      </c>
      <c r="C164" s="2" t="s">
        <v>850</v>
      </c>
      <c r="D164" s="1">
        <v>2.5445008728E10</v>
      </c>
      <c r="E164" s="1" t="s">
        <v>410</v>
      </c>
      <c r="F164" s="1" t="b">
        <v>0</v>
      </c>
      <c r="G164" s="1" t="s">
        <v>34</v>
      </c>
      <c r="H164" s="1" t="b">
        <v>0</v>
      </c>
      <c r="I164" s="1">
        <v>0.0</v>
      </c>
      <c r="J164" s="1">
        <v>0.0</v>
      </c>
      <c r="K164" s="1">
        <v>0.0</v>
      </c>
      <c r="L164" s="1">
        <v>1.15003480707E11</v>
      </c>
      <c r="M164" s="1" t="s">
        <v>35</v>
      </c>
      <c r="N164" s="1" t="str">
        <f t="array" ref="N164">XLOOKUP(A:A,'CategoriasSeções'!A:A,'CategoriasSeções'!B:B)</f>
        <v>Dúvidas Gerais</v>
      </c>
      <c r="O164" s="1" t="s">
        <v>722</v>
      </c>
      <c r="P164" s="3">
        <v>44310.50555555556</v>
      </c>
      <c r="Q164" s="3">
        <v>45526.45486111111</v>
      </c>
      <c r="R164" s="1" t="s">
        <v>851</v>
      </c>
      <c r="S164" s="1" t="s">
        <v>851</v>
      </c>
      <c r="T164" s="1" t="s">
        <v>38</v>
      </c>
      <c r="U164" s="1" t="s">
        <v>38</v>
      </c>
      <c r="V164" s="1" t="s">
        <v>75</v>
      </c>
      <c r="W164" s="1" t="s">
        <v>69</v>
      </c>
      <c r="X164" s="1" t="s">
        <v>69</v>
      </c>
      <c r="Y164" s="3">
        <v>44310.520833333336</v>
      </c>
      <c r="AA164" s="1">
        <v>1666192.0</v>
      </c>
      <c r="AB164" s="1" t="s">
        <v>55</v>
      </c>
      <c r="AC164" s="1" t="s">
        <v>852</v>
      </c>
      <c r="AD164" s="1" t="s">
        <v>853</v>
      </c>
      <c r="AE164" s="1" t="s">
        <v>55</v>
      </c>
    </row>
    <row r="165" ht="56.25" customHeight="1">
      <c r="A165" s="1">
        <v>3.60059917212E11</v>
      </c>
      <c r="B165" s="2" t="s">
        <v>854</v>
      </c>
      <c r="C165" s="2" t="s">
        <v>855</v>
      </c>
      <c r="D165" s="1">
        <v>2.5445008728E10</v>
      </c>
      <c r="E165" s="1" t="s">
        <v>410</v>
      </c>
      <c r="F165" s="1" t="b">
        <v>0</v>
      </c>
      <c r="G165" s="1" t="s">
        <v>34</v>
      </c>
      <c r="H165" s="1" t="b">
        <v>0</v>
      </c>
      <c r="I165" s="1">
        <v>0.0</v>
      </c>
      <c r="J165" s="1">
        <v>0.0</v>
      </c>
      <c r="K165" s="1">
        <v>0.0</v>
      </c>
      <c r="L165" s="1">
        <v>3.60013202372E11</v>
      </c>
      <c r="M165" s="1" t="s">
        <v>35</v>
      </c>
      <c r="N165" s="1" t="str">
        <f t="array" ref="N165">XLOOKUP(A:A,'CategoriasSeções'!A:A,'CategoriasSeções'!B:B)</f>
        <v>Dúvidas Gerais</v>
      </c>
      <c r="O165" s="1" t="s">
        <v>103</v>
      </c>
      <c r="P165" s="3">
        <v>44310.23125</v>
      </c>
      <c r="Q165" s="3">
        <v>45526.45486111111</v>
      </c>
      <c r="R165" s="1" t="s">
        <v>836</v>
      </c>
      <c r="S165" s="1" t="s">
        <v>836</v>
      </c>
      <c r="T165" s="1" t="s">
        <v>38</v>
      </c>
      <c r="U165" s="1" t="s">
        <v>38</v>
      </c>
      <c r="V165" s="1" t="s">
        <v>75</v>
      </c>
      <c r="W165" s="1" t="s">
        <v>69</v>
      </c>
      <c r="X165" s="1" t="s">
        <v>69</v>
      </c>
      <c r="Y165" s="3">
        <v>44310.5875</v>
      </c>
      <c r="AA165" s="1">
        <v>1666192.0</v>
      </c>
      <c r="AB165" s="1" t="s">
        <v>55</v>
      </c>
      <c r="AC165" s="1" t="s">
        <v>856</v>
      </c>
      <c r="AD165" s="1" t="s">
        <v>857</v>
      </c>
      <c r="AE165" s="1" t="s">
        <v>55</v>
      </c>
    </row>
    <row r="166" ht="56.25" customHeight="1">
      <c r="A166" s="1">
        <v>3.60059917192E11</v>
      </c>
      <c r="B166" s="2" t="s">
        <v>858</v>
      </c>
      <c r="C166" s="2" t="s">
        <v>859</v>
      </c>
      <c r="D166" s="1">
        <v>2.5445008728E10</v>
      </c>
      <c r="E166" s="1" t="s">
        <v>410</v>
      </c>
      <c r="F166" s="1" t="b">
        <v>1</v>
      </c>
      <c r="G166" s="1" t="s">
        <v>47</v>
      </c>
      <c r="H166" s="1" t="b">
        <v>0</v>
      </c>
      <c r="I166" s="1">
        <v>0.0</v>
      </c>
      <c r="J166" s="1">
        <v>0.0</v>
      </c>
      <c r="K166" s="1">
        <v>0.0</v>
      </c>
      <c r="L166" s="1">
        <v>3.60013202372E11</v>
      </c>
      <c r="M166" s="1" t="s">
        <v>35</v>
      </c>
      <c r="N166" s="1" t="str">
        <f t="array" ref="N166">XLOOKUP(A:A,'CategoriasSeções'!A:A,'CategoriasSeções'!B:B)</f>
        <v>Dúvidas Gerais</v>
      </c>
      <c r="O166" s="1" t="s">
        <v>103</v>
      </c>
      <c r="P166" s="3">
        <v>44310.23055555556</v>
      </c>
      <c r="Q166" s="3">
        <v>45526.57638888889</v>
      </c>
      <c r="R166" s="1" t="s">
        <v>860</v>
      </c>
      <c r="S166" s="1" t="s">
        <v>860</v>
      </c>
      <c r="T166" s="1" t="s">
        <v>38</v>
      </c>
      <c r="U166" s="1" t="s">
        <v>38</v>
      </c>
      <c r="V166" s="1" t="s">
        <v>75</v>
      </c>
      <c r="W166" s="1" t="s">
        <v>39</v>
      </c>
      <c r="X166" s="1" t="s">
        <v>39</v>
      </c>
      <c r="Y166" s="3">
        <v>44310.53333333333</v>
      </c>
      <c r="Z166" s="1" t="s">
        <v>40</v>
      </c>
      <c r="AA166" s="1">
        <v>1666192.0</v>
      </c>
      <c r="AB166" s="1" t="s">
        <v>55</v>
      </c>
      <c r="AC166" s="1" t="s">
        <v>55</v>
      </c>
      <c r="AD166" s="1" t="s">
        <v>861</v>
      </c>
      <c r="AE166" s="1" t="s">
        <v>44</v>
      </c>
    </row>
    <row r="167" ht="56.25" customHeight="1">
      <c r="A167" s="1">
        <v>3.60060357151E11</v>
      </c>
      <c r="B167" s="2" t="s">
        <v>862</v>
      </c>
      <c r="C167" s="2" t="s">
        <v>863</v>
      </c>
      <c r="D167" s="1">
        <v>2.5445008728E10</v>
      </c>
      <c r="E167" s="1" t="s">
        <v>410</v>
      </c>
      <c r="F167" s="1" t="b">
        <v>0</v>
      </c>
      <c r="G167" s="1" t="s">
        <v>34</v>
      </c>
      <c r="H167" s="1" t="b">
        <v>0</v>
      </c>
      <c r="I167" s="1">
        <v>0.0</v>
      </c>
      <c r="J167" s="1">
        <v>0.0</v>
      </c>
      <c r="K167" s="1">
        <v>0.0</v>
      </c>
      <c r="L167" s="1">
        <v>3.60010154272E11</v>
      </c>
      <c r="M167" s="1" t="s">
        <v>35</v>
      </c>
      <c r="N167" s="1" t="str">
        <f t="array" ref="N167">XLOOKUP(A:A,'CategoriasSeções'!A:A,'CategoriasSeções'!B:B)</f>
        <v>Dúvidas Gerais</v>
      </c>
      <c r="O167" s="1" t="s">
        <v>85</v>
      </c>
      <c r="P167" s="3">
        <v>44310.22638888889</v>
      </c>
      <c r="Q167" s="3">
        <v>45526.57638888889</v>
      </c>
      <c r="R167" s="1" t="s">
        <v>864</v>
      </c>
      <c r="S167" s="1" t="s">
        <v>864</v>
      </c>
      <c r="T167" s="1" t="s">
        <v>38</v>
      </c>
      <c r="U167" s="1" t="s">
        <v>38</v>
      </c>
      <c r="V167" s="1" t="s">
        <v>75</v>
      </c>
      <c r="W167" s="1" t="s">
        <v>69</v>
      </c>
      <c r="X167" s="1" t="s">
        <v>69</v>
      </c>
      <c r="Y167" s="3">
        <v>44387.63611111111</v>
      </c>
      <c r="AA167" s="1">
        <v>1666192.0</v>
      </c>
      <c r="AB167" s="1" t="s">
        <v>55</v>
      </c>
      <c r="AC167" s="1" t="s">
        <v>55</v>
      </c>
      <c r="AD167" s="1" t="s">
        <v>865</v>
      </c>
      <c r="AE167" s="1" t="s">
        <v>55</v>
      </c>
    </row>
    <row r="168" ht="56.25" customHeight="1">
      <c r="A168" s="1">
        <v>3.60059917172E11</v>
      </c>
      <c r="B168" s="2" t="s">
        <v>866</v>
      </c>
      <c r="C168" s="2" t="s">
        <v>867</v>
      </c>
      <c r="D168" s="1">
        <v>2.5445008728E10</v>
      </c>
      <c r="E168" s="1" t="s">
        <v>410</v>
      </c>
      <c r="F168" s="1" t="b">
        <v>1</v>
      </c>
      <c r="G168" s="1" t="s">
        <v>47</v>
      </c>
      <c r="H168" s="1" t="b">
        <v>0</v>
      </c>
      <c r="I168" s="1">
        <v>0.0</v>
      </c>
      <c r="J168" s="1">
        <v>0.0</v>
      </c>
      <c r="K168" s="1">
        <v>0.0</v>
      </c>
      <c r="L168" s="1">
        <v>3.60013202372E11</v>
      </c>
      <c r="M168" s="1" t="s">
        <v>35</v>
      </c>
      <c r="N168" s="1" t="str">
        <f t="array" ref="N168">XLOOKUP(A:A,'CategoriasSeções'!A:A,'CategoriasSeções'!B:B)</f>
        <v>Dúvidas Gerais</v>
      </c>
      <c r="O168" s="1" t="s">
        <v>103</v>
      </c>
      <c r="P168" s="3">
        <v>44310.225</v>
      </c>
      <c r="Q168" s="3">
        <v>45231.56527777778</v>
      </c>
      <c r="R168" s="1" t="s">
        <v>868</v>
      </c>
      <c r="S168" s="1" t="s">
        <v>868</v>
      </c>
      <c r="T168" s="1" t="s">
        <v>38</v>
      </c>
      <c r="U168" s="1" t="s">
        <v>38</v>
      </c>
      <c r="V168" s="1" t="s">
        <v>75</v>
      </c>
      <c r="W168" s="1" t="s">
        <v>39</v>
      </c>
      <c r="X168" s="1" t="s">
        <v>39</v>
      </c>
      <c r="Y168" s="3">
        <v>44310.225</v>
      </c>
      <c r="Z168" s="1" t="s">
        <v>40</v>
      </c>
      <c r="AA168" s="1">
        <v>1666192.0</v>
      </c>
      <c r="AB168" s="1" t="s">
        <v>55</v>
      </c>
      <c r="AC168" s="1" t="s">
        <v>55</v>
      </c>
      <c r="AE168" s="1" t="s">
        <v>44</v>
      </c>
    </row>
    <row r="169" ht="56.25" customHeight="1">
      <c r="A169" s="1">
        <v>3.60059917152E11</v>
      </c>
      <c r="B169" s="2" t="s">
        <v>869</v>
      </c>
      <c r="C169" s="2" t="s">
        <v>870</v>
      </c>
      <c r="D169" s="1">
        <v>2.5445008728E10</v>
      </c>
      <c r="E169" s="1" t="s">
        <v>410</v>
      </c>
      <c r="F169" s="1" t="b">
        <v>0</v>
      </c>
      <c r="G169" s="1" t="s">
        <v>34</v>
      </c>
      <c r="H169" s="1" t="b">
        <v>0</v>
      </c>
      <c r="I169" s="1">
        <v>0.0</v>
      </c>
      <c r="J169" s="1">
        <v>0.0</v>
      </c>
      <c r="K169" s="1">
        <v>0.0</v>
      </c>
      <c r="L169" s="1">
        <v>3.60013202372E11</v>
      </c>
      <c r="M169" s="1" t="s">
        <v>35</v>
      </c>
      <c r="N169" s="1" t="str">
        <f t="array" ref="N169">XLOOKUP(A:A,'CategoriasSeções'!A:A,'CategoriasSeções'!B:B)</f>
        <v>Dúvidas Gerais</v>
      </c>
      <c r="O169" s="1" t="s">
        <v>103</v>
      </c>
      <c r="P169" s="3">
        <v>44310.22430555556</v>
      </c>
      <c r="Q169" s="3">
        <v>45526.53888888889</v>
      </c>
      <c r="R169" s="1" t="s">
        <v>871</v>
      </c>
      <c r="S169" s="1" t="s">
        <v>871</v>
      </c>
      <c r="T169" s="1" t="s">
        <v>38</v>
      </c>
      <c r="U169" s="1" t="s">
        <v>38</v>
      </c>
      <c r="V169" s="1" t="s">
        <v>75</v>
      </c>
      <c r="W169" s="1" t="s">
        <v>69</v>
      </c>
      <c r="X169" s="1" t="s">
        <v>69</v>
      </c>
      <c r="Y169" s="3">
        <v>44387.638194444444</v>
      </c>
      <c r="AA169" s="1">
        <v>1666192.0</v>
      </c>
      <c r="AB169" s="1" t="s">
        <v>55</v>
      </c>
      <c r="AC169" s="1" t="s">
        <v>872</v>
      </c>
      <c r="AD169" s="1" t="s">
        <v>873</v>
      </c>
      <c r="AE169" s="1" t="s">
        <v>55</v>
      </c>
    </row>
    <row r="170" ht="56.25" customHeight="1">
      <c r="A170" s="1">
        <v>3.60060357131E11</v>
      </c>
      <c r="B170" s="2" t="s">
        <v>874</v>
      </c>
      <c r="C170" s="2" t="s">
        <v>875</v>
      </c>
      <c r="D170" s="1">
        <v>2.5445008728E10</v>
      </c>
      <c r="E170" s="1" t="s">
        <v>410</v>
      </c>
      <c r="F170" s="1" t="b">
        <v>1</v>
      </c>
      <c r="G170" s="1" t="s">
        <v>47</v>
      </c>
      <c r="H170" s="1" t="b">
        <v>0</v>
      </c>
      <c r="I170" s="1">
        <v>0.0</v>
      </c>
      <c r="J170" s="1">
        <v>0.0</v>
      </c>
      <c r="K170" s="1">
        <v>0.0</v>
      </c>
      <c r="L170" s="1">
        <v>3.60013202372E11</v>
      </c>
      <c r="M170" s="1" t="s">
        <v>35</v>
      </c>
      <c r="N170" s="1" t="str">
        <f t="array" ref="N170">XLOOKUP(A:A,'CategoriasSeções'!A:A,'CategoriasSeções'!B:B)</f>
        <v>Dúvidas Gerais</v>
      </c>
      <c r="O170" s="1" t="s">
        <v>103</v>
      </c>
      <c r="P170" s="3">
        <v>44310.22361111111</v>
      </c>
      <c r="Q170" s="3">
        <v>45526.455555555556</v>
      </c>
      <c r="R170" s="1" t="s">
        <v>876</v>
      </c>
      <c r="S170" s="1" t="s">
        <v>876</v>
      </c>
      <c r="T170" s="1" t="s">
        <v>38</v>
      </c>
      <c r="U170" s="1" t="s">
        <v>38</v>
      </c>
      <c r="V170" s="1" t="s">
        <v>75</v>
      </c>
      <c r="W170" s="1" t="s">
        <v>39</v>
      </c>
      <c r="X170" s="1" t="s">
        <v>39</v>
      </c>
      <c r="Y170" s="3">
        <v>44310.61388888889</v>
      </c>
      <c r="Z170" s="1" t="s">
        <v>40</v>
      </c>
      <c r="AA170" s="1">
        <v>1666192.0</v>
      </c>
      <c r="AB170" s="1" t="s">
        <v>55</v>
      </c>
      <c r="AC170" s="1" t="s">
        <v>55</v>
      </c>
      <c r="AD170" s="1" t="s">
        <v>877</v>
      </c>
      <c r="AE170" s="1" t="s">
        <v>44</v>
      </c>
    </row>
    <row r="171" ht="56.25" customHeight="1">
      <c r="A171" s="1">
        <v>3.60059917132E11</v>
      </c>
      <c r="B171" s="2" t="s">
        <v>878</v>
      </c>
      <c r="C171" s="2" t="s">
        <v>879</v>
      </c>
      <c r="D171" s="1">
        <v>2.5445008728E10</v>
      </c>
      <c r="E171" s="1" t="s">
        <v>410</v>
      </c>
      <c r="F171" s="1" t="b">
        <v>1</v>
      </c>
      <c r="G171" s="1" t="s">
        <v>47</v>
      </c>
      <c r="H171" s="1" t="b">
        <v>0</v>
      </c>
      <c r="I171" s="1">
        <v>0.0</v>
      </c>
      <c r="J171" s="1">
        <v>0.0</v>
      </c>
      <c r="K171" s="1">
        <v>0.0</v>
      </c>
      <c r="L171" s="1">
        <v>3.60010154272E11</v>
      </c>
      <c r="M171" s="1" t="s">
        <v>35</v>
      </c>
      <c r="N171" s="1" t="str">
        <f t="array" ref="N171">XLOOKUP(A:A,'CategoriasSeções'!A:A,'CategoriasSeções'!B:B)</f>
        <v>Dúvidas Gerais</v>
      </c>
      <c r="O171" s="1" t="s">
        <v>85</v>
      </c>
      <c r="P171" s="3">
        <v>44310.22083333333</v>
      </c>
      <c r="Q171" s="3">
        <v>45231.56527777778</v>
      </c>
      <c r="R171" s="1" t="s">
        <v>880</v>
      </c>
      <c r="S171" s="1" t="s">
        <v>880</v>
      </c>
      <c r="T171" s="1" t="s">
        <v>38</v>
      </c>
      <c r="U171" s="1" t="s">
        <v>38</v>
      </c>
      <c r="V171" s="1" t="s">
        <v>75</v>
      </c>
      <c r="W171" s="1" t="s">
        <v>39</v>
      </c>
      <c r="X171" s="1" t="s">
        <v>39</v>
      </c>
      <c r="Y171" s="3">
        <v>44310.22083333333</v>
      </c>
      <c r="Z171" s="1" t="s">
        <v>40</v>
      </c>
      <c r="AA171" s="1">
        <v>1666192.0</v>
      </c>
      <c r="AB171" s="1" t="s">
        <v>55</v>
      </c>
      <c r="AC171" s="1" t="s">
        <v>55</v>
      </c>
      <c r="AE171" s="1" t="s">
        <v>44</v>
      </c>
    </row>
    <row r="172" ht="56.25" customHeight="1">
      <c r="A172" s="1">
        <v>3.60059917112E11</v>
      </c>
      <c r="B172" s="2" t="s">
        <v>881</v>
      </c>
      <c r="C172" s="2" t="s">
        <v>882</v>
      </c>
      <c r="D172" s="1">
        <v>2.5445008728E10</v>
      </c>
      <c r="E172" s="1" t="s">
        <v>410</v>
      </c>
      <c r="F172" s="1" t="b">
        <v>0</v>
      </c>
      <c r="G172" s="1" t="s">
        <v>34</v>
      </c>
      <c r="H172" s="1" t="b">
        <v>0</v>
      </c>
      <c r="I172" s="1">
        <v>0.0</v>
      </c>
      <c r="J172" s="1">
        <v>0.0</v>
      </c>
      <c r="K172" s="1">
        <v>0.0</v>
      </c>
      <c r="L172" s="1">
        <v>3.60013315531E11</v>
      </c>
      <c r="M172" s="1" t="s">
        <v>35</v>
      </c>
      <c r="N172" s="1" t="str">
        <f t="array" ref="N172">XLOOKUP(A:A,'CategoriasSeções'!A:A,'CategoriasSeções'!B:B)</f>
        <v>Dúvidas Gerais</v>
      </c>
      <c r="O172" s="1" t="s">
        <v>96</v>
      </c>
      <c r="P172" s="3">
        <v>44310.217361111114</v>
      </c>
      <c r="Q172" s="3">
        <v>44823.54513888889</v>
      </c>
      <c r="R172" s="1" t="s">
        <v>883</v>
      </c>
      <c r="S172" s="1" t="s">
        <v>883</v>
      </c>
      <c r="T172" s="1" t="s">
        <v>38</v>
      </c>
      <c r="U172" s="1" t="s">
        <v>38</v>
      </c>
      <c r="V172" s="1" t="s">
        <v>75</v>
      </c>
      <c r="W172" s="1" t="s">
        <v>69</v>
      </c>
      <c r="X172" s="1" t="s">
        <v>69</v>
      </c>
      <c r="Y172" s="3">
        <v>44823.54513888889</v>
      </c>
      <c r="AA172" s="1">
        <v>1666192.0</v>
      </c>
      <c r="AB172" s="1" t="s">
        <v>55</v>
      </c>
      <c r="AC172" s="1" t="s">
        <v>884</v>
      </c>
      <c r="AD172" s="1" t="s">
        <v>885</v>
      </c>
      <c r="AE172" s="1" t="s">
        <v>55</v>
      </c>
    </row>
    <row r="173" ht="56.25" customHeight="1">
      <c r="A173" s="1">
        <v>3.60059917092E11</v>
      </c>
      <c r="B173" s="2" t="s">
        <v>886</v>
      </c>
      <c r="C173" s="2" t="s">
        <v>887</v>
      </c>
      <c r="D173" s="1">
        <v>2.5445008728E10</v>
      </c>
      <c r="E173" s="1" t="s">
        <v>410</v>
      </c>
      <c r="F173" s="1" t="b">
        <v>1</v>
      </c>
      <c r="G173" s="1" t="s">
        <v>47</v>
      </c>
      <c r="H173" s="1" t="b">
        <v>0</v>
      </c>
      <c r="I173" s="1">
        <v>0.0</v>
      </c>
      <c r="J173" s="1">
        <v>0.0</v>
      </c>
      <c r="K173" s="1">
        <v>0.0</v>
      </c>
      <c r="L173" s="1">
        <v>3.60013315531E11</v>
      </c>
      <c r="M173" s="1" t="s">
        <v>35</v>
      </c>
      <c r="N173" s="1" t="str">
        <f t="array" ref="N173">XLOOKUP(A:A,'CategoriasSeções'!A:A,'CategoriasSeções'!B:B)</f>
        <v>Dúvidas Gerais</v>
      </c>
      <c r="O173" s="1" t="s">
        <v>96</v>
      </c>
      <c r="P173" s="3">
        <v>44310.20763888889</v>
      </c>
      <c r="Q173" s="3">
        <v>45231.56527777778</v>
      </c>
      <c r="R173" s="1" t="s">
        <v>888</v>
      </c>
      <c r="S173" s="1" t="s">
        <v>888</v>
      </c>
      <c r="T173" s="1" t="s">
        <v>38</v>
      </c>
      <c r="U173" s="1" t="s">
        <v>38</v>
      </c>
      <c r="V173" s="1" t="s">
        <v>39</v>
      </c>
      <c r="W173" s="1" t="s">
        <v>39</v>
      </c>
      <c r="X173" s="1" t="s">
        <v>39</v>
      </c>
      <c r="Y173" s="3">
        <v>44809.53333333333</v>
      </c>
      <c r="Z173" s="1" t="s">
        <v>40</v>
      </c>
      <c r="AA173" s="1">
        <v>1666212.0</v>
      </c>
      <c r="AB173" s="1" t="s">
        <v>55</v>
      </c>
      <c r="AC173" s="1" t="s">
        <v>889</v>
      </c>
      <c r="AD173" s="1" t="s">
        <v>890</v>
      </c>
      <c r="AE173" s="1" t="s">
        <v>44</v>
      </c>
    </row>
    <row r="174" ht="56.25" customHeight="1">
      <c r="A174" s="1">
        <v>3.60060357051E11</v>
      </c>
      <c r="B174" s="2" t="s">
        <v>891</v>
      </c>
      <c r="C174" s="2" t="s">
        <v>892</v>
      </c>
      <c r="D174" s="1">
        <v>2.5445008728E10</v>
      </c>
      <c r="E174" s="1" t="s">
        <v>410</v>
      </c>
      <c r="F174" s="1" t="b">
        <v>0</v>
      </c>
      <c r="G174" s="1" t="s">
        <v>34</v>
      </c>
      <c r="H174" s="1" t="b">
        <v>0</v>
      </c>
      <c r="I174" s="1">
        <v>0.0</v>
      </c>
      <c r="J174" s="1">
        <v>0.0</v>
      </c>
      <c r="K174" s="1">
        <v>0.0</v>
      </c>
      <c r="L174" s="1">
        <v>3.60013315531E11</v>
      </c>
      <c r="M174" s="1" t="s">
        <v>35</v>
      </c>
      <c r="N174" s="1" t="str">
        <f t="array" ref="N174">XLOOKUP(A:A,'CategoriasSeções'!A:A,'CategoriasSeções'!B:B)</f>
        <v>Dúvidas Gerais</v>
      </c>
      <c r="O174" s="1" t="s">
        <v>96</v>
      </c>
      <c r="P174" s="3">
        <v>44310.19375</v>
      </c>
      <c r="Q174" s="3">
        <v>44823.54722222222</v>
      </c>
      <c r="R174" s="1" t="s">
        <v>893</v>
      </c>
      <c r="S174" s="1" t="s">
        <v>893</v>
      </c>
      <c r="T174" s="1" t="s">
        <v>38</v>
      </c>
      <c r="U174" s="1" t="s">
        <v>38</v>
      </c>
      <c r="V174" s="1" t="s">
        <v>75</v>
      </c>
      <c r="W174" s="1" t="s">
        <v>69</v>
      </c>
      <c r="X174" s="1" t="s">
        <v>69</v>
      </c>
      <c r="Y174" s="3">
        <v>44823.54722222222</v>
      </c>
      <c r="AA174" s="1">
        <v>1666192.0</v>
      </c>
      <c r="AB174" s="1" t="s">
        <v>55</v>
      </c>
      <c r="AC174" s="1" t="s">
        <v>894</v>
      </c>
      <c r="AD174" s="1" t="s">
        <v>895</v>
      </c>
      <c r="AE174" s="1" t="s">
        <v>55</v>
      </c>
    </row>
    <row r="175" ht="56.25" customHeight="1">
      <c r="A175" s="1">
        <v>3.60059915672E11</v>
      </c>
      <c r="B175" s="2" t="s">
        <v>896</v>
      </c>
      <c r="C175" s="2" t="s">
        <v>897</v>
      </c>
      <c r="D175" s="1">
        <v>2.5445008728E10</v>
      </c>
      <c r="E175" s="1" t="s">
        <v>410</v>
      </c>
      <c r="F175" s="1" t="b">
        <v>0</v>
      </c>
      <c r="G175" s="1" t="s">
        <v>34</v>
      </c>
      <c r="H175" s="1" t="b">
        <v>0</v>
      </c>
      <c r="I175" s="1">
        <v>0.0</v>
      </c>
      <c r="J175" s="1">
        <v>-1.0</v>
      </c>
      <c r="K175" s="1">
        <v>3.0</v>
      </c>
      <c r="L175" s="1">
        <v>1.15003480707E11</v>
      </c>
      <c r="M175" s="1" t="s">
        <v>35</v>
      </c>
      <c r="N175" s="1" t="str">
        <f t="array" ref="N175">XLOOKUP(A:A,'CategoriasSeções'!A:A,'CategoriasSeções'!B:B)</f>
        <v>Dúvidas Gerais</v>
      </c>
      <c r="O175" s="1" t="s">
        <v>722</v>
      </c>
      <c r="P175" s="3">
        <v>44310.15347222222</v>
      </c>
      <c r="Q175" s="3">
        <v>44474.53680555556</v>
      </c>
      <c r="R175" s="1" t="s">
        <v>898</v>
      </c>
      <c r="S175" s="1" t="s">
        <v>898</v>
      </c>
      <c r="T175" s="1" t="s">
        <v>38</v>
      </c>
      <c r="U175" s="1" t="s">
        <v>38</v>
      </c>
      <c r="V175" s="1" t="s">
        <v>75</v>
      </c>
      <c r="W175" s="1" t="s">
        <v>69</v>
      </c>
      <c r="X175" s="1" t="s">
        <v>69</v>
      </c>
      <c r="Y175" s="3">
        <v>44310.1625</v>
      </c>
      <c r="AA175" s="1">
        <v>1666192.0</v>
      </c>
      <c r="AB175" s="1" t="s">
        <v>55</v>
      </c>
      <c r="AC175" s="1" t="s">
        <v>899</v>
      </c>
      <c r="AD175" s="1" t="s">
        <v>900</v>
      </c>
      <c r="AE175" s="1" t="s">
        <v>55</v>
      </c>
    </row>
    <row r="176" ht="56.25" customHeight="1">
      <c r="A176" s="1">
        <v>3.60058295252E11</v>
      </c>
      <c r="B176" s="2" t="s">
        <v>901</v>
      </c>
      <c r="C176" s="2" t="s">
        <v>902</v>
      </c>
      <c r="D176" s="1">
        <v>3.87048456972E11</v>
      </c>
      <c r="E176" s="1" t="s">
        <v>433</v>
      </c>
      <c r="F176" s="1" t="b">
        <v>0</v>
      </c>
      <c r="G176" s="1" t="s">
        <v>34</v>
      </c>
      <c r="H176" s="1" t="b">
        <v>0</v>
      </c>
      <c r="I176" s="1">
        <v>0.0</v>
      </c>
      <c r="J176" s="1">
        <v>1.0</v>
      </c>
      <c r="K176" s="1">
        <v>1.0</v>
      </c>
      <c r="L176" s="1">
        <v>3.60010090031E11</v>
      </c>
      <c r="M176" s="1" t="s">
        <v>35</v>
      </c>
      <c r="N176" s="1" t="str">
        <f t="array" ref="N176">XLOOKUP(A:A,'CategoriasSeções'!A:A,'CategoriasSeções'!B:B)</f>
        <v>Comunicados</v>
      </c>
      <c r="O176" s="1" t="s">
        <v>229</v>
      </c>
      <c r="P176" s="3">
        <v>44274.634722222225</v>
      </c>
      <c r="Q176" s="3">
        <v>45526.52222222222</v>
      </c>
      <c r="R176" s="1" t="s">
        <v>903</v>
      </c>
      <c r="S176" s="1" t="s">
        <v>903</v>
      </c>
      <c r="T176" s="1" t="s">
        <v>38</v>
      </c>
      <c r="U176" s="1" t="s">
        <v>38</v>
      </c>
      <c r="V176" s="1" t="s">
        <v>39</v>
      </c>
      <c r="W176" s="1" t="s">
        <v>69</v>
      </c>
      <c r="X176" s="1" t="s">
        <v>69</v>
      </c>
      <c r="Y176" s="3">
        <v>44274.63958333333</v>
      </c>
      <c r="AA176" s="1">
        <v>1666212.0</v>
      </c>
      <c r="AB176" s="1" t="s">
        <v>55</v>
      </c>
      <c r="AC176" s="1" t="s">
        <v>55</v>
      </c>
      <c r="AD176" s="1" t="s">
        <v>904</v>
      </c>
      <c r="AE176" s="1" t="s">
        <v>55</v>
      </c>
    </row>
    <row r="177" ht="56.25" customHeight="1">
      <c r="A177" s="1">
        <v>3.60057068151E11</v>
      </c>
      <c r="B177" s="2" t="s">
        <v>905</v>
      </c>
      <c r="C177" s="2" t="s">
        <v>906</v>
      </c>
      <c r="D177" s="1">
        <v>3.87048456972E11</v>
      </c>
      <c r="E177" s="1" t="s">
        <v>433</v>
      </c>
      <c r="F177" s="1" t="b">
        <v>0</v>
      </c>
      <c r="G177" s="1" t="s">
        <v>34</v>
      </c>
      <c r="H177" s="1" t="b">
        <v>0</v>
      </c>
      <c r="I177" s="1">
        <v>0.0</v>
      </c>
      <c r="J177" s="1">
        <v>0.0</v>
      </c>
      <c r="K177" s="1">
        <v>0.0</v>
      </c>
      <c r="L177" s="1">
        <v>3.60009969292E11</v>
      </c>
      <c r="M177" s="1" t="s">
        <v>35</v>
      </c>
      <c r="N177" s="1" t="str">
        <f t="array" ref="N177">XLOOKUP(A:A,'CategoriasSeções'!A:A,'CategoriasSeções'!B:B)</f>
        <v>Comunicados</v>
      </c>
      <c r="O177" s="1" t="s">
        <v>299</v>
      </c>
      <c r="P177" s="3">
        <v>44239.660416666666</v>
      </c>
      <c r="Q177" s="3">
        <v>45526.51388888889</v>
      </c>
      <c r="R177" s="1" t="s">
        <v>907</v>
      </c>
      <c r="S177" s="1" t="s">
        <v>907</v>
      </c>
      <c r="T177" s="1" t="s">
        <v>38</v>
      </c>
      <c r="U177" s="1" t="s">
        <v>38</v>
      </c>
      <c r="V177" s="1" t="s">
        <v>75</v>
      </c>
      <c r="W177" s="1" t="s">
        <v>39</v>
      </c>
      <c r="X177" s="1" t="s">
        <v>39</v>
      </c>
      <c r="Y177" s="3">
        <v>44239.660416666666</v>
      </c>
      <c r="Z177" s="1" t="s">
        <v>40</v>
      </c>
      <c r="AA177" s="1">
        <v>1666192.0</v>
      </c>
      <c r="AB177" s="1" t="s">
        <v>55</v>
      </c>
      <c r="AC177" s="1" t="s">
        <v>55</v>
      </c>
      <c r="AD177" s="1" t="s">
        <v>908</v>
      </c>
      <c r="AE177" s="1" t="s">
        <v>44</v>
      </c>
    </row>
    <row r="178" ht="56.25" customHeight="1">
      <c r="A178" s="1">
        <v>3.60048461712E11</v>
      </c>
      <c r="B178" s="2" t="s">
        <v>909</v>
      </c>
      <c r="C178" s="2" t="s">
        <v>910</v>
      </c>
      <c r="D178" s="1">
        <v>2.5445008728E10</v>
      </c>
      <c r="E178" s="1" t="s">
        <v>410</v>
      </c>
      <c r="F178" s="1" t="b">
        <v>0</v>
      </c>
      <c r="G178" s="1" t="s">
        <v>34</v>
      </c>
      <c r="H178" s="1" t="b">
        <v>0</v>
      </c>
      <c r="I178" s="1">
        <v>0.0</v>
      </c>
      <c r="J178" s="1">
        <v>0.0</v>
      </c>
      <c r="K178" s="1">
        <v>0.0</v>
      </c>
      <c r="L178" s="1">
        <v>1.15003480707E11</v>
      </c>
      <c r="M178" s="1" t="s">
        <v>35</v>
      </c>
      <c r="N178" s="1" t="str">
        <f t="array" ref="N178">XLOOKUP(A:A,'CategoriasSeções'!A:A,'CategoriasSeções'!B:B)</f>
        <v>Dúvidas Gerais</v>
      </c>
      <c r="O178" s="1" t="s">
        <v>722</v>
      </c>
      <c r="P178" s="3">
        <v>44074.183333333334</v>
      </c>
      <c r="Q178" s="3">
        <v>45722.854166666664</v>
      </c>
      <c r="R178" s="1" t="s">
        <v>911</v>
      </c>
      <c r="S178" s="1" t="s">
        <v>911</v>
      </c>
      <c r="T178" s="1" t="s">
        <v>38</v>
      </c>
      <c r="U178" s="1" t="s">
        <v>38</v>
      </c>
      <c r="V178" s="1" t="s">
        <v>39</v>
      </c>
      <c r="W178" s="1" t="s">
        <v>69</v>
      </c>
      <c r="X178" s="1" t="s">
        <v>69</v>
      </c>
      <c r="Y178" s="3">
        <v>45722.854166666664</v>
      </c>
      <c r="AA178" s="1">
        <v>1666212.0</v>
      </c>
      <c r="AB178" s="1" t="s">
        <v>55</v>
      </c>
      <c r="AC178" s="1" t="s">
        <v>912</v>
      </c>
      <c r="AD178" s="1" t="s">
        <v>913</v>
      </c>
      <c r="AE178" s="1" t="s">
        <v>55</v>
      </c>
    </row>
    <row r="179" ht="56.25" customHeight="1">
      <c r="A179" s="1">
        <v>3.60048128671E11</v>
      </c>
      <c r="B179" s="2" t="s">
        <v>914</v>
      </c>
      <c r="C179" s="2" t="s">
        <v>915</v>
      </c>
      <c r="D179" s="1">
        <v>2.5445008728E10</v>
      </c>
      <c r="E179" s="1" t="s">
        <v>410</v>
      </c>
      <c r="F179" s="1" t="b">
        <v>0</v>
      </c>
      <c r="G179" s="1" t="s">
        <v>34</v>
      </c>
      <c r="H179" s="1" t="b">
        <v>0</v>
      </c>
      <c r="I179" s="1">
        <v>0.0</v>
      </c>
      <c r="J179" s="1">
        <v>0.0</v>
      </c>
      <c r="K179" s="1">
        <v>0.0</v>
      </c>
      <c r="L179" s="1">
        <v>3.60010090031E11</v>
      </c>
      <c r="M179" s="1" t="s">
        <v>35</v>
      </c>
      <c r="N179" s="1" t="str">
        <f t="array" ref="N179">XLOOKUP(A:A,'CategoriasSeções'!A:A,'CategoriasSeções'!B:B)</f>
        <v>Comunicados</v>
      </c>
      <c r="O179" s="1" t="s">
        <v>229</v>
      </c>
      <c r="P179" s="3">
        <v>44060.09722222222</v>
      </c>
      <c r="Q179" s="3">
        <v>45526.57638888889</v>
      </c>
      <c r="R179" s="1" t="s">
        <v>916</v>
      </c>
      <c r="S179" s="1" t="s">
        <v>916</v>
      </c>
      <c r="T179" s="1" t="s">
        <v>38</v>
      </c>
      <c r="U179" s="1" t="s">
        <v>38</v>
      </c>
      <c r="V179" s="1" t="s">
        <v>39</v>
      </c>
      <c r="W179" s="1" t="s">
        <v>69</v>
      </c>
      <c r="X179" s="1" t="s">
        <v>69</v>
      </c>
      <c r="Y179" s="3">
        <v>44216.60138888889</v>
      </c>
      <c r="AA179" s="1">
        <v>1666212.0</v>
      </c>
      <c r="AB179" s="1" t="s">
        <v>55</v>
      </c>
      <c r="AC179" s="1" t="s">
        <v>55</v>
      </c>
      <c r="AD179" s="1" t="s">
        <v>917</v>
      </c>
      <c r="AE179" s="1" t="s">
        <v>55</v>
      </c>
    </row>
    <row r="180" ht="56.25" customHeight="1">
      <c r="A180" s="1">
        <v>3.60048128011E11</v>
      </c>
      <c r="B180" s="2" t="s">
        <v>918</v>
      </c>
      <c r="C180" s="2" t="s">
        <v>919</v>
      </c>
      <c r="D180" s="1">
        <v>2.5445008728E10</v>
      </c>
      <c r="E180" s="1" t="s">
        <v>410</v>
      </c>
      <c r="F180" s="1" t="b">
        <v>0</v>
      </c>
      <c r="G180" s="1" t="s">
        <v>34</v>
      </c>
      <c r="H180" s="1" t="b">
        <v>0</v>
      </c>
      <c r="I180" s="1">
        <v>0.0</v>
      </c>
      <c r="J180" s="1">
        <v>0.0</v>
      </c>
      <c r="K180" s="1">
        <v>0.0</v>
      </c>
      <c r="L180" s="1">
        <v>3.60009969292E11</v>
      </c>
      <c r="M180" s="1" t="s">
        <v>35</v>
      </c>
      <c r="N180" s="1" t="str">
        <f t="array" ref="N180">XLOOKUP(A:A,'CategoriasSeções'!A:A,'CategoriasSeções'!B:B)</f>
        <v>Comunicados</v>
      </c>
      <c r="O180" s="1" t="s">
        <v>299</v>
      </c>
      <c r="P180" s="3">
        <v>44060.058333333334</v>
      </c>
      <c r="Q180" s="3">
        <v>45526.552777777775</v>
      </c>
      <c r="R180" s="1" t="s">
        <v>920</v>
      </c>
      <c r="S180" s="1" t="s">
        <v>920</v>
      </c>
      <c r="T180" s="1" t="s">
        <v>38</v>
      </c>
      <c r="U180" s="1" t="s">
        <v>38</v>
      </c>
      <c r="V180" s="1" t="s">
        <v>39</v>
      </c>
      <c r="W180" s="1" t="s">
        <v>69</v>
      </c>
      <c r="X180" s="1" t="s">
        <v>69</v>
      </c>
      <c r="Y180" s="3">
        <v>45454.86736111111</v>
      </c>
      <c r="AA180" s="1">
        <v>1666212.0</v>
      </c>
      <c r="AB180" s="1" t="s">
        <v>55</v>
      </c>
      <c r="AC180" s="1" t="s">
        <v>55</v>
      </c>
      <c r="AD180" s="1" t="s">
        <v>921</v>
      </c>
      <c r="AE180" s="1" t="s">
        <v>55</v>
      </c>
    </row>
    <row r="181" ht="56.25" customHeight="1">
      <c r="A181" s="1">
        <v>3.60048127531E11</v>
      </c>
      <c r="B181" s="2" t="s">
        <v>922</v>
      </c>
      <c r="C181" s="2" t="s">
        <v>923</v>
      </c>
      <c r="D181" s="1">
        <v>2.5445008728E10</v>
      </c>
      <c r="E181" s="1" t="s">
        <v>410</v>
      </c>
      <c r="F181" s="1" t="b">
        <v>0</v>
      </c>
      <c r="G181" s="1" t="s">
        <v>34</v>
      </c>
      <c r="H181" s="1" t="b">
        <v>0</v>
      </c>
      <c r="I181" s="1">
        <v>0.0</v>
      </c>
      <c r="J181" s="1">
        <v>1.0</v>
      </c>
      <c r="K181" s="1">
        <v>5.0</v>
      </c>
      <c r="L181" s="1">
        <v>3.60009969192E11</v>
      </c>
      <c r="M181" s="1" t="s">
        <v>35</v>
      </c>
      <c r="N181" s="1" t="str">
        <f t="array" ref="N181">XLOOKUP(A:A,'CategoriasSeções'!A:A,'CategoriasSeções'!B:B)</f>
        <v>Canais de Atendimento</v>
      </c>
      <c r="O181" s="1" t="s">
        <v>494</v>
      </c>
      <c r="P181" s="3">
        <v>44060.02916666667</v>
      </c>
      <c r="Q181" s="3">
        <v>45526.55972222222</v>
      </c>
      <c r="R181" s="1" t="s">
        <v>924</v>
      </c>
      <c r="S181" s="1" t="s">
        <v>924</v>
      </c>
      <c r="T181" s="1" t="s">
        <v>38</v>
      </c>
      <c r="U181" s="1" t="s">
        <v>38</v>
      </c>
      <c r="V181" s="1" t="s">
        <v>39</v>
      </c>
      <c r="W181" s="1" t="s">
        <v>69</v>
      </c>
      <c r="X181" s="1" t="s">
        <v>69</v>
      </c>
      <c r="Y181" s="3">
        <v>45418.17152777778</v>
      </c>
      <c r="AA181" s="1">
        <v>1666212.0</v>
      </c>
      <c r="AB181" s="1" t="s">
        <v>55</v>
      </c>
      <c r="AC181" s="1" t="s">
        <v>55</v>
      </c>
      <c r="AD181" s="1" t="s">
        <v>925</v>
      </c>
      <c r="AE181" s="1" t="s">
        <v>55</v>
      </c>
    </row>
    <row r="182" ht="56.25" customHeight="1">
      <c r="A182" s="1">
        <v>3.60047652432E11</v>
      </c>
      <c r="B182" s="2" t="s">
        <v>926</v>
      </c>
      <c r="C182" s="2" t="s">
        <v>927</v>
      </c>
      <c r="D182" s="1">
        <v>2.5445008728E10</v>
      </c>
      <c r="E182" s="1" t="s">
        <v>410</v>
      </c>
      <c r="F182" s="1" t="b">
        <v>0</v>
      </c>
      <c r="G182" s="1" t="s">
        <v>34</v>
      </c>
      <c r="H182" s="1" t="b">
        <v>0</v>
      </c>
      <c r="I182" s="1">
        <v>0.0</v>
      </c>
      <c r="J182" s="1">
        <v>0.0</v>
      </c>
      <c r="K182" s="1">
        <v>4.0</v>
      </c>
      <c r="L182" s="1">
        <v>3.60009969192E11</v>
      </c>
      <c r="M182" s="1" t="s">
        <v>35</v>
      </c>
      <c r="N182" s="1" t="str">
        <f t="array" ref="N182">XLOOKUP(A:A,'CategoriasSeções'!A:A,'CategoriasSeções'!B:B)</f>
        <v>Canais de Atendimento</v>
      </c>
      <c r="O182" s="1" t="s">
        <v>494</v>
      </c>
      <c r="P182" s="3">
        <v>44060.00833333333</v>
      </c>
      <c r="Q182" s="3">
        <v>45526.51388888889</v>
      </c>
      <c r="R182" s="1" t="s">
        <v>928</v>
      </c>
      <c r="S182" s="1" t="s">
        <v>928</v>
      </c>
      <c r="T182" s="1" t="s">
        <v>38</v>
      </c>
      <c r="U182" s="1" t="s">
        <v>38</v>
      </c>
      <c r="V182" s="1" t="s">
        <v>39</v>
      </c>
      <c r="W182" s="1" t="s">
        <v>69</v>
      </c>
      <c r="X182" s="1" t="s">
        <v>69</v>
      </c>
      <c r="Y182" s="3">
        <v>44216.59583333333</v>
      </c>
      <c r="AA182" s="1">
        <v>1666212.0</v>
      </c>
      <c r="AB182" s="1" t="s">
        <v>55</v>
      </c>
      <c r="AC182" s="1" t="s">
        <v>55</v>
      </c>
      <c r="AD182" s="1" t="s">
        <v>929</v>
      </c>
      <c r="AE182" s="1" t="s">
        <v>55</v>
      </c>
    </row>
    <row r="183" ht="56.25" customHeight="1">
      <c r="A183" s="1">
        <v>3.60039880171E11</v>
      </c>
      <c r="B183" s="2" t="s">
        <v>930</v>
      </c>
      <c r="C183" s="2" t="s">
        <v>931</v>
      </c>
      <c r="D183" s="1">
        <v>3.87048456972E11</v>
      </c>
      <c r="E183" s="1" t="s">
        <v>433</v>
      </c>
      <c r="F183" s="1" t="b">
        <v>0</v>
      </c>
      <c r="G183" s="1" t="s">
        <v>34</v>
      </c>
      <c r="H183" s="1" t="b">
        <v>0</v>
      </c>
      <c r="I183" s="1">
        <v>0.0</v>
      </c>
      <c r="J183" s="1">
        <v>-1.0</v>
      </c>
      <c r="K183" s="1">
        <v>1.0</v>
      </c>
      <c r="L183" s="1">
        <v>3.60013315511E11</v>
      </c>
      <c r="M183" s="1" t="s">
        <v>35</v>
      </c>
      <c r="N183" s="1" t="str">
        <f t="array" ref="N183">XLOOKUP(A:A,'CategoriasSeções'!A:A,'CategoriasSeções'!B:B)</f>
        <v>Dúvidas Gerais</v>
      </c>
      <c r="O183" s="1" t="s">
        <v>129</v>
      </c>
      <c r="P183" s="3">
        <v>43878.07083333333</v>
      </c>
      <c r="Q183" s="3">
        <v>45526.42152777778</v>
      </c>
      <c r="R183" s="1" t="s">
        <v>932</v>
      </c>
      <c r="S183" s="1" t="s">
        <v>932</v>
      </c>
      <c r="T183" s="1" t="s">
        <v>38</v>
      </c>
      <c r="U183" s="1" t="s">
        <v>38</v>
      </c>
      <c r="V183" s="1" t="s">
        <v>75</v>
      </c>
      <c r="W183" s="1" t="s">
        <v>69</v>
      </c>
      <c r="X183" s="1" t="s">
        <v>69</v>
      </c>
      <c r="Y183" s="3">
        <v>44786.02013888889</v>
      </c>
      <c r="AA183" s="1">
        <v>1666192.0</v>
      </c>
      <c r="AB183" s="1" t="s">
        <v>55</v>
      </c>
      <c r="AC183" s="1" t="s">
        <v>933</v>
      </c>
      <c r="AD183" s="1" t="s">
        <v>934</v>
      </c>
      <c r="AE183" s="1" t="s">
        <v>55</v>
      </c>
    </row>
    <row r="184" ht="56.25" customHeight="1">
      <c r="A184" s="1">
        <v>3.60039880091E11</v>
      </c>
      <c r="B184" s="2" t="s">
        <v>935</v>
      </c>
      <c r="C184" s="2" t="s">
        <v>936</v>
      </c>
      <c r="D184" s="1">
        <v>3.87048456972E11</v>
      </c>
      <c r="E184" s="1" t="s">
        <v>433</v>
      </c>
      <c r="F184" s="1" t="b">
        <v>0</v>
      </c>
      <c r="G184" s="1" t="s">
        <v>34</v>
      </c>
      <c r="H184" s="1" t="b">
        <v>0</v>
      </c>
      <c r="I184" s="1">
        <v>0.0</v>
      </c>
      <c r="J184" s="1">
        <v>0.0</v>
      </c>
      <c r="K184" s="1">
        <v>0.0</v>
      </c>
      <c r="L184" s="1">
        <v>3.60013315531E11</v>
      </c>
      <c r="M184" s="1" t="s">
        <v>35</v>
      </c>
      <c r="N184" s="1" t="str">
        <f t="array" ref="N184">XLOOKUP(A:A,'CategoriasSeções'!A:A,'CategoriasSeções'!B:B)</f>
        <v>Dúvidas Gerais</v>
      </c>
      <c r="O184" s="1" t="s">
        <v>96</v>
      </c>
      <c r="P184" s="3">
        <v>43878.066666666666</v>
      </c>
      <c r="Q184" s="3">
        <v>45793.77916666667</v>
      </c>
      <c r="R184" s="1" t="s">
        <v>937</v>
      </c>
      <c r="S184" s="1" t="s">
        <v>937</v>
      </c>
      <c r="T184" s="1" t="s">
        <v>38</v>
      </c>
      <c r="U184" s="1" t="s">
        <v>38</v>
      </c>
      <c r="V184" s="1" t="s">
        <v>75</v>
      </c>
      <c r="W184" s="1" t="s">
        <v>69</v>
      </c>
      <c r="X184" s="1" t="s">
        <v>69</v>
      </c>
      <c r="Y184" s="3">
        <v>45793.77916666667</v>
      </c>
      <c r="AA184" s="1">
        <v>1666192.0</v>
      </c>
      <c r="AB184" s="1" t="s">
        <v>55</v>
      </c>
      <c r="AC184" s="1" t="s">
        <v>55</v>
      </c>
      <c r="AD184" s="1" t="s">
        <v>938</v>
      </c>
      <c r="AE184" s="1" t="s">
        <v>55</v>
      </c>
    </row>
    <row r="185" ht="56.25" customHeight="1">
      <c r="A185" s="1">
        <v>3.60039477132E11</v>
      </c>
      <c r="B185" s="2" t="s">
        <v>939</v>
      </c>
      <c r="C185" s="2" t="s">
        <v>940</v>
      </c>
      <c r="D185" s="1">
        <v>2.5445008728E10</v>
      </c>
      <c r="E185" s="1" t="s">
        <v>410</v>
      </c>
      <c r="F185" s="1" t="b">
        <v>0</v>
      </c>
      <c r="G185" s="1" t="s">
        <v>34</v>
      </c>
      <c r="H185" s="1" t="b">
        <v>0</v>
      </c>
      <c r="I185" s="1">
        <v>0.0</v>
      </c>
      <c r="J185" s="1">
        <v>0.0</v>
      </c>
      <c r="K185" s="1">
        <v>0.0</v>
      </c>
      <c r="L185" s="1">
        <v>3.60013315531E11</v>
      </c>
      <c r="M185" s="1" t="s">
        <v>35</v>
      </c>
      <c r="N185" s="1" t="str">
        <f t="array" ref="N185">XLOOKUP(A:A,'CategoriasSeções'!A:A,'CategoriasSeções'!B:B)</f>
        <v>Dúvidas Gerais</v>
      </c>
      <c r="O185" s="1" t="s">
        <v>96</v>
      </c>
      <c r="P185" s="3">
        <v>43878.066666666666</v>
      </c>
      <c r="Q185" s="3">
        <v>45526.59027777778</v>
      </c>
      <c r="R185" s="1" t="s">
        <v>941</v>
      </c>
      <c r="S185" s="1" t="s">
        <v>941</v>
      </c>
      <c r="T185" s="1" t="s">
        <v>38</v>
      </c>
      <c r="U185" s="1" t="s">
        <v>38</v>
      </c>
      <c r="V185" s="1" t="s">
        <v>75</v>
      </c>
      <c r="W185" s="1" t="s">
        <v>69</v>
      </c>
      <c r="X185" s="1" t="s">
        <v>69</v>
      </c>
      <c r="Y185" s="3">
        <v>44823.549305555556</v>
      </c>
      <c r="AA185" s="1">
        <v>1666192.0</v>
      </c>
      <c r="AB185" s="1" t="s">
        <v>55</v>
      </c>
      <c r="AC185" s="1" t="s">
        <v>942</v>
      </c>
      <c r="AD185" s="1" t="s">
        <v>943</v>
      </c>
      <c r="AE185" s="1" t="s">
        <v>55</v>
      </c>
    </row>
    <row r="186" ht="56.25" customHeight="1">
      <c r="A186" s="1">
        <v>3.60039477092E11</v>
      </c>
      <c r="B186" s="2" t="s">
        <v>944</v>
      </c>
      <c r="C186" s="2" t="s">
        <v>945</v>
      </c>
      <c r="D186" s="1">
        <v>3.87048456972E11</v>
      </c>
      <c r="E186" s="1" t="s">
        <v>433</v>
      </c>
      <c r="F186" s="1" t="b">
        <v>1</v>
      </c>
      <c r="G186" s="1" t="s">
        <v>47</v>
      </c>
      <c r="H186" s="1" t="b">
        <v>0</v>
      </c>
      <c r="I186" s="1">
        <v>0.0</v>
      </c>
      <c r="J186" s="1">
        <v>0.0</v>
      </c>
      <c r="K186" s="1">
        <v>0.0</v>
      </c>
      <c r="L186" s="1">
        <v>3.60013315511E11</v>
      </c>
      <c r="M186" s="1" t="s">
        <v>35</v>
      </c>
      <c r="N186" s="1" t="str">
        <f t="array" ref="N186">XLOOKUP(A:A,'CategoriasSeções'!A:A,'CategoriasSeções'!B:B)</f>
        <v>Dúvidas Gerais</v>
      </c>
      <c r="O186" s="1" t="s">
        <v>129</v>
      </c>
      <c r="P186" s="3">
        <v>43878.06597222222</v>
      </c>
      <c r="Q186" s="3">
        <v>45526.42152777778</v>
      </c>
      <c r="R186" s="1" t="s">
        <v>946</v>
      </c>
      <c r="S186" s="1" t="s">
        <v>946</v>
      </c>
      <c r="T186" s="1" t="s">
        <v>38</v>
      </c>
      <c r="U186" s="1" t="s">
        <v>38</v>
      </c>
      <c r="V186" s="1" t="s">
        <v>75</v>
      </c>
      <c r="W186" s="1" t="s">
        <v>39</v>
      </c>
      <c r="X186" s="1" t="s">
        <v>39</v>
      </c>
      <c r="Y186" s="3">
        <v>44310.066666666666</v>
      </c>
      <c r="Z186" s="1" t="s">
        <v>40</v>
      </c>
      <c r="AA186" s="1">
        <v>1666192.0</v>
      </c>
      <c r="AB186" s="1" t="s">
        <v>55</v>
      </c>
      <c r="AC186" s="1" t="s">
        <v>55</v>
      </c>
      <c r="AD186" s="1" t="s">
        <v>947</v>
      </c>
      <c r="AE186" s="1" t="s">
        <v>44</v>
      </c>
    </row>
    <row r="187" ht="56.25" customHeight="1">
      <c r="A187" s="1">
        <v>1.15012866147E11</v>
      </c>
      <c r="B187" s="2" t="s">
        <v>948</v>
      </c>
      <c r="C187" s="2" t="s">
        <v>949</v>
      </c>
      <c r="D187" s="1">
        <v>2.5445008728E10</v>
      </c>
      <c r="E187" s="1" t="s">
        <v>410</v>
      </c>
      <c r="F187" s="1" t="b">
        <v>0</v>
      </c>
      <c r="G187" s="1" t="s">
        <v>34</v>
      </c>
      <c r="H187" s="1" t="b">
        <v>0</v>
      </c>
      <c r="I187" s="1">
        <v>0.0</v>
      </c>
      <c r="J187" s="1">
        <v>1.0</v>
      </c>
      <c r="K187" s="1">
        <v>1.0</v>
      </c>
      <c r="L187" s="1">
        <v>1.15003480707E11</v>
      </c>
      <c r="M187" s="1" t="s">
        <v>35</v>
      </c>
      <c r="N187" s="1" t="str">
        <f t="array" ref="N187">XLOOKUP(A:A,'CategoriasSeções'!A:A,'CategoriasSeções'!B:B)</f>
        <v>Dúvidas Gerais</v>
      </c>
      <c r="O187" s="1" t="s">
        <v>722</v>
      </c>
      <c r="P187" s="3">
        <v>43006.76527777778</v>
      </c>
      <c r="Q187" s="3">
        <v>45722.854166666664</v>
      </c>
      <c r="R187" s="1" t="s">
        <v>950</v>
      </c>
      <c r="S187" s="1" t="s">
        <v>950</v>
      </c>
      <c r="T187" s="1" t="s">
        <v>38</v>
      </c>
      <c r="U187" s="1" t="s">
        <v>38</v>
      </c>
      <c r="V187" s="1" t="s">
        <v>75</v>
      </c>
      <c r="W187" s="1" t="s">
        <v>69</v>
      </c>
      <c r="X187" s="1" t="s">
        <v>69</v>
      </c>
      <c r="Y187" s="3">
        <v>45722.854166666664</v>
      </c>
      <c r="AA187" s="1">
        <v>1666192.0</v>
      </c>
      <c r="AB187" s="1" t="s">
        <v>55</v>
      </c>
      <c r="AC187" s="1" t="s">
        <v>951</v>
      </c>
      <c r="AD187" s="1" t="s">
        <v>952</v>
      </c>
      <c r="AE187" s="1" t="s">
        <v>55</v>
      </c>
    </row>
    <row r="188" ht="56.25" customHeight="1">
      <c r="A188" s="1">
        <v>4.6580151525773E13</v>
      </c>
      <c r="B188" s="2" t="s">
        <v>953</v>
      </c>
      <c r="C188" s="2" t="s">
        <v>954</v>
      </c>
      <c r="D188" s="1">
        <v>6.659122905485E12</v>
      </c>
      <c r="E188" s="1" t="s">
        <v>955</v>
      </c>
      <c r="F188" s="1" t="b">
        <v>0</v>
      </c>
      <c r="G188" s="1" t="s">
        <v>34</v>
      </c>
      <c r="H188" s="1" t="b">
        <v>0</v>
      </c>
      <c r="I188" s="1">
        <v>0.0</v>
      </c>
      <c r="J188" s="1">
        <v>0.0</v>
      </c>
      <c r="K188" s="1">
        <v>0.0</v>
      </c>
      <c r="L188" s="1">
        <v>3.60010221392E11</v>
      </c>
      <c r="M188" s="1" t="s">
        <v>956</v>
      </c>
      <c r="N188" s="1" t="str">
        <f t="array" ref="N188">XLOOKUP(A:A,'CategoriasSeções'!A:A,'CategoriasSeções'!B:B)</f>
        <v>Comunicados</v>
      </c>
      <c r="O188" s="1" t="s">
        <v>957</v>
      </c>
      <c r="P188" s="3">
        <v>46184.78194444445</v>
      </c>
      <c r="Q188" s="3">
        <v>46184.782638888886</v>
      </c>
      <c r="R188" s="1" t="s">
        <v>958</v>
      </c>
      <c r="S188" s="1" t="s">
        <v>958</v>
      </c>
      <c r="T188" s="1" t="s">
        <v>38</v>
      </c>
      <c r="U188" s="1" t="s">
        <v>38</v>
      </c>
      <c r="V188" s="1" t="s">
        <v>75</v>
      </c>
      <c r="W188" s="1" t="s">
        <v>69</v>
      </c>
      <c r="X188" s="1" t="s">
        <v>69</v>
      </c>
      <c r="Y188" s="3">
        <v>46184.782638888886</v>
      </c>
      <c r="AA188" s="1">
        <v>1666192.0</v>
      </c>
      <c r="AB188" s="1" t="s">
        <v>959</v>
      </c>
      <c r="AC188" s="1" t="s">
        <v>960</v>
      </c>
      <c r="AD188" s="1" t="s">
        <v>961</v>
      </c>
      <c r="AE188" s="1" t="s">
        <v>55</v>
      </c>
    </row>
    <row r="189" ht="56.25" customHeight="1">
      <c r="A189" s="1">
        <v>4.5969746240653E13</v>
      </c>
      <c r="B189" s="2" t="s">
        <v>962</v>
      </c>
      <c r="C189" s="2" t="s">
        <v>963</v>
      </c>
      <c r="D189" s="1">
        <v>2.6605230167E10</v>
      </c>
      <c r="E189" s="1" t="s">
        <v>964</v>
      </c>
      <c r="F189" s="1" t="b">
        <v>0</v>
      </c>
      <c r="G189" s="1" t="s">
        <v>34</v>
      </c>
      <c r="H189" s="1" t="b">
        <v>0</v>
      </c>
      <c r="I189" s="1">
        <v>0.0</v>
      </c>
      <c r="J189" s="1">
        <v>0.0</v>
      </c>
      <c r="K189" s="1">
        <v>0.0</v>
      </c>
      <c r="L189" s="1">
        <v>3.60010221392E11</v>
      </c>
      <c r="M189" s="1" t="s">
        <v>956</v>
      </c>
      <c r="N189" s="1" t="str">
        <f t="array" ref="N189">XLOOKUP(A:A,'CategoriasSeções'!A:A,'CategoriasSeções'!B:B)</f>
        <v>Comunicados</v>
      </c>
      <c r="O189" s="1" t="s">
        <v>957</v>
      </c>
      <c r="P189" s="3">
        <v>46161.53472222222</v>
      </c>
      <c r="Q189" s="3">
        <v>46161.53680555556</v>
      </c>
      <c r="R189" s="1" t="s">
        <v>965</v>
      </c>
      <c r="S189" s="1" t="s">
        <v>965</v>
      </c>
      <c r="T189" s="1" t="s">
        <v>38</v>
      </c>
      <c r="U189" s="1" t="s">
        <v>38</v>
      </c>
      <c r="V189" s="1" t="s">
        <v>75</v>
      </c>
      <c r="W189" s="1" t="s">
        <v>69</v>
      </c>
      <c r="X189" s="1" t="s">
        <v>69</v>
      </c>
      <c r="Y189" s="3">
        <v>46161.53680555556</v>
      </c>
      <c r="AA189" s="1">
        <v>1666192.0</v>
      </c>
      <c r="AB189" s="1" t="s">
        <v>966</v>
      </c>
      <c r="AC189" s="1" t="s">
        <v>967</v>
      </c>
      <c r="AD189" s="1" t="s">
        <v>968</v>
      </c>
      <c r="AE189" s="1" t="s">
        <v>55</v>
      </c>
    </row>
    <row r="190" ht="56.25" customHeight="1">
      <c r="A190" s="1">
        <v>4.5969542413965E13</v>
      </c>
      <c r="B190" s="2" t="s">
        <v>969</v>
      </c>
      <c r="C190" s="2" t="s">
        <v>970</v>
      </c>
      <c r="D190" s="1">
        <v>6.659122905485E12</v>
      </c>
      <c r="E190" s="1" t="s">
        <v>955</v>
      </c>
      <c r="F190" s="1" t="b">
        <v>0</v>
      </c>
      <c r="G190" s="1" t="s">
        <v>34</v>
      </c>
      <c r="H190" s="1" t="b">
        <v>0</v>
      </c>
      <c r="I190" s="1">
        <v>0.0</v>
      </c>
      <c r="J190" s="1">
        <v>0.0</v>
      </c>
      <c r="K190" s="1">
        <v>0.0</v>
      </c>
      <c r="L190" s="1">
        <v>3.60010221392E11</v>
      </c>
      <c r="M190" s="1" t="s">
        <v>956</v>
      </c>
      <c r="N190" s="1" t="str">
        <f t="array" ref="N190">XLOOKUP(A:A,'CategoriasSeções'!A:A,'CategoriasSeções'!B:B)</f>
        <v>Comunicados</v>
      </c>
      <c r="O190" s="1" t="s">
        <v>957</v>
      </c>
      <c r="P190" s="3">
        <v>46161.52916666667</v>
      </c>
      <c r="Q190" s="3">
        <v>46161.53055555555</v>
      </c>
      <c r="R190" s="1" t="s">
        <v>971</v>
      </c>
      <c r="S190" s="1" t="s">
        <v>971</v>
      </c>
      <c r="T190" s="1" t="s">
        <v>38</v>
      </c>
      <c r="U190" s="1" t="s">
        <v>38</v>
      </c>
      <c r="V190" s="1" t="s">
        <v>75</v>
      </c>
      <c r="W190" s="1" t="s">
        <v>39</v>
      </c>
      <c r="X190" s="1" t="s">
        <v>39</v>
      </c>
      <c r="Y190" s="3">
        <v>46161.529861111114</v>
      </c>
      <c r="Z190" s="1" t="s">
        <v>40</v>
      </c>
      <c r="AA190" s="1">
        <v>1666192.0</v>
      </c>
      <c r="AB190" s="1" t="s">
        <v>972</v>
      </c>
      <c r="AC190" s="1" t="s">
        <v>55</v>
      </c>
      <c r="AD190" s="1" t="s">
        <v>973</v>
      </c>
      <c r="AE190" s="1" t="s">
        <v>44</v>
      </c>
    </row>
    <row r="191" ht="56.25" customHeight="1">
      <c r="A191" s="1">
        <v>4.5640367424525E13</v>
      </c>
      <c r="B191" s="2" t="s">
        <v>974</v>
      </c>
      <c r="C191" s="2" t="s">
        <v>975</v>
      </c>
      <c r="D191" s="1">
        <v>6.659122905485E12</v>
      </c>
      <c r="E191" s="1" t="s">
        <v>955</v>
      </c>
      <c r="F191" s="1" t="b">
        <v>0</v>
      </c>
      <c r="G191" s="1" t="s">
        <v>34</v>
      </c>
      <c r="H191" s="1" t="b">
        <v>0</v>
      </c>
      <c r="I191" s="1">
        <v>0.0</v>
      </c>
      <c r="J191" s="1">
        <v>0.0</v>
      </c>
      <c r="K191" s="1">
        <v>0.0</v>
      </c>
      <c r="L191" s="1">
        <v>3.60010221392E11</v>
      </c>
      <c r="M191" s="1" t="s">
        <v>956</v>
      </c>
      <c r="N191" s="1" t="str">
        <f t="array" ref="N191">XLOOKUP(A:A,'CategoriasSeções'!A:A,'CategoriasSeções'!B:B)</f>
        <v>Comunicados</v>
      </c>
      <c r="O191" s="1" t="s">
        <v>957</v>
      </c>
      <c r="P191" s="3">
        <v>46148.54583333333</v>
      </c>
      <c r="Q191" s="3">
        <v>46148.614583333336</v>
      </c>
      <c r="R191" s="1" t="s">
        <v>976</v>
      </c>
      <c r="S191" s="1" t="s">
        <v>976</v>
      </c>
      <c r="T191" s="1" t="s">
        <v>38</v>
      </c>
      <c r="U191" s="1" t="s">
        <v>38</v>
      </c>
      <c r="V191" s="1" t="s">
        <v>75</v>
      </c>
      <c r="W191" s="1" t="s">
        <v>69</v>
      </c>
      <c r="X191" s="1" t="s">
        <v>69</v>
      </c>
      <c r="Y191" s="3">
        <v>46148.614583333336</v>
      </c>
      <c r="AA191" s="1">
        <v>1666192.0</v>
      </c>
      <c r="AB191" s="1" t="s">
        <v>977</v>
      </c>
      <c r="AC191" s="1" t="s">
        <v>55</v>
      </c>
      <c r="AD191" s="1" t="s">
        <v>978</v>
      </c>
      <c r="AE191" s="1" t="s">
        <v>55</v>
      </c>
    </row>
    <row r="192" ht="56.25" customHeight="1">
      <c r="A192" s="1">
        <v>4.5445136445709E13</v>
      </c>
      <c r="B192" s="2" t="s">
        <v>979</v>
      </c>
      <c r="C192" s="2" t="s">
        <v>980</v>
      </c>
      <c r="D192" s="1">
        <v>6.659122905485E12</v>
      </c>
      <c r="E192" s="1" t="s">
        <v>955</v>
      </c>
      <c r="F192" s="1" t="b">
        <v>0</v>
      </c>
      <c r="G192" s="1" t="s">
        <v>34</v>
      </c>
      <c r="H192" s="1" t="b">
        <v>0</v>
      </c>
      <c r="I192" s="1">
        <v>0.0</v>
      </c>
      <c r="J192" s="1">
        <v>0.0</v>
      </c>
      <c r="K192" s="1">
        <v>0.0</v>
      </c>
      <c r="L192" s="1">
        <v>3.60010340731E11</v>
      </c>
      <c r="M192" s="1" t="s">
        <v>956</v>
      </c>
      <c r="N192" s="1" t="str">
        <f t="array" ref="N192">XLOOKUP(A:A,'CategoriasSeções'!A:A,'CategoriasSeções'!B:B)</f>
        <v>Comunicados</v>
      </c>
      <c r="O192" s="1" t="s">
        <v>981</v>
      </c>
      <c r="P192" s="3">
        <v>46140.79375</v>
      </c>
      <c r="Q192" s="3">
        <v>46140.794444444444</v>
      </c>
      <c r="R192" s="1" t="s">
        <v>982</v>
      </c>
      <c r="S192" s="1" t="s">
        <v>982</v>
      </c>
      <c r="T192" s="1" t="s">
        <v>38</v>
      </c>
      <c r="U192" s="1" t="s">
        <v>38</v>
      </c>
      <c r="V192" s="1" t="s">
        <v>75</v>
      </c>
      <c r="W192" s="1" t="s">
        <v>69</v>
      </c>
      <c r="X192" s="1" t="s">
        <v>69</v>
      </c>
      <c r="Y192" s="3">
        <v>46140.794444444444</v>
      </c>
      <c r="AA192" s="1">
        <v>1666192.0</v>
      </c>
      <c r="AB192" s="1" t="s">
        <v>983</v>
      </c>
      <c r="AC192" s="1" t="s">
        <v>984</v>
      </c>
      <c r="AD192" s="1" t="s">
        <v>985</v>
      </c>
      <c r="AE192" s="1" t="s">
        <v>55</v>
      </c>
    </row>
    <row r="193" ht="56.25" customHeight="1">
      <c r="A193" s="1">
        <v>4.5398674305549E13</v>
      </c>
      <c r="B193" s="2" t="s">
        <v>986</v>
      </c>
      <c r="C193" s="2" t="s">
        <v>987</v>
      </c>
      <c r="D193" s="1">
        <v>6.659122905485E12</v>
      </c>
      <c r="E193" s="1" t="s">
        <v>955</v>
      </c>
      <c r="F193" s="1" t="b">
        <v>0</v>
      </c>
      <c r="G193" s="1" t="s">
        <v>34</v>
      </c>
      <c r="H193" s="1" t="b">
        <v>0</v>
      </c>
      <c r="I193" s="1">
        <v>0.0</v>
      </c>
      <c r="J193" s="1">
        <v>0.0</v>
      </c>
      <c r="K193" s="1">
        <v>0.0</v>
      </c>
      <c r="L193" s="1">
        <v>3.60010221392E11</v>
      </c>
      <c r="M193" s="1" t="s">
        <v>956</v>
      </c>
      <c r="N193" s="1" t="str">
        <f t="array" ref="N193">XLOOKUP(A:A,'CategoriasSeções'!A:A,'CategoriasSeções'!B:B)</f>
        <v>Comunicados</v>
      </c>
      <c r="O193" s="1" t="s">
        <v>957</v>
      </c>
      <c r="P193" s="3">
        <v>46139.56041666667</v>
      </c>
      <c r="Q193" s="3">
        <v>46139.56041666667</v>
      </c>
      <c r="R193" s="1" t="s">
        <v>988</v>
      </c>
      <c r="S193" s="1" t="s">
        <v>988</v>
      </c>
      <c r="T193" s="1" t="s">
        <v>38</v>
      </c>
      <c r="U193" s="1" t="s">
        <v>38</v>
      </c>
      <c r="V193" s="1" t="s">
        <v>75</v>
      </c>
      <c r="W193" s="1" t="s">
        <v>69</v>
      </c>
      <c r="X193" s="1" t="s">
        <v>69</v>
      </c>
      <c r="Y193" s="3">
        <v>46139.56041666667</v>
      </c>
      <c r="AA193" s="1">
        <v>1666192.0</v>
      </c>
      <c r="AB193" s="1" t="s">
        <v>55</v>
      </c>
      <c r="AC193" s="1" t="s">
        <v>989</v>
      </c>
      <c r="AD193" s="1" t="s">
        <v>990</v>
      </c>
      <c r="AE193" s="1" t="s">
        <v>55</v>
      </c>
    </row>
    <row r="194" ht="56.25" customHeight="1">
      <c r="A194" s="1">
        <v>4.5175124069133E13</v>
      </c>
      <c r="B194" s="2" t="s">
        <v>991</v>
      </c>
      <c r="C194" s="2" t="s">
        <v>992</v>
      </c>
      <c r="D194" s="1">
        <v>6.659122905485E12</v>
      </c>
      <c r="E194" s="1" t="s">
        <v>955</v>
      </c>
      <c r="F194" s="1" t="b">
        <v>1</v>
      </c>
      <c r="G194" s="1" t="s">
        <v>47</v>
      </c>
      <c r="H194" s="1" t="b">
        <v>0</v>
      </c>
      <c r="I194" s="1">
        <v>0.0</v>
      </c>
      <c r="J194" s="1">
        <v>0.0</v>
      </c>
      <c r="K194" s="1">
        <v>0.0</v>
      </c>
      <c r="L194" s="1">
        <v>3.60010340731E11</v>
      </c>
      <c r="M194" s="1" t="s">
        <v>956</v>
      </c>
      <c r="N194" s="1" t="str">
        <f t="array" ref="N194">XLOOKUP(A:A,'CategoriasSeções'!A:A,'CategoriasSeções'!B:B)</f>
        <v>Comunicados</v>
      </c>
      <c r="O194" s="1" t="s">
        <v>981</v>
      </c>
      <c r="P194" s="3">
        <v>46129.604166666664</v>
      </c>
      <c r="Q194" s="3">
        <v>46129.604166666664</v>
      </c>
      <c r="R194" s="1" t="s">
        <v>993</v>
      </c>
      <c r="S194" s="1" t="s">
        <v>993</v>
      </c>
      <c r="T194" s="1" t="s">
        <v>38</v>
      </c>
      <c r="U194" s="1" t="s">
        <v>38</v>
      </c>
      <c r="V194" s="1" t="s">
        <v>75</v>
      </c>
      <c r="W194" s="1" t="s">
        <v>69</v>
      </c>
      <c r="X194" s="1" t="s">
        <v>69</v>
      </c>
      <c r="Y194" s="3">
        <v>46129.604166666664</v>
      </c>
      <c r="AA194" s="1">
        <v>1666192.0</v>
      </c>
      <c r="AB194" s="1" t="s">
        <v>994</v>
      </c>
      <c r="AC194" s="1" t="s">
        <v>995</v>
      </c>
      <c r="AD194" s="1" t="s">
        <v>996</v>
      </c>
      <c r="AE194" s="1" t="s">
        <v>55</v>
      </c>
    </row>
    <row r="195" ht="56.25" customHeight="1">
      <c r="A195" s="1">
        <v>4.3417777244557E13</v>
      </c>
      <c r="B195" s="2" t="s">
        <v>997</v>
      </c>
      <c r="C195" s="2" t="s">
        <v>998</v>
      </c>
      <c r="D195" s="1">
        <v>2.6605230167E10</v>
      </c>
      <c r="E195" s="1" t="s">
        <v>964</v>
      </c>
      <c r="F195" s="1" t="b">
        <v>0</v>
      </c>
      <c r="G195" s="1" t="s">
        <v>34</v>
      </c>
      <c r="H195" s="1" t="b">
        <v>0</v>
      </c>
      <c r="I195" s="1">
        <v>0.0</v>
      </c>
      <c r="J195" s="1">
        <v>0.0</v>
      </c>
      <c r="K195" s="1">
        <v>0.0</v>
      </c>
      <c r="L195" s="1">
        <v>3.60010221392E11</v>
      </c>
      <c r="M195" s="1" t="s">
        <v>956</v>
      </c>
      <c r="N195" s="1" t="str">
        <f t="array" ref="N195">XLOOKUP(A:A,'CategoriasSeções'!A:A,'CategoriasSeções'!B:B)</f>
        <v>Comunicados</v>
      </c>
      <c r="O195" s="1" t="s">
        <v>957</v>
      </c>
      <c r="P195" s="3">
        <v>46063.86597222222</v>
      </c>
      <c r="Q195" s="3">
        <v>46063.86875</v>
      </c>
      <c r="R195" s="1" t="s">
        <v>999</v>
      </c>
      <c r="S195" s="1" t="s">
        <v>999</v>
      </c>
      <c r="T195" s="1" t="s">
        <v>38</v>
      </c>
      <c r="U195" s="1" t="s">
        <v>38</v>
      </c>
      <c r="V195" s="1" t="s">
        <v>75</v>
      </c>
      <c r="W195" s="1" t="s">
        <v>69</v>
      </c>
      <c r="X195" s="1" t="s">
        <v>69</v>
      </c>
      <c r="Y195" s="3">
        <v>46063.86875</v>
      </c>
      <c r="AA195" s="1">
        <v>1666192.0</v>
      </c>
      <c r="AB195" s="1" t="s">
        <v>1000</v>
      </c>
      <c r="AC195" s="1" t="s">
        <v>1001</v>
      </c>
      <c r="AD195" s="1" t="s">
        <v>1002</v>
      </c>
      <c r="AE195" s="1" t="s">
        <v>55</v>
      </c>
    </row>
    <row r="196" ht="56.25" customHeight="1">
      <c r="A196" s="1">
        <v>4.3287279721485E13</v>
      </c>
      <c r="B196" s="2" t="s">
        <v>1003</v>
      </c>
      <c r="C196" s="2" t="s">
        <v>1004</v>
      </c>
      <c r="D196" s="1">
        <v>2.6605230167E10</v>
      </c>
      <c r="E196" s="1" t="s">
        <v>964</v>
      </c>
      <c r="F196" s="1" t="b">
        <v>0</v>
      </c>
      <c r="G196" s="1" t="s">
        <v>34</v>
      </c>
      <c r="H196" s="1" t="b">
        <v>0</v>
      </c>
      <c r="I196" s="1">
        <v>0.0</v>
      </c>
      <c r="J196" s="1">
        <v>0.0</v>
      </c>
      <c r="K196" s="1">
        <v>0.0</v>
      </c>
      <c r="L196" s="1">
        <v>3.60010340731E11</v>
      </c>
      <c r="M196" s="1" t="s">
        <v>956</v>
      </c>
      <c r="N196" s="1" t="str">
        <f t="array" ref="N196">XLOOKUP(A:A,'CategoriasSeções'!A:A,'CategoriasSeções'!B:B)</f>
        <v>Comunicados</v>
      </c>
      <c r="O196" s="1" t="s">
        <v>981</v>
      </c>
      <c r="P196" s="3">
        <v>46058.85</v>
      </c>
      <c r="Q196" s="3">
        <v>46058.85</v>
      </c>
      <c r="R196" s="1" t="s">
        <v>1005</v>
      </c>
      <c r="S196" s="1" t="s">
        <v>1005</v>
      </c>
      <c r="T196" s="1" t="s">
        <v>38</v>
      </c>
      <c r="U196" s="1" t="s">
        <v>38</v>
      </c>
      <c r="V196" s="1" t="s">
        <v>75</v>
      </c>
      <c r="W196" s="1" t="s">
        <v>69</v>
      </c>
      <c r="X196" s="1" t="s">
        <v>69</v>
      </c>
      <c r="Y196" s="3">
        <v>46058.85</v>
      </c>
      <c r="AA196" s="1">
        <v>1666192.0</v>
      </c>
      <c r="AB196" s="1" t="s">
        <v>1006</v>
      </c>
      <c r="AC196" s="1" t="s">
        <v>1007</v>
      </c>
      <c r="AD196" s="1" t="s">
        <v>1008</v>
      </c>
      <c r="AE196" s="1" t="s">
        <v>55</v>
      </c>
    </row>
    <row r="197" ht="56.25" customHeight="1">
      <c r="A197" s="1">
        <v>4.3079305437069E13</v>
      </c>
      <c r="B197" s="2" t="s">
        <v>1009</v>
      </c>
      <c r="C197" s="2" t="s">
        <v>1010</v>
      </c>
      <c r="D197" s="1">
        <v>2.6605230167E10</v>
      </c>
      <c r="E197" s="1" t="s">
        <v>964</v>
      </c>
      <c r="F197" s="1" t="b">
        <v>0</v>
      </c>
      <c r="G197" s="1" t="s">
        <v>34</v>
      </c>
      <c r="H197" s="1" t="b">
        <v>0</v>
      </c>
      <c r="I197" s="1">
        <v>0.0</v>
      </c>
      <c r="J197" s="1">
        <v>0.0</v>
      </c>
      <c r="K197" s="1">
        <v>0.0</v>
      </c>
      <c r="L197" s="1">
        <v>3.60010221392E11</v>
      </c>
      <c r="M197" s="1" t="s">
        <v>956</v>
      </c>
      <c r="N197" s="1" t="str">
        <f t="array" ref="N197">XLOOKUP(A:A,'CategoriasSeções'!A:A,'CategoriasSeções'!B:B)</f>
        <v>Comunicados</v>
      </c>
      <c r="O197" s="1" t="s">
        <v>957</v>
      </c>
      <c r="P197" s="3">
        <v>46051.74166666667</v>
      </c>
      <c r="Q197" s="3">
        <v>46063.82708333333</v>
      </c>
      <c r="R197" s="1" t="s">
        <v>1011</v>
      </c>
      <c r="S197" s="1" t="s">
        <v>1011</v>
      </c>
      <c r="T197" s="1" t="s">
        <v>38</v>
      </c>
      <c r="U197" s="1" t="s">
        <v>38</v>
      </c>
      <c r="V197" s="1" t="s">
        <v>75</v>
      </c>
      <c r="W197" s="1" t="s">
        <v>69</v>
      </c>
      <c r="X197" s="1" t="s">
        <v>69</v>
      </c>
      <c r="Y197" s="3">
        <v>46063.82708333333</v>
      </c>
      <c r="AA197" s="1">
        <v>1666192.0</v>
      </c>
      <c r="AB197" s="1" t="s">
        <v>55</v>
      </c>
      <c r="AC197" s="1" t="s">
        <v>1012</v>
      </c>
      <c r="AD197" s="1" t="s">
        <v>1013</v>
      </c>
      <c r="AE197" s="1" t="s">
        <v>55</v>
      </c>
    </row>
    <row r="198" ht="56.25" customHeight="1">
      <c r="A198" s="1">
        <v>4.1548829098765E13</v>
      </c>
      <c r="B198" s="2" t="s">
        <v>1014</v>
      </c>
      <c r="C198" s="2" t="s">
        <v>1015</v>
      </c>
      <c r="D198" s="1">
        <v>6.659122905485E12</v>
      </c>
      <c r="E198" s="1" t="s">
        <v>955</v>
      </c>
      <c r="F198" s="1" t="b">
        <v>0</v>
      </c>
      <c r="G198" s="1" t="s">
        <v>34</v>
      </c>
      <c r="H198" s="1" t="b">
        <v>0</v>
      </c>
      <c r="I198" s="1">
        <v>0.0</v>
      </c>
      <c r="J198" s="1">
        <v>0.0</v>
      </c>
      <c r="K198" s="1">
        <v>0.0</v>
      </c>
      <c r="L198" s="1">
        <v>3.60010340731E11</v>
      </c>
      <c r="M198" s="1" t="s">
        <v>956</v>
      </c>
      <c r="N198" s="1" t="str">
        <f t="array" ref="N198">XLOOKUP(A:A,'CategoriasSeções'!A:A,'CategoriasSeções'!B:B)</f>
        <v>Comunicados</v>
      </c>
      <c r="O198" s="1" t="s">
        <v>981</v>
      </c>
      <c r="P198" s="3">
        <v>45992.50902777778</v>
      </c>
      <c r="Q198" s="3">
        <v>45992.509722222225</v>
      </c>
      <c r="R198" s="1" t="s">
        <v>1016</v>
      </c>
      <c r="S198" s="1" t="s">
        <v>1016</v>
      </c>
      <c r="T198" s="1" t="s">
        <v>38</v>
      </c>
      <c r="U198" s="1" t="s">
        <v>38</v>
      </c>
      <c r="V198" s="1" t="s">
        <v>75</v>
      </c>
      <c r="W198" s="1" t="s">
        <v>69</v>
      </c>
      <c r="X198" s="1" t="s">
        <v>69</v>
      </c>
      <c r="Y198" s="3">
        <v>45992.509722222225</v>
      </c>
      <c r="AA198" s="1">
        <v>1666192.0</v>
      </c>
      <c r="AB198" s="1" t="s">
        <v>1017</v>
      </c>
      <c r="AC198" s="1" t="s">
        <v>1018</v>
      </c>
      <c r="AD198" s="1" t="s">
        <v>1019</v>
      </c>
      <c r="AE198" s="1" t="s">
        <v>55</v>
      </c>
    </row>
    <row r="199" ht="56.25" customHeight="1">
      <c r="A199" s="1">
        <v>4.1200958123533E13</v>
      </c>
      <c r="B199" s="2" t="s">
        <v>1020</v>
      </c>
      <c r="C199" s="2" t="s">
        <v>1021</v>
      </c>
      <c r="D199" s="1">
        <v>6.659122905485E12</v>
      </c>
      <c r="E199" s="1" t="s">
        <v>955</v>
      </c>
      <c r="F199" s="1" t="b">
        <v>0</v>
      </c>
      <c r="G199" s="1" t="s">
        <v>34</v>
      </c>
      <c r="H199" s="1" t="b">
        <v>0</v>
      </c>
      <c r="I199" s="1">
        <v>0.0</v>
      </c>
      <c r="J199" s="1">
        <v>0.0</v>
      </c>
      <c r="K199" s="1">
        <v>0.0</v>
      </c>
      <c r="L199" s="1">
        <v>3.60010221392E11</v>
      </c>
      <c r="M199" s="1" t="s">
        <v>956</v>
      </c>
      <c r="N199" s="1" t="str">
        <f t="array" ref="N199">XLOOKUP(A:A,'CategoriasSeções'!A:A,'CategoriasSeções'!B:B)</f>
        <v>Comunicados</v>
      </c>
      <c r="O199" s="1" t="s">
        <v>957</v>
      </c>
      <c r="P199" s="12">
        <v>45978.65277777778</v>
      </c>
      <c r="Q199" s="12">
        <v>45978.65277777778</v>
      </c>
      <c r="R199" s="1" t="s">
        <v>1022</v>
      </c>
      <c r="S199" s="1" t="s">
        <v>1022</v>
      </c>
      <c r="T199" s="1" t="s">
        <v>38</v>
      </c>
      <c r="U199" s="1" t="s">
        <v>38</v>
      </c>
      <c r="V199" s="1" t="s">
        <v>75</v>
      </c>
      <c r="W199" s="1" t="s">
        <v>69</v>
      </c>
      <c r="X199" s="1" t="s">
        <v>69</v>
      </c>
      <c r="Y199" s="12">
        <v>45978.65277777778</v>
      </c>
      <c r="AA199" s="1">
        <v>1666192.0</v>
      </c>
      <c r="AB199" s="1" t="s">
        <v>1023</v>
      </c>
      <c r="AC199" s="1" t="s">
        <v>1024</v>
      </c>
      <c r="AD199" s="1" t="s">
        <v>1025</v>
      </c>
      <c r="AE199" s="1" t="s">
        <v>55</v>
      </c>
    </row>
    <row r="200" ht="56.25" customHeight="1">
      <c r="A200" s="1">
        <v>4.1200676487309E13</v>
      </c>
      <c r="B200" s="2" t="s">
        <v>1026</v>
      </c>
      <c r="C200" s="2" t="s">
        <v>1027</v>
      </c>
      <c r="D200" s="1">
        <v>6.659122905485E12</v>
      </c>
      <c r="E200" s="1" t="s">
        <v>955</v>
      </c>
      <c r="F200" s="1" t="b">
        <v>0</v>
      </c>
      <c r="G200" s="1" t="s">
        <v>34</v>
      </c>
      <c r="H200" s="1" t="b">
        <v>0</v>
      </c>
      <c r="I200" s="1">
        <v>0.0</v>
      </c>
      <c r="J200" s="1">
        <v>0.0</v>
      </c>
      <c r="K200" s="1">
        <v>0.0</v>
      </c>
      <c r="L200" s="1">
        <v>3.60010221392E11</v>
      </c>
      <c r="M200" s="1" t="s">
        <v>956</v>
      </c>
      <c r="N200" s="1" t="str">
        <f t="array" ref="N200">XLOOKUP(A:A,'CategoriasSeções'!A:A,'CategoriasSeções'!B:B)</f>
        <v>Comunicados</v>
      </c>
      <c r="O200" s="1" t="s">
        <v>957</v>
      </c>
      <c r="P200" s="12">
        <v>45978.646527777775</v>
      </c>
      <c r="Q200" s="12">
        <v>45978.646527777775</v>
      </c>
      <c r="R200" s="1" t="s">
        <v>1028</v>
      </c>
      <c r="S200" s="1" t="s">
        <v>1028</v>
      </c>
      <c r="T200" s="1" t="s">
        <v>38</v>
      </c>
      <c r="U200" s="1" t="s">
        <v>38</v>
      </c>
      <c r="V200" s="1" t="s">
        <v>75</v>
      </c>
      <c r="W200" s="1" t="s">
        <v>69</v>
      </c>
      <c r="X200" s="1" t="s">
        <v>69</v>
      </c>
      <c r="Y200" s="12">
        <v>45978.646527777775</v>
      </c>
      <c r="AA200" s="1">
        <v>1666192.0</v>
      </c>
      <c r="AB200" s="1" t="s">
        <v>1029</v>
      </c>
      <c r="AC200" s="1" t="s">
        <v>1030</v>
      </c>
      <c r="AD200" s="1" t="s">
        <v>1031</v>
      </c>
      <c r="AE200" s="1" t="s">
        <v>55</v>
      </c>
    </row>
    <row r="201" ht="56.25" customHeight="1">
      <c r="A201" s="1">
        <v>4.1200449568653E13</v>
      </c>
      <c r="B201" s="2" t="s">
        <v>1032</v>
      </c>
      <c r="C201" s="2" t="s">
        <v>1033</v>
      </c>
      <c r="D201" s="1">
        <v>6.659122905485E12</v>
      </c>
      <c r="E201" s="1" t="s">
        <v>955</v>
      </c>
      <c r="F201" s="1" t="b">
        <v>0</v>
      </c>
      <c r="G201" s="1" t="s">
        <v>34</v>
      </c>
      <c r="H201" s="1" t="b">
        <v>0</v>
      </c>
      <c r="I201" s="1">
        <v>0.0</v>
      </c>
      <c r="J201" s="1">
        <v>0.0</v>
      </c>
      <c r="K201" s="1">
        <v>0.0</v>
      </c>
      <c r="L201" s="1">
        <v>3.60010340731E11</v>
      </c>
      <c r="M201" s="1" t="s">
        <v>956</v>
      </c>
      <c r="N201" s="1" t="str">
        <f t="array" ref="N201">XLOOKUP(A:A,'CategoriasSeções'!A:A,'CategoriasSeções'!B:B)</f>
        <v>Comunicados</v>
      </c>
      <c r="O201" s="1" t="s">
        <v>981</v>
      </c>
      <c r="P201" s="12">
        <v>45978.64236111111</v>
      </c>
      <c r="Q201" s="12">
        <v>45978.64375</v>
      </c>
      <c r="R201" s="1" t="s">
        <v>1034</v>
      </c>
      <c r="S201" s="1" t="s">
        <v>1034</v>
      </c>
      <c r="T201" s="1" t="s">
        <v>38</v>
      </c>
      <c r="U201" s="1" t="s">
        <v>38</v>
      </c>
      <c r="V201" s="1" t="s">
        <v>75</v>
      </c>
      <c r="W201" s="1" t="s">
        <v>69</v>
      </c>
      <c r="X201" s="1" t="s">
        <v>69</v>
      </c>
      <c r="Y201" s="12">
        <v>45978.643055555556</v>
      </c>
      <c r="AA201" s="1">
        <v>1666192.0</v>
      </c>
      <c r="AB201" s="1" t="s">
        <v>1035</v>
      </c>
      <c r="AC201" s="1" t="s">
        <v>1036</v>
      </c>
      <c r="AD201" s="1" t="s">
        <v>1037</v>
      </c>
      <c r="AE201" s="1" t="s">
        <v>55</v>
      </c>
    </row>
    <row r="202" ht="56.25" customHeight="1">
      <c r="A202" s="1">
        <v>4.0886099111565E13</v>
      </c>
      <c r="B202" s="2" t="s">
        <v>1038</v>
      </c>
      <c r="C202" s="2" t="s">
        <v>1039</v>
      </c>
      <c r="D202" s="1">
        <v>6.659122905485E12</v>
      </c>
      <c r="E202" s="1" t="s">
        <v>955</v>
      </c>
      <c r="F202" s="1" t="b">
        <v>0</v>
      </c>
      <c r="G202" s="1" t="s">
        <v>34</v>
      </c>
      <c r="H202" s="1" t="b">
        <v>0</v>
      </c>
      <c r="I202" s="1">
        <v>0.0</v>
      </c>
      <c r="J202" s="1">
        <v>0.0</v>
      </c>
      <c r="K202" s="1">
        <v>0.0</v>
      </c>
      <c r="L202" s="1">
        <v>3.60010221392E11</v>
      </c>
      <c r="M202" s="1" t="s">
        <v>956</v>
      </c>
      <c r="N202" s="1" t="str">
        <f t="array" ref="N202">XLOOKUP(A:A,'CategoriasSeções'!A:A,'CategoriasSeções'!B:B)</f>
        <v>Comunicados</v>
      </c>
      <c r="O202" s="1" t="s">
        <v>957</v>
      </c>
      <c r="P202" s="3">
        <v>45966.475</v>
      </c>
      <c r="Q202" s="3">
        <v>45966.475</v>
      </c>
      <c r="R202" s="1" t="s">
        <v>1040</v>
      </c>
      <c r="S202" s="1" t="s">
        <v>1040</v>
      </c>
      <c r="T202" s="1" t="s">
        <v>38</v>
      </c>
      <c r="U202" s="1" t="s">
        <v>38</v>
      </c>
      <c r="V202" s="1" t="s">
        <v>75</v>
      </c>
      <c r="W202" s="1" t="s">
        <v>69</v>
      </c>
      <c r="X202" s="1" t="s">
        <v>69</v>
      </c>
      <c r="Y202" s="3">
        <v>45966.475</v>
      </c>
      <c r="AA202" s="1">
        <v>1666192.0</v>
      </c>
      <c r="AB202" s="1" t="s">
        <v>1041</v>
      </c>
      <c r="AC202" s="1" t="s">
        <v>1042</v>
      </c>
      <c r="AD202" s="1" t="s">
        <v>1043</v>
      </c>
      <c r="AE202" s="1" t="s">
        <v>55</v>
      </c>
    </row>
    <row r="203" ht="56.25" customHeight="1">
      <c r="A203" s="1">
        <v>3.9657211014157E13</v>
      </c>
      <c r="B203" s="2" t="s">
        <v>1044</v>
      </c>
      <c r="C203" s="2" t="s">
        <v>1045</v>
      </c>
      <c r="D203" s="1">
        <v>2.6605230167E10</v>
      </c>
      <c r="E203" s="1" t="s">
        <v>964</v>
      </c>
      <c r="F203" s="1" t="b">
        <v>0</v>
      </c>
      <c r="G203" s="1" t="s">
        <v>34</v>
      </c>
      <c r="H203" s="1" t="b">
        <v>0</v>
      </c>
      <c r="I203" s="1">
        <v>0.0</v>
      </c>
      <c r="J203" s="1">
        <v>0.0</v>
      </c>
      <c r="K203" s="1">
        <v>0.0</v>
      </c>
      <c r="L203" s="1">
        <v>3.60010221392E11</v>
      </c>
      <c r="M203" s="1" t="s">
        <v>956</v>
      </c>
      <c r="N203" s="1" t="str">
        <f t="array" ref="N203">XLOOKUP(A:A,'CategoriasSeções'!A:A,'CategoriasSeções'!B:B)</f>
        <v>Comunicados</v>
      </c>
      <c r="O203" s="1" t="s">
        <v>957</v>
      </c>
      <c r="P203" s="3">
        <v>45917.87777777778</v>
      </c>
      <c r="Q203" s="3">
        <v>45917.87847222222</v>
      </c>
      <c r="R203" s="1" t="s">
        <v>1046</v>
      </c>
      <c r="S203" s="1" t="s">
        <v>1046</v>
      </c>
      <c r="T203" s="1" t="s">
        <v>38</v>
      </c>
      <c r="U203" s="1" t="s">
        <v>38</v>
      </c>
      <c r="V203" s="1" t="s">
        <v>75</v>
      </c>
      <c r="W203" s="1" t="s">
        <v>69</v>
      </c>
      <c r="X203" s="1" t="s">
        <v>69</v>
      </c>
      <c r="Y203" s="3">
        <v>45917.87847222222</v>
      </c>
      <c r="AA203" s="1">
        <v>1666192.0</v>
      </c>
      <c r="AB203" s="1" t="s">
        <v>55</v>
      </c>
      <c r="AC203" s="1" t="s">
        <v>55</v>
      </c>
      <c r="AD203" s="1" t="s">
        <v>1047</v>
      </c>
      <c r="AE203" s="1" t="s">
        <v>55</v>
      </c>
    </row>
    <row r="204" ht="56.25" customHeight="1">
      <c r="A204" s="1">
        <v>3.9656940905229E13</v>
      </c>
      <c r="B204" s="2" t="s">
        <v>1048</v>
      </c>
      <c r="C204" s="2" t="s">
        <v>1049</v>
      </c>
      <c r="D204" s="1">
        <v>2.6605230167E10</v>
      </c>
      <c r="E204" s="1" t="s">
        <v>964</v>
      </c>
      <c r="F204" s="1" t="b">
        <v>0</v>
      </c>
      <c r="G204" s="1" t="s">
        <v>34</v>
      </c>
      <c r="H204" s="1" t="b">
        <v>0</v>
      </c>
      <c r="I204" s="1">
        <v>0.0</v>
      </c>
      <c r="J204" s="1">
        <v>0.0</v>
      </c>
      <c r="K204" s="1">
        <v>0.0</v>
      </c>
      <c r="L204" s="1">
        <v>3.60010340731E11</v>
      </c>
      <c r="M204" s="1" t="s">
        <v>956</v>
      </c>
      <c r="N204" s="1" t="str">
        <f t="array" ref="N204">XLOOKUP(A:A,'CategoriasSeções'!A:A,'CategoriasSeções'!B:B)</f>
        <v>Comunicados</v>
      </c>
      <c r="O204" s="1" t="s">
        <v>981</v>
      </c>
      <c r="P204" s="3">
        <v>45917.87222222222</v>
      </c>
      <c r="Q204" s="3">
        <v>45917.873611111114</v>
      </c>
      <c r="R204" s="1" t="s">
        <v>1050</v>
      </c>
      <c r="S204" s="1" t="s">
        <v>1050</v>
      </c>
      <c r="T204" s="1" t="s">
        <v>38</v>
      </c>
      <c r="U204" s="1" t="s">
        <v>38</v>
      </c>
      <c r="V204" s="1" t="s">
        <v>75</v>
      </c>
      <c r="W204" s="1" t="s">
        <v>69</v>
      </c>
      <c r="X204" s="1" t="s">
        <v>69</v>
      </c>
      <c r="Y204" s="3">
        <v>45917.87222222222</v>
      </c>
      <c r="AA204" s="1">
        <v>1666192.0</v>
      </c>
      <c r="AB204" s="1" t="s">
        <v>1051</v>
      </c>
      <c r="AC204" s="1" t="s">
        <v>1052</v>
      </c>
      <c r="AD204" s="1" t="s">
        <v>1053</v>
      </c>
      <c r="AE204" s="1" t="s">
        <v>55</v>
      </c>
    </row>
    <row r="205" ht="56.25" customHeight="1">
      <c r="A205" s="1">
        <v>3.9406117531405E13</v>
      </c>
      <c r="B205" s="2" t="s">
        <v>1054</v>
      </c>
      <c r="C205" s="2" t="s">
        <v>1055</v>
      </c>
      <c r="D205" s="1">
        <v>6.659122905485E12</v>
      </c>
      <c r="E205" s="1" t="s">
        <v>955</v>
      </c>
      <c r="F205" s="1" t="b">
        <v>0</v>
      </c>
      <c r="G205" s="1" t="s">
        <v>34</v>
      </c>
      <c r="H205" s="1" t="b">
        <v>1</v>
      </c>
      <c r="I205" s="1">
        <v>0.0</v>
      </c>
      <c r="J205" s="1">
        <v>0.0</v>
      </c>
      <c r="K205" s="1">
        <v>0.0</v>
      </c>
      <c r="L205" s="1">
        <v>3.60010221392E11</v>
      </c>
      <c r="M205" s="1" t="s">
        <v>956</v>
      </c>
      <c r="N205" s="1" t="str">
        <f t="array" ref="N205">XLOOKUP(A:A,'CategoriasSeções'!A:A,'CategoriasSeções'!B:B)</f>
        <v>Comunicados</v>
      </c>
      <c r="O205" s="1" t="s">
        <v>957</v>
      </c>
      <c r="P205" s="3">
        <v>45908.65972222222</v>
      </c>
      <c r="Q205" s="3">
        <v>45908.66180555556</v>
      </c>
      <c r="R205" s="1" t="s">
        <v>1056</v>
      </c>
      <c r="S205" s="1" t="s">
        <v>1056</v>
      </c>
      <c r="T205" s="1" t="s">
        <v>38</v>
      </c>
      <c r="U205" s="1" t="s">
        <v>38</v>
      </c>
      <c r="V205" s="1" t="s">
        <v>75</v>
      </c>
      <c r="W205" s="1" t="s">
        <v>69</v>
      </c>
      <c r="X205" s="1" t="s">
        <v>69</v>
      </c>
      <c r="Y205" s="3">
        <v>45908.66180555556</v>
      </c>
      <c r="AA205" s="1">
        <v>1666192.0</v>
      </c>
      <c r="AB205" s="1" t="s">
        <v>1057</v>
      </c>
      <c r="AC205" s="1" t="s">
        <v>1058</v>
      </c>
      <c r="AD205" s="1" t="s">
        <v>1059</v>
      </c>
      <c r="AE205" s="1" t="s">
        <v>55</v>
      </c>
    </row>
    <row r="206" ht="56.25" customHeight="1">
      <c r="A206" s="1">
        <v>3.8085354542221E13</v>
      </c>
      <c r="B206" s="2" t="s">
        <v>1060</v>
      </c>
      <c r="C206" s="2" t="s">
        <v>1061</v>
      </c>
      <c r="D206" s="1">
        <v>2.6605230167E10</v>
      </c>
      <c r="E206" s="1" t="s">
        <v>964</v>
      </c>
      <c r="F206" s="1" t="b">
        <v>0</v>
      </c>
      <c r="G206" s="1" t="s">
        <v>34</v>
      </c>
      <c r="H206" s="1" t="b">
        <v>0</v>
      </c>
      <c r="I206" s="1">
        <v>0.0</v>
      </c>
      <c r="J206" s="1">
        <v>0.0</v>
      </c>
      <c r="K206" s="1">
        <v>0.0</v>
      </c>
      <c r="L206" s="1">
        <v>3.60007284792E11</v>
      </c>
      <c r="M206" s="1" t="s">
        <v>956</v>
      </c>
      <c r="N206" s="1" t="str">
        <f t="array" ref="N206">XLOOKUP(A:A,'CategoriasSeções'!A:A,'CategoriasSeções'!B:B)</f>
        <v>EXPORTAÇÃO - CABOTAGEM</v>
      </c>
      <c r="O206" s="1" t="s">
        <v>1062</v>
      </c>
      <c r="P206" s="3">
        <v>45853.85625</v>
      </c>
      <c r="Q206" s="3">
        <v>45853.85625</v>
      </c>
      <c r="R206" s="1" t="s">
        <v>1063</v>
      </c>
      <c r="S206" s="1" t="s">
        <v>1063</v>
      </c>
      <c r="T206" s="1" t="s">
        <v>38</v>
      </c>
      <c r="U206" s="1" t="s">
        <v>38</v>
      </c>
      <c r="V206" s="1" t="s">
        <v>75</v>
      </c>
      <c r="W206" s="1" t="s">
        <v>69</v>
      </c>
      <c r="X206" s="1" t="s">
        <v>69</v>
      </c>
      <c r="Y206" s="3">
        <v>45853.85625</v>
      </c>
      <c r="AA206" s="1">
        <v>1666192.0</v>
      </c>
      <c r="AB206" s="1" t="s">
        <v>1064</v>
      </c>
      <c r="AC206" s="1" t="s">
        <v>1065</v>
      </c>
      <c r="AD206" s="1" t="s">
        <v>1066</v>
      </c>
      <c r="AE206" s="1" t="s">
        <v>55</v>
      </c>
    </row>
    <row r="207" ht="56.25" customHeight="1">
      <c r="A207" s="1">
        <v>3.7649625863565E13</v>
      </c>
      <c r="B207" s="2" t="s">
        <v>1067</v>
      </c>
      <c r="C207" s="2" t="s">
        <v>1068</v>
      </c>
      <c r="D207" s="1">
        <v>2.6605230167E10</v>
      </c>
      <c r="E207" s="1" t="s">
        <v>964</v>
      </c>
      <c r="F207" s="1" t="b">
        <v>0</v>
      </c>
      <c r="G207" s="1" t="s">
        <v>34</v>
      </c>
      <c r="H207" s="1" t="b">
        <v>0</v>
      </c>
      <c r="I207" s="1">
        <v>0.0</v>
      </c>
      <c r="J207" s="1">
        <v>0.0</v>
      </c>
      <c r="K207" s="1">
        <v>0.0</v>
      </c>
      <c r="L207" s="1">
        <v>3.60010221392E11</v>
      </c>
      <c r="M207" s="1" t="s">
        <v>956</v>
      </c>
      <c r="N207" s="1" t="str">
        <f t="array" ref="N207">XLOOKUP(A:A,'CategoriasSeções'!A:A,'CategoriasSeções'!B:B)</f>
        <v>Comunicados</v>
      </c>
      <c r="O207" s="1" t="s">
        <v>957</v>
      </c>
      <c r="P207" s="3">
        <v>45834.7875</v>
      </c>
      <c r="Q207" s="3">
        <v>45834.79027777778</v>
      </c>
      <c r="R207" s="1" t="s">
        <v>1069</v>
      </c>
      <c r="S207" s="1" t="s">
        <v>1069</v>
      </c>
      <c r="T207" s="1" t="s">
        <v>38</v>
      </c>
      <c r="U207" s="1" t="s">
        <v>38</v>
      </c>
      <c r="V207" s="1" t="s">
        <v>75</v>
      </c>
      <c r="W207" s="1" t="s">
        <v>69</v>
      </c>
      <c r="X207" s="1" t="s">
        <v>69</v>
      </c>
      <c r="Y207" s="3">
        <v>45834.79027777778</v>
      </c>
      <c r="AA207" s="1">
        <v>1666192.0</v>
      </c>
      <c r="AB207" s="1" t="s">
        <v>1070</v>
      </c>
      <c r="AC207" s="1" t="s">
        <v>1071</v>
      </c>
      <c r="AD207" s="1" t="s">
        <v>1072</v>
      </c>
      <c r="AE207" s="1" t="s">
        <v>55</v>
      </c>
    </row>
    <row r="208" ht="56.25" customHeight="1">
      <c r="A208" s="1">
        <v>3.5458668968205E13</v>
      </c>
      <c r="B208" s="2" t="s">
        <v>1073</v>
      </c>
      <c r="C208" s="2" t="s">
        <v>1074</v>
      </c>
      <c r="D208" s="1">
        <v>2.6605230167E10</v>
      </c>
      <c r="E208" s="1" t="s">
        <v>964</v>
      </c>
      <c r="F208" s="1" t="b">
        <v>0</v>
      </c>
      <c r="G208" s="1" t="s">
        <v>34</v>
      </c>
      <c r="H208" s="1" t="b">
        <v>0</v>
      </c>
      <c r="I208" s="1">
        <v>0.0</v>
      </c>
      <c r="J208" s="1">
        <v>0.0</v>
      </c>
      <c r="K208" s="1">
        <v>0.0</v>
      </c>
      <c r="L208" s="1">
        <v>3.60010340731E11</v>
      </c>
      <c r="M208" s="1" t="s">
        <v>956</v>
      </c>
      <c r="N208" s="1" t="str">
        <f t="array" ref="N208">XLOOKUP(A:A,'CategoriasSeções'!A:A,'CategoriasSeções'!B:B)</f>
        <v>Comunicados</v>
      </c>
      <c r="O208" s="1" t="s">
        <v>981</v>
      </c>
      <c r="P208" s="3">
        <v>45747.73263888889</v>
      </c>
      <c r="Q208" s="3">
        <v>45747.73333333333</v>
      </c>
      <c r="R208" s="1" t="s">
        <v>1075</v>
      </c>
      <c r="S208" s="1" t="s">
        <v>1075</v>
      </c>
      <c r="T208" s="1" t="s">
        <v>38</v>
      </c>
      <c r="U208" s="1" t="s">
        <v>38</v>
      </c>
      <c r="V208" s="1" t="s">
        <v>75</v>
      </c>
      <c r="W208" s="1" t="s">
        <v>69</v>
      </c>
      <c r="X208" s="1" t="s">
        <v>69</v>
      </c>
      <c r="Y208" s="3">
        <v>45747.73333333333</v>
      </c>
      <c r="AA208" s="1">
        <v>1666192.0</v>
      </c>
      <c r="AB208" s="1" t="s">
        <v>1051</v>
      </c>
      <c r="AC208" s="1" t="s">
        <v>1076</v>
      </c>
      <c r="AD208" s="1" t="s">
        <v>1077</v>
      </c>
      <c r="AE208" s="1" t="s">
        <v>55</v>
      </c>
    </row>
    <row r="209" ht="56.25" customHeight="1">
      <c r="A209" s="1">
        <v>3.5219054400013E13</v>
      </c>
      <c r="B209" s="2" t="s">
        <v>1078</v>
      </c>
      <c r="C209" s="2" t="s">
        <v>1079</v>
      </c>
      <c r="D209" s="1">
        <v>2.6605230167E10</v>
      </c>
      <c r="E209" s="1" t="s">
        <v>964</v>
      </c>
      <c r="F209" s="1" t="b">
        <v>0</v>
      </c>
      <c r="G209" s="1" t="s">
        <v>34</v>
      </c>
      <c r="H209" s="1" t="b">
        <v>0</v>
      </c>
      <c r="I209" s="1">
        <v>0.0</v>
      </c>
      <c r="J209" s="1">
        <v>0.0</v>
      </c>
      <c r="K209" s="1">
        <v>0.0</v>
      </c>
      <c r="L209" s="1">
        <v>3.60010221392E11</v>
      </c>
      <c r="M209" s="1" t="s">
        <v>956</v>
      </c>
      <c r="N209" s="1" t="str">
        <f t="array" ref="N209">XLOOKUP(A:A,'CategoriasSeções'!A:A,'CategoriasSeções'!B:B)</f>
        <v>Comunicados</v>
      </c>
      <c r="O209" s="1" t="s">
        <v>957</v>
      </c>
      <c r="P209" s="3">
        <v>45737.83611111111</v>
      </c>
      <c r="Q209" s="3">
        <v>45737.83611111111</v>
      </c>
      <c r="R209" s="1" t="s">
        <v>1080</v>
      </c>
      <c r="S209" s="1" t="s">
        <v>1080</v>
      </c>
      <c r="T209" s="1" t="s">
        <v>38</v>
      </c>
      <c r="U209" s="1" t="s">
        <v>38</v>
      </c>
      <c r="V209" s="1" t="s">
        <v>75</v>
      </c>
      <c r="W209" s="1" t="s">
        <v>69</v>
      </c>
      <c r="X209" s="1" t="s">
        <v>69</v>
      </c>
      <c r="Y209" s="3">
        <v>45737.83611111111</v>
      </c>
      <c r="AA209" s="1">
        <v>1666192.0</v>
      </c>
      <c r="AB209" s="1" t="s">
        <v>1081</v>
      </c>
      <c r="AC209" s="1" t="s">
        <v>1082</v>
      </c>
      <c r="AD209" s="1" t="s">
        <v>1083</v>
      </c>
      <c r="AE209" s="1" t="s">
        <v>55</v>
      </c>
    </row>
    <row r="210" ht="56.25" customHeight="1">
      <c r="A210" s="1">
        <v>3.4977454727309E13</v>
      </c>
      <c r="B210" s="2" t="s">
        <v>1084</v>
      </c>
      <c r="C210" s="2" t="s">
        <v>1085</v>
      </c>
      <c r="D210" s="1">
        <v>2.6605230167E10</v>
      </c>
      <c r="E210" s="1" t="s">
        <v>964</v>
      </c>
      <c r="F210" s="1" t="b">
        <v>0</v>
      </c>
      <c r="G210" s="1" t="s">
        <v>34</v>
      </c>
      <c r="H210" s="1" t="b">
        <v>0</v>
      </c>
      <c r="I210" s="1">
        <v>0.0</v>
      </c>
      <c r="J210" s="1">
        <v>0.0</v>
      </c>
      <c r="K210" s="1">
        <v>0.0</v>
      </c>
      <c r="L210" s="1">
        <v>3.60010221392E11</v>
      </c>
      <c r="M210" s="1" t="s">
        <v>956</v>
      </c>
      <c r="N210" s="1" t="str">
        <f t="array" ref="N210">XLOOKUP(A:A,'CategoriasSeções'!A:A,'CategoriasSeções'!B:B)</f>
        <v>Comunicados</v>
      </c>
      <c r="O210" s="1" t="s">
        <v>957</v>
      </c>
      <c r="P210" s="3">
        <v>45729.48263888889</v>
      </c>
      <c r="Q210" s="3">
        <v>45729.48263888889</v>
      </c>
      <c r="R210" s="1" t="s">
        <v>1086</v>
      </c>
      <c r="S210" s="1" t="s">
        <v>1086</v>
      </c>
      <c r="T210" s="1" t="s">
        <v>38</v>
      </c>
      <c r="U210" s="1" t="s">
        <v>38</v>
      </c>
      <c r="V210" s="1" t="s">
        <v>75</v>
      </c>
      <c r="W210" s="1" t="s">
        <v>69</v>
      </c>
      <c r="X210" s="1" t="s">
        <v>69</v>
      </c>
      <c r="Y210" s="3">
        <v>45729.48263888889</v>
      </c>
      <c r="AA210" s="1">
        <v>1666192.0</v>
      </c>
      <c r="AB210" s="1" t="s">
        <v>1087</v>
      </c>
      <c r="AC210" s="1" t="s">
        <v>1088</v>
      </c>
      <c r="AD210" s="1" t="s">
        <v>1089</v>
      </c>
      <c r="AE210" s="1" t="s">
        <v>55</v>
      </c>
    </row>
    <row r="211" ht="56.25" customHeight="1">
      <c r="A211" s="1">
        <v>3.4533744033293E13</v>
      </c>
      <c r="B211" s="2" t="s">
        <v>1090</v>
      </c>
      <c r="C211" s="2" t="s">
        <v>1091</v>
      </c>
      <c r="D211" s="1">
        <v>2.6605230167E10</v>
      </c>
      <c r="E211" s="1" t="s">
        <v>964</v>
      </c>
      <c r="F211" s="1" t="b">
        <v>0</v>
      </c>
      <c r="G211" s="1" t="s">
        <v>34</v>
      </c>
      <c r="H211" s="1" t="b">
        <v>0</v>
      </c>
      <c r="I211" s="1">
        <v>0.0</v>
      </c>
      <c r="J211" s="1">
        <v>0.0</v>
      </c>
      <c r="K211" s="1">
        <v>0.0</v>
      </c>
      <c r="L211" s="1">
        <v>3.60007950691E11</v>
      </c>
      <c r="M211" s="1" t="s">
        <v>956</v>
      </c>
      <c r="N211" s="1" t="str">
        <f t="array" ref="N211">XLOOKUP(A:A,'CategoriasSeções'!A:A,'CategoriasSeções'!B:B)</f>
        <v>Agendamentos</v>
      </c>
      <c r="O211" s="1" t="s">
        <v>85</v>
      </c>
      <c r="P211" s="3">
        <v>45713.42083333333</v>
      </c>
      <c r="Q211" s="3">
        <v>45713.42152777778</v>
      </c>
      <c r="R211" s="1" t="s">
        <v>1092</v>
      </c>
      <c r="S211" s="1" t="s">
        <v>1092</v>
      </c>
      <c r="T211" s="1" t="s">
        <v>38</v>
      </c>
      <c r="U211" s="1" t="s">
        <v>38</v>
      </c>
      <c r="V211" s="1" t="s">
        <v>75</v>
      </c>
      <c r="W211" s="1" t="s">
        <v>69</v>
      </c>
      <c r="X211" s="1" t="s">
        <v>69</v>
      </c>
      <c r="Y211" s="3">
        <v>45713.42152777778</v>
      </c>
      <c r="AA211" s="1">
        <v>1666192.0</v>
      </c>
      <c r="AB211" s="1" t="s">
        <v>1093</v>
      </c>
      <c r="AC211" s="1" t="s">
        <v>1094</v>
      </c>
      <c r="AD211" s="1" t="s">
        <v>1095</v>
      </c>
      <c r="AE211" s="1" t="s">
        <v>55</v>
      </c>
    </row>
    <row r="212" ht="56.25" customHeight="1">
      <c r="A212" s="1">
        <v>3.2788615559437E13</v>
      </c>
      <c r="B212" s="2" t="s">
        <v>1096</v>
      </c>
      <c r="C212" s="2" t="s">
        <v>1097</v>
      </c>
      <c r="D212" s="1">
        <v>2.6605230167E10</v>
      </c>
      <c r="E212" s="1" t="s">
        <v>964</v>
      </c>
      <c r="F212" s="1" t="b">
        <v>1</v>
      </c>
      <c r="G212" s="1" t="s">
        <v>47</v>
      </c>
      <c r="H212" s="1" t="b">
        <v>0</v>
      </c>
      <c r="I212" s="1">
        <v>0.0</v>
      </c>
      <c r="J212" s="1">
        <v>0.0</v>
      </c>
      <c r="K212" s="1">
        <v>0.0</v>
      </c>
      <c r="L212" s="1">
        <v>3.60010221392E11</v>
      </c>
      <c r="M212" s="1" t="s">
        <v>956</v>
      </c>
      <c r="N212" s="1" t="str">
        <f t="array" ref="N212">XLOOKUP(A:A,'CategoriasSeções'!A:A,'CategoriasSeções'!B:B)</f>
        <v>Comunicados</v>
      </c>
      <c r="O212" s="1" t="s">
        <v>957</v>
      </c>
      <c r="P212" s="12">
        <v>45643.58263888889</v>
      </c>
      <c r="Q212" s="12">
        <v>45643.583333333336</v>
      </c>
      <c r="R212" s="1" t="s">
        <v>1098</v>
      </c>
      <c r="S212" s="1" t="s">
        <v>1098</v>
      </c>
      <c r="T212" s="1" t="s">
        <v>38</v>
      </c>
      <c r="U212" s="1" t="s">
        <v>38</v>
      </c>
      <c r="V212" s="1" t="s">
        <v>75</v>
      </c>
      <c r="W212" s="1" t="s">
        <v>69</v>
      </c>
      <c r="X212" s="1" t="s">
        <v>69</v>
      </c>
      <c r="Y212" s="12">
        <v>45643.583333333336</v>
      </c>
      <c r="AA212" s="1">
        <v>1666192.0</v>
      </c>
      <c r="AB212" s="1" t="s">
        <v>1099</v>
      </c>
      <c r="AC212" s="1" t="s">
        <v>55</v>
      </c>
      <c r="AD212" s="1" t="s">
        <v>1100</v>
      </c>
      <c r="AE212" s="1" t="s">
        <v>55</v>
      </c>
    </row>
    <row r="213" ht="56.25" customHeight="1">
      <c r="A213" s="1">
        <v>3.2765029645453E13</v>
      </c>
      <c r="B213" s="2" t="s">
        <v>1101</v>
      </c>
      <c r="C213" s="2" t="s">
        <v>1102</v>
      </c>
      <c r="D213" s="1">
        <v>6.659122905485E12</v>
      </c>
      <c r="E213" s="1" t="s">
        <v>955</v>
      </c>
      <c r="F213" s="1" t="b">
        <v>0</v>
      </c>
      <c r="G213" s="1" t="s">
        <v>34</v>
      </c>
      <c r="H213" s="1" t="b">
        <v>0</v>
      </c>
      <c r="I213" s="1">
        <v>0.0</v>
      </c>
      <c r="J213" s="1">
        <v>0.0</v>
      </c>
      <c r="K213" s="1">
        <v>0.0</v>
      </c>
      <c r="L213" s="1">
        <v>3.60010221392E11</v>
      </c>
      <c r="M213" s="1" t="s">
        <v>956</v>
      </c>
      <c r="N213" s="1" t="str">
        <f t="array" ref="N213">XLOOKUP(A:A,'CategoriasSeções'!A:A,'CategoriasSeções'!B:B)</f>
        <v>Comunicados</v>
      </c>
      <c r="O213" s="1" t="s">
        <v>957</v>
      </c>
      <c r="P213" s="12">
        <v>45642.83472222222</v>
      </c>
      <c r="Q213" s="12">
        <v>45642.83472222222</v>
      </c>
      <c r="R213" s="1" t="s">
        <v>1103</v>
      </c>
      <c r="S213" s="1" t="s">
        <v>1103</v>
      </c>
      <c r="T213" s="1" t="s">
        <v>38</v>
      </c>
      <c r="U213" s="1" t="s">
        <v>38</v>
      </c>
      <c r="V213" s="1" t="s">
        <v>75</v>
      </c>
      <c r="W213" s="1" t="s">
        <v>69</v>
      </c>
      <c r="X213" s="1" t="s">
        <v>69</v>
      </c>
      <c r="Y213" s="12">
        <v>45642.83472222222</v>
      </c>
      <c r="AA213" s="1">
        <v>1666192.0</v>
      </c>
      <c r="AB213" s="1" t="s">
        <v>1104</v>
      </c>
      <c r="AC213" s="1" t="s">
        <v>1105</v>
      </c>
      <c r="AD213" s="1" t="s">
        <v>1106</v>
      </c>
      <c r="AE213" s="1" t="s">
        <v>55</v>
      </c>
    </row>
    <row r="214" ht="56.25" customHeight="1">
      <c r="A214" s="1">
        <v>3.2750085420813E13</v>
      </c>
      <c r="B214" s="2" t="s">
        <v>1107</v>
      </c>
      <c r="C214" s="2" t="s">
        <v>1108</v>
      </c>
      <c r="D214" s="1">
        <v>6.659122905485E12</v>
      </c>
      <c r="E214" s="1" t="s">
        <v>955</v>
      </c>
      <c r="F214" s="1" t="b">
        <v>0</v>
      </c>
      <c r="G214" s="1" t="s">
        <v>34</v>
      </c>
      <c r="H214" s="1" t="b">
        <v>0</v>
      </c>
      <c r="I214" s="1">
        <v>0.0</v>
      </c>
      <c r="J214" s="1">
        <v>0.0</v>
      </c>
      <c r="K214" s="1">
        <v>0.0</v>
      </c>
      <c r="L214" s="1">
        <v>3.60010221392E11</v>
      </c>
      <c r="M214" s="1" t="s">
        <v>956</v>
      </c>
      <c r="N214" s="1" t="str">
        <f t="array" ref="N214">XLOOKUP(A:A,'CategoriasSeções'!A:A,'CategoriasSeções'!B:B)</f>
        <v>Comunicados</v>
      </c>
      <c r="O214" s="1" t="s">
        <v>957</v>
      </c>
      <c r="P214" s="12">
        <v>45642.584027777775</v>
      </c>
      <c r="Q214" s="12">
        <v>45642.584027777775</v>
      </c>
      <c r="R214" s="1" t="s">
        <v>1109</v>
      </c>
      <c r="S214" s="1" t="s">
        <v>1109</v>
      </c>
      <c r="T214" s="1" t="s">
        <v>38</v>
      </c>
      <c r="U214" s="1" t="s">
        <v>38</v>
      </c>
      <c r="V214" s="1" t="s">
        <v>75</v>
      </c>
      <c r="W214" s="1" t="s">
        <v>69</v>
      </c>
      <c r="X214" s="1" t="s">
        <v>69</v>
      </c>
      <c r="Y214" s="12">
        <v>45642.584027777775</v>
      </c>
      <c r="AA214" s="1">
        <v>1666192.0</v>
      </c>
      <c r="AB214" s="1" t="s">
        <v>1104</v>
      </c>
      <c r="AC214" s="1" t="s">
        <v>1110</v>
      </c>
      <c r="AD214" s="1" t="s">
        <v>1111</v>
      </c>
      <c r="AE214" s="1" t="s">
        <v>55</v>
      </c>
    </row>
    <row r="215" ht="56.25" customHeight="1">
      <c r="A215" s="1">
        <v>3.2382131940749E13</v>
      </c>
      <c r="B215" s="2" t="s">
        <v>1112</v>
      </c>
      <c r="C215" s="2" t="s">
        <v>1113</v>
      </c>
      <c r="D215" s="1">
        <v>6.659122905485E12</v>
      </c>
      <c r="E215" s="1" t="s">
        <v>955</v>
      </c>
      <c r="F215" s="1" t="b">
        <v>0</v>
      </c>
      <c r="G215" s="1" t="s">
        <v>34</v>
      </c>
      <c r="H215" s="1" t="b">
        <v>0</v>
      </c>
      <c r="I215" s="1">
        <v>0.0</v>
      </c>
      <c r="J215" s="1">
        <v>0.0</v>
      </c>
      <c r="K215" s="1">
        <v>0.0</v>
      </c>
      <c r="L215" s="1">
        <v>3.60010340731E11</v>
      </c>
      <c r="M215" s="1" t="s">
        <v>956</v>
      </c>
      <c r="N215" s="1" t="str">
        <f t="array" ref="N215">XLOOKUP(A:A,'CategoriasSeções'!A:A,'CategoriasSeções'!B:B)</f>
        <v>Comunicados</v>
      </c>
      <c r="O215" s="1" t="s">
        <v>981</v>
      </c>
      <c r="P215" s="3">
        <v>45629.61319444444</v>
      </c>
      <c r="Q215" s="3">
        <v>45629.61319444444</v>
      </c>
      <c r="R215" s="1" t="s">
        <v>1114</v>
      </c>
      <c r="S215" s="1" t="s">
        <v>1114</v>
      </c>
      <c r="T215" s="1" t="s">
        <v>38</v>
      </c>
      <c r="U215" s="1" t="s">
        <v>38</v>
      </c>
      <c r="V215" s="1" t="s">
        <v>75</v>
      </c>
      <c r="W215" s="1" t="s">
        <v>69</v>
      </c>
      <c r="X215" s="1" t="s">
        <v>69</v>
      </c>
      <c r="Y215" s="3">
        <v>45629.61319444444</v>
      </c>
      <c r="AA215" s="1">
        <v>1666192.0</v>
      </c>
      <c r="AB215" s="1" t="s">
        <v>1115</v>
      </c>
      <c r="AC215" s="1" t="s">
        <v>1116</v>
      </c>
      <c r="AD215" s="1" t="s">
        <v>1117</v>
      </c>
      <c r="AE215" s="1" t="s">
        <v>55</v>
      </c>
    </row>
    <row r="216" ht="56.25" customHeight="1">
      <c r="A216" s="1">
        <v>3.2342362768781E13</v>
      </c>
      <c r="B216" s="2" t="s">
        <v>1118</v>
      </c>
      <c r="C216" s="2" t="s">
        <v>1119</v>
      </c>
      <c r="D216" s="1">
        <v>2.6605230167E10</v>
      </c>
      <c r="E216" s="1" t="s">
        <v>964</v>
      </c>
      <c r="F216" s="1" t="b">
        <v>0</v>
      </c>
      <c r="G216" s="1" t="s">
        <v>34</v>
      </c>
      <c r="H216" s="1" t="b">
        <v>0</v>
      </c>
      <c r="I216" s="1">
        <v>0.0</v>
      </c>
      <c r="J216" s="1">
        <v>0.0</v>
      </c>
      <c r="K216" s="1">
        <v>0.0</v>
      </c>
      <c r="L216" s="1">
        <v>3.60010221392E11</v>
      </c>
      <c r="M216" s="1" t="s">
        <v>956</v>
      </c>
      <c r="N216" s="1" t="str">
        <f t="array" ref="N216">XLOOKUP(A:A,'CategoriasSeções'!A:A,'CategoriasSeções'!B:B)</f>
        <v>Comunicados</v>
      </c>
      <c r="O216" s="1" t="s">
        <v>957</v>
      </c>
      <c r="P216" s="3">
        <v>45628.59722222222</v>
      </c>
      <c r="Q216" s="3">
        <v>45628.59722222222</v>
      </c>
      <c r="R216" s="1" t="s">
        <v>1120</v>
      </c>
      <c r="S216" s="1" t="s">
        <v>1120</v>
      </c>
      <c r="T216" s="1" t="s">
        <v>38</v>
      </c>
      <c r="U216" s="1" t="s">
        <v>38</v>
      </c>
      <c r="V216" s="1" t="s">
        <v>75</v>
      </c>
      <c r="W216" s="1" t="s">
        <v>69</v>
      </c>
      <c r="X216" s="1" t="s">
        <v>69</v>
      </c>
      <c r="Y216" s="3">
        <v>45628.59722222222</v>
      </c>
      <c r="AA216" s="1">
        <v>1666192.0</v>
      </c>
      <c r="AB216" s="1" t="s">
        <v>1121</v>
      </c>
      <c r="AC216" s="1" t="s">
        <v>1122</v>
      </c>
      <c r="AD216" s="1" t="s">
        <v>1123</v>
      </c>
      <c r="AE216" s="1" t="s">
        <v>55</v>
      </c>
    </row>
    <row r="217" ht="56.25" customHeight="1">
      <c r="A217" s="1">
        <v>3.1894433750669E13</v>
      </c>
      <c r="B217" s="2" t="s">
        <v>1124</v>
      </c>
      <c r="C217" s="2" t="s">
        <v>1125</v>
      </c>
      <c r="D217" s="1">
        <v>2.6605230167E10</v>
      </c>
      <c r="E217" s="1" t="s">
        <v>964</v>
      </c>
      <c r="F217" s="1" t="b">
        <v>0</v>
      </c>
      <c r="G217" s="1" t="s">
        <v>34</v>
      </c>
      <c r="H217" s="1" t="b">
        <v>0</v>
      </c>
      <c r="I217" s="1">
        <v>0.0</v>
      </c>
      <c r="J217" s="1">
        <v>0.0</v>
      </c>
      <c r="K217" s="1">
        <v>0.0</v>
      </c>
      <c r="L217" s="1">
        <v>3.60010340731E11</v>
      </c>
      <c r="M217" s="1" t="s">
        <v>956</v>
      </c>
      <c r="N217" s="1" t="str">
        <f t="array" ref="N217">XLOOKUP(A:A,'CategoriasSeções'!A:A,'CategoriasSeções'!B:B)</f>
        <v>Comunicados</v>
      </c>
      <c r="O217" s="1" t="s">
        <v>981</v>
      </c>
      <c r="P217" s="12">
        <v>45610.86666666667</v>
      </c>
      <c r="Q217" s="12">
        <v>45610.86736111111</v>
      </c>
      <c r="R217" s="1" t="s">
        <v>1126</v>
      </c>
      <c r="S217" s="1" t="s">
        <v>1126</v>
      </c>
      <c r="T217" s="1" t="s">
        <v>38</v>
      </c>
      <c r="U217" s="1" t="s">
        <v>38</v>
      </c>
      <c r="V217" s="1" t="s">
        <v>75</v>
      </c>
      <c r="W217" s="1" t="s">
        <v>69</v>
      </c>
      <c r="X217" s="1" t="s">
        <v>69</v>
      </c>
      <c r="Y217" s="12">
        <v>45610.86736111111</v>
      </c>
      <c r="AA217" s="1">
        <v>1666192.0</v>
      </c>
      <c r="AB217" s="1" t="s">
        <v>1127</v>
      </c>
      <c r="AC217" s="1" t="s">
        <v>1128</v>
      </c>
      <c r="AD217" s="1" t="s">
        <v>1129</v>
      </c>
      <c r="AE217" s="1" t="s">
        <v>55</v>
      </c>
    </row>
    <row r="218" ht="56.25" customHeight="1">
      <c r="A218" s="1">
        <v>3.1784146316813E13</v>
      </c>
      <c r="B218" s="2" t="s">
        <v>1130</v>
      </c>
      <c r="C218" s="2" t="s">
        <v>1131</v>
      </c>
      <c r="D218" s="1">
        <v>6.659122905485E12</v>
      </c>
      <c r="E218" s="1" t="s">
        <v>955</v>
      </c>
      <c r="F218" s="1" t="b">
        <v>0</v>
      </c>
      <c r="G218" s="1" t="s">
        <v>34</v>
      </c>
      <c r="H218" s="1" t="b">
        <v>0</v>
      </c>
      <c r="I218" s="1">
        <v>0.0</v>
      </c>
      <c r="J218" s="1">
        <v>0.0</v>
      </c>
      <c r="K218" s="1">
        <v>0.0</v>
      </c>
      <c r="L218" s="1">
        <v>3.60010221392E11</v>
      </c>
      <c r="M218" s="1" t="s">
        <v>956</v>
      </c>
      <c r="N218" s="1" t="str">
        <f t="array" ref="N218">XLOOKUP(A:A,'CategoriasSeções'!A:A,'CategoriasSeções'!B:B)</f>
        <v>Comunicados</v>
      </c>
      <c r="O218" s="1" t="s">
        <v>957</v>
      </c>
      <c r="P218" s="12">
        <v>45607.677777777775</v>
      </c>
      <c r="Q218" s="12">
        <v>45607.677777777775</v>
      </c>
      <c r="R218" s="1" t="s">
        <v>1132</v>
      </c>
      <c r="S218" s="1" t="s">
        <v>1132</v>
      </c>
      <c r="T218" s="1" t="s">
        <v>38</v>
      </c>
      <c r="U218" s="1" t="s">
        <v>38</v>
      </c>
      <c r="V218" s="1" t="s">
        <v>75</v>
      </c>
      <c r="W218" s="1" t="s">
        <v>69</v>
      </c>
      <c r="X218" s="1" t="s">
        <v>69</v>
      </c>
      <c r="Y218" s="12">
        <v>45607.677777777775</v>
      </c>
      <c r="AA218" s="1">
        <v>1666192.0</v>
      </c>
      <c r="AB218" s="1" t="s">
        <v>202</v>
      </c>
      <c r="AC218" s="1" t="s">
        <v>1133</v>
      </c>
      <c r="AD218" s="1" t="s">
        <v>1134</v>
      </c>
      <c r="AE218" s="1" t="s">
        <v>55</v>
      </c>
    </row>
    <row r="219" ht="56.25" customHeight="1">
      <c r="A219" s="1">
        <v>3.1598015164813E13</v>
      </c>
      <c r="B219" s="2" t="s">
        <v>1135</v>
      </c>
      <c r="C219" s="2" t="s">
        <v>1136</v>
      </c>
      <c r="D219" s="1">
        <v>6.659122905485E12</v>
      </c>
      <c r="E219" s="1" t="s">
        <v>955</v>
      </c>
      <c r="F219" s="1" t="b">
        <v>0</v>
      </c>
      <c r="G219" s="1" t="s">
        <v>34</v>
      </c>
      <c r="H219" s="1" t="b">
        <v>0</v>
      </c>
      <c r="I219" s="1">
        <v>0.0</v>
      </c>
      <c r="J219" s="1">
        <v>0.0</v>
      </c>
      <c r="K219" s="1">
        <v>0.0</v>
      </c>
      <c r="L219" s="1">
        <v>3.60010221392E11</v>
      </c>
      <c r="M219" s="1" t="s">
        <v>956</v>
      </c>
      <c r="N219" s="1" t="str">
        <f t="array" ref="N219">XLOOKUP(A:A,'CategoriasSeções'!A:A,'CategoriasSeções'!B:B)</f>
        <v>Comunicados</v>
      </c>
      <c r="O219" s="1" t="s">
        <v>957</v>
      </c>
      <c r="P219" s="3">
        <v>45600.67847222222</v>
      </c>
      <c r="Q219" s="3">
        <v>45600.67847222222</v>
      </c>
      <c r="R219" s="1" t="s">
        <v>1137</v>
      </c>
      <c r="S219" s="1" t="s">
        <v>1137</v>
      </c>
      <c r="T219" s="1" t="s">
        <v>38</v>
      </c>
      <c r="U219" s="1" t="s">
        <v>38</v>
      </c>
      <c r="V219" s="1" t="s">
        <v>75</v>
      </c>
      <c r="W219" s="1" t="s">
        <v>69</v>
      </c>
      <c r="X219" s="1" t="s">
        <v>69</v>
      </c>
      <c r="Y219" s="3">
        <v>45600.67847222222</v>
      </c>
      <c r="AA219" s="1">
        <v>1666192.0</v>
      </c>
      <c r="AB219" s="1" t="s">
        <v>55</v>
      </c>
      <c r="AC219" s="1" t="s">
        <v>55</v>
      </c>
      <c r="AD219" s="1" t="s">
        <v>1138</v>
      </c>
      <c r="AE219" s="1" t="s">
        <v>55</v>
      </c>
    </row>
    <row r="220" ht="56.25" customHeight="1">
      <c r="A220" s="1">
        <v>3.1482849083917E13</v>
      </c>
      <c r="B220" s="2" t="s">
        <v>1139</v>
      </c>
      <c r="C220" s="2" t="s">
        <v>1140</v>
      </c>
      <c r="D220" s="1">
        <v>2.6605230167E10</v>
      </c>
      <c r="E220" s="1" t="s">
        <v>964</v>
      </c>
      <c r="F220" s="1" t="b">
        <v>0</v>
      </c>
      <c r="G220" s="1" t="s">
        <v>34</v>
      </c>
      <c r="H220" s="1" t="b">
        <v>0</v>
      </c>
      <c r="I220" s="1">
        <v>0.0</v>
      </c>
      <c r="J220" s="1">
        <v>0.0</v>
      </c>
      <c r="K220" s="1">
        <v>0.0</v>
      </c>
      <c r="L220" s="1">
        <v>3.60010340731E11</v>
      </c>
      <c r="M220" s="1" t="s">
        <v>956</v>
      </c>
      <c r="N220" s="1" t="str">
        <f t="array" ref="N220">XLOOKUP(A:A,'CategoriasSeções'!A:A,'CategoriasSeções'!B:B)</f>
        <v>Comunicados</v>
      </c>
      <c r="O220" s="1" t="s">
        <v>981</v>
      </c>
      <c r="P220" s="12">
        <v>45595.694444444445</v>
      </c>
      <c r="Q220" s="12">
        <v>45595.694444444445</v>
      </c>
      <c r="R220" s="1" t="s">
        <v>1141</v>
      </c>
      <c r="S220" s="1" t="s">
        <v>1141</v>
      </c>
      <c r="T220" s="1" t="s">
        <v>38</v>
      </c>
      <c r="U220" s="1" t="s">
        <v>38</v>
      </c>
      <c r="V220" s="1" t="s">
        <v>75</v>
      </c>
      <c r="W220" s="1" t="s">
        <v>69</v>
      </c>
      <c r="X220" s="1" t="s">
        <v>69</v>
      </c>
      <c r="Y220" s="12">
        <v>45595.694444444445</v>
      </c>
      <c r="AA220" s="1">
        <v>1666192.0</v>
      </c>
      <c r="AB220" s="1" t="s">
        <v>1142</v>
      </c>
      <c r="AC220" s="1" t="s">
        <v>1143</v>
      </c>
      <c r="AD220" s="1" t="s">
        <v>1144</v>
      </c>
      <c r="AE220" s="1" t="s">
        <v>55</v>
      </c>
    </row>
    <row r="221" ht="56.25" customHeight="1">
      <c r="A221" s="1">
        <v>3.1055242863629E13</v>
      </c>
      <c r="B221" s="2" t="s">
        <v>1145</v>
      </c>
      <c r="C221" s="2" t="s">
        <v>1146</v>
      </c>
      <c r="D221" s="1">
        <v>2.6605230167E10</v>
      </c>
      <c r="E221" s="1" t="s">
        <v>964</v>
      </c>
      <c r="F221" s="1" t="b">
        <v>0</v>
      </c>
      <c r="G221" s="1" t="s">
        <v>34</v>
      </c>
      <c r="H221" s="1" t="b">
        <v>0</v>
      </c>
      <c r="I221" s="1">
        <v>0.0</v>
      </c>
      <c r="J221" s="1">
        <v>0.0</v>
      </c>
      <c r="K221" s="1">
        <v>0.0</v>
      </c>
      <c r="L221" s="1">
        <v>3.60000079051E11</v>
      </c>
      <c r="M221" s="1" t="s">
        <v>956</v>
      </c>
      <c r="N221" s="1" t="str">
        <f t="array" ref="N221">XLOOKUP(A:A,'CategoriasSeções'!A:A,'CategoriasSeções'!B:B)</f>
        <v>Canais de Atendimento ao Cliente</v>
      </c>
      <c r="O221" s="1" t="s">
        <v>1147</v>
      </c>
      <c r="P221" s="12">
        <v>45579.870833333334</v>
      </c>
      <c r="Q221" s="12">
        <v>45579.870833333334</v>
      </c>
      <c r="R221" s="1" t="s">
        <v>1148</v>
      </c>
      <c r="S221" s="1" t="s">
        <v>1148</v>
      </c>
      <c r="T221" s="1" t="s">
        <v>38</v>
      </c>
      <c r="U221" s="1" t="s">
        <v>38</v>
      </c>
      <c r="V221" s="1" t="s">
        <v>75</v>
      </c>
      <c r="W221" s="1" t="s">
        <v>69</v>
      </c>
      <c r="X221" s="1" t="s">
        <v>69</v>
      </c>
      <c r="Y221" s="12">
        <v>45579.870833333334</v>
      </c>
      <c r="AA221" s="1">
        <v>1666192.0</v>
      </c>
      <c r="AB221" s="1" t="s">
        <v>1149</v>
      </c>
      <c r="AC221" s="1" t="s">
        <v>1150</v>
      </c>
      <c r="AD221" s="1" t="s">
        <v>1151</v>
      </c>
      <c r="AE221" s="1" t="s">
        <v>55</v>
      </c>
    </row>
    <row r="222" ht="56.25" customHeight="1">
      <c r="A222" s="1">
        <v>3.0762383780749E13</v>
      </c>
      <c r="B222" s="2" t="s">
        <v>1152</v>
      </c>
      <c r="C222" s="2" t="s">
        <v>1153</v>
      </c>
      <c r="D222" s="1">
        <v>2.6605230167E10</v>
      </c>
      <c r="E222" s="1" t="s">
        <v>964</v>
      </c>
      <c r="F222" s="1" t="b">
        <v>0</v>
      </c>
      <c r="G222" s="1" t="s">
        <v>34</v>
      </c>
      <c r="H222" s="1" t="b">
        <v>0</v>
      </c>
      <c r="I222" s="1">
        <v>0.0</v>
      </c>
      <c r="J222" s="1">
        <v>0.0</v>
      </c>
      <c r="K222" s="1">
        <v>0.0</v>
      </c>
      <c r="L222" s="1">
        <v>3.60010221392E11</v>
      </c>
      <c r="M222" s="1" t="s">
        <v>956</v>
      </c>
      <c r="N222" s="1" t="str">
        <f t="array" ref="N222">XLOOKUP(A:A,'CategoriasSeções'!A:A,'CategoriasSeções'!B:B)</f>
        <v>Comunicados</v>
      </c>
      <c r="O222" s="1" t="s">
        <v>957</v>
      </c>
      <c r="P222" s="3">
        <v>45568.51180555556</v>
      </c>
      <c r="Q222" s="3">
        <v>45568.51180555556</v>
      </c>
      <c r="R222" s="1" t="s">
        <v>1154</v>
      </c>
      <c r="S222" s="1" t="s">
        <v>1154</v>
      </c>
      <c r="T222" s="1" t="s">
        <v>38</v>
      </c>
      <c r="U222" s="1" t="s">
        <v>38</v>
      </c>
      <c r="V222" s="1" t="s">
        <v>75</v>
      </c>
      <c r="W222" s="1" t="s">
        <v>69</v>
      </c>
      <c r="X222" s="1" t="s">
        <v>69</v>
      </c>
      <c r="Y222" s="3">
        <v>45568.51180555556</v>
      </c>
      <c r="AA222" s="1">
        <v>1666192.0</v>
      </c>
      <c r="AB222" s="1" t="s">
        <v>1155</v>
      </c>
      <c r="AC222" s="1" t="s">
        <v>1156</v>
      </c>
      <c r="AD222" s="1" t="s">
        <v>1157</v>
      </c>
      <c r="AE222" s="1" t="s">
        <v>55</v>
      </c>
    </row>
    <row r="223" ht="56.25" customHeight="1">
      <c r="A223" s="1">
        <v>3.0761980899213E13</v>
      </c>
      <c r="B223" s="2" t="s">
        <v>1158</v>
      </c>
      <c r="C223" s="2" t="s">
        <v>1159</v>
      </c>
      <c r="D223" s="1">
        <v>2.6605230167E10</v>
      </c>
      <c r="E223" s="1" t="s">
        <v>964</v>
      </c>
      <c r="F223" s="1" t="b">
        <v>0</v>
      </c>
      <c r="G223" s="1" t="s">
        <v>34</v>
      </c>
      <c r="H223" s="1" t="b">
        <v>0</v>
      </c>
      <c r="I223" s="1">
        <v>0.0</v>
      </c>
      <c r="J223" s="1">
        <v>0.0</v>
      </c>
      <c r="K223" s="1">
        <v>0.0</v>
      </c>
      <c r="L223" s="1">
        <v>3.60010340731E11</v>
      </c>
      <c r="M223" s="1" t="s">
        <v>956</v>
      </c>
      <c r="N223" s="1" t="str">
        <f t="array" ref="N223">XLOOKUP(A:A,'CategoriasSeções'!A:A,'CategoriasSeções'!B:B)</f>
        <v>Comunicados</v>
      </c>
      <c r="O223" s="1" t="s">
        <v>981</v>
      </c>
      <c r="P223" s="3">
        <v>45568.50069444445</v>
      </c>
      <c r="Q223" s="3">
        <v>45568.50069444445</v>
      </c>
      <c r="R223" s="1" t="s">
        <v>1160</v>
      </c>
      <c r="S223" s="1" t="s">
        <v>1160</v>
      </c>
      <c r="T223" s="1" t="s">
        <v>38</v>
      </c>
      <c r="U223" s="1" t="s">
        <v>38</v>
      </c>
      <c r="V223" s="1" t="s">
        <v>75</v>
      </c>
      <c r="W223" s="1" t="s">
        <v>69</v>
      </c>
      <c r="X223" s="1" t="s">
        <v>69</v>
      </c>
      <c r="Y223" s="3">
        <v>45568.50069444445</v>
      </c>
      <c r="AA223" s="1">
        <v>1666192.0</v>
      </c>
      <c r="AB223" s="1" t="s">
        <v>1051</v>
      </c>
      <c r="AC223" s="1" t="s">
        <v>1161</v>
      </c>
      <c r="AD223" s="1" t="s">
        <v>1162</v>
      </c>
      <c r="AE223" s="1" t="s">
        <v>55</v>
      </c>
    </row>
    <row r="224" ht="56.25" customHeight="1">
      <c r="A224" s="1">
        <v>3.0354274293133E13</v>
      </c>
      <c r="B224" s="2" t="s">
        <v>1163</v>
      </c>
      <c r="C224" s="2" t="s">
        <v>1164</v>
      </c>
      <c r="D224" s="1">
        <v>2.6605230167E10</v>
      </c>
      <c r="E224" s="1" t="s">
        <v>964</v>
      </c>
      <c r="F224" s="1" t="b">
        <v>0</v>
      </c>
      <c r="G224" s="1" t="s">
        <v>34</v>
      </c>
      <c r="H224" s="1" t="b">
        <v>0</v>
      </c>
      <c r="I224" s="1">
        <v>0.0</v>
      </c>
      <c r="J224" s="1">
        <v>0.0</v>
      </c>
      <c r="K224" s="1">
        <v>0.0</v>
      </c>
      <c r="L224" s="1">
        <v>3.60010221392E11</v>
      </c>
      <c r="M224" s="1" t="s">
        <v>956</v>
      </c>
      <c r="N224" s="1" t="str">
        <f t="array" ref="N224">XLOOKUP(A:A,'CategoriasSeções'!A:A,'CategoriasSeções'!B:B)</f>
        <v>Comunicados</v>
      </c>
      <c r="O224" s="1" t="s">
        <v>957</v>
      </c>
      <c r="P224" s="3">
        <v>45553.52638888889</v>
      </c>
      <c r="Q224" s="3">
        <v>45553.52638888889</v>
      </c>
      <c r="R224" s="1" t="s">
        <v>1165</v>
      </c>
      <c r="S224" s="1" t="s">
        <v>1165</v>
      </c>
      <c r="T224" s="1" t="s">
        <v>38</v>
      </c>
      <c r="U224" s="1" t="s">
        <v>38</v>
      </c>
      <c r="V224" s="1" t="s">
        <v>75</v>
      </c>
      <c r="W224" s="1" t="s">
        <v>69</v>
      </c>
      <c r="X224" s="1" t="s">
        <v>69</v>
      </c>
      <c r="Y224" s="3">
        <v>45553.52638888889</v>
      </c>
      <c r="AA224" s="1">
        <v>1666192.0</v>
      </c>
      <c r="AB224" s="1" t="s">
        <v>1166</v>
      </c>
      <c r="AC224" s="1" t="s">
        <v>1167</v>
      </c>
      <c r="AD224" s="1" t="s">
        <v>1168</v>
      </c>
      <c r="AE224" s="1" t="s">
        <v>55</v>
      </c>
    </row>
    <row r="225" ht="56.25" customHeight="1">
      <c r="A225" s="1">
        <v>2.9674349356173E13</v>
      </c>
      <c r="B225" s="2" t="s">
        <v>1169</v>
      </c>
      <c r="C225" s="2" t="s">
        <v>1170</v>
      </c>
      <c r="D225" s="1">
        <v>2.6605230167E10</v>
      </c>
      <c r="E225" s="1" t="s">
        <v>964</v>
      </c>
      <c r="F225" s="1" t="b">
        <v>0</v>
      </c>
      <c r="G225" s="1" t="s">
        <v>34</v>
      </c>
      <c r="H225" s="1" t="b">
        <v>0</v>
      </c>
      <c r="I225" s="1">
        <v>0.0</v>
      </c>
      <c r="J225" s="1">
        <v>0.0</v>
      </c>
      <c r="K225" s="1">
        <v>0.0</v>
      </c>
      <c r="L225" s="1">
        <v>3.60010340731E11</v>
      </c>
      <c r="M225" s="1" t="s">
        <v>956</v>
      </c>
      <c r="N225" s="1" t="str">
        <f t="array" ref="N225">XLOOKUP(A:A,'CategoriasSeções'!A:A,'CategoriasSeções'!B:B)</f>
        <v>Comunicados</v>
      </c>
      <c r="O225" s="1" t="s">
        <v>981</v>
      </c>
      <c r="P225" s="3">
        <v>45531.55694444444</v>
      </c>
      <c r="Q225" s="3">
        <v>45531.558333333334</v>
      </c>
      <c r="R225" s="1" t="s">
        <v>1171</v>
      </c>
      <c r="S225" s="1" t="s">
        <v>1171</v>
      </c>
      <c r="T225" s="1" t="s">
        <v>38</v>
      </c>
      <c r="U225" s="1" t="s">
        <v>38</v>
      </c>
      <c r="V225" s="1" t="s">
        <v>75</v>
      </c>
      <c r="W225" s="1" t="s">
        <v>69</v>
      </c>
      <c r="X225" s="1" t="s">
        <v>69</v>
      </c>
      <c r="Y225" s="3">
        <v>45531.55694444444</v>
      </c>
      <c r="AA225" s="1">
        <v>1666192.0</v>
      </c>
      <c r="AB225" s="1" t="s">
        <v>1051</v>
      </c>
      <c r="AC225" s="1" t="s">
        <v>1172</v>
      </c>
      <c r="AD225" s="1" t="s">
        <v>1173</v>
      </c>
      <c r="AE225" s="1" t="s">
        <v>55</v>
      </c>
    </row>
    <row r="226" ht="56.25" customHeight="1">
      <c r="A226" s="1">
        <v>2.8301456374797E13</v>
      </c>
      <c r="B226" s="2" t="s">
        <v>1174</v>
      </c>
      <c r="C226" s="2" t="s">
        <v>1175</v>
      </c>
      <c r="D226" s="1">
        <v>2.6605230167E10</v>
      </c>
      <c r="E226" s="1" t="s">
        <v>964</v>
      </c>
      <c r="F226" s="1" t="b">
        <v>0</v>
      </c>
      <c r="G226" s="1" t="s">
        <v>34</v>
      </c>
      <c r="H226" s="1" t="b">
        <v>0</v>
      </c>
      <c r="I226" s="1">
        <v>0.0</v>
      </c>
      <c r="J226" s="1">
        <v>0.0</v>
      </c>
      <c r="K226" s="1">
        <v>0.0</v>
      </c>
      <c r="L226" s="1">
        <v>3.60010221392E11</v>
      </c>
      <c r="M226" s="1" t="s">
        <v>956</v>
      </c>
      <c r="N226" s="1" t="str">
        <f t="array" ref="N226">XLOOKUP(A:A,'CategoriasSeções'!A:A,'CategoriasSeções'!B:B)</f>
        <v>Comunicados</v>
      </c>
      <c r="O226" s="1" t="s">
        <v>957</v>
      </c>
      <c r="P226" s="3">
        <v>45483.72361111111</v>
      </c>
      <c r="Q226" s="3">
        <v>45483.72361111111</v>
      </c>
      <c r="R226" s="1" t="s">
        <v>1176</v>
      </c>
      <c r="S226" s="1" t="s">
        <v>1176</v>
      </c>
      <c r="T226" s="1" t="s">
        <v>38</v>
      </c>
      <c r="U226" s="1" t="s">
        <v>38</v>
      </c>
      <c r="V226" s="1" t="s">
        <v>75</v>
      </c>
      <c r="W226" s="1" t="s">
        <v>69</v>
      </c>
      <c r="X226" s="1" t="s">
        <v>69</v>
      </c>
      <c r="Y226" s="3">
        <v>45483.72361111111</v>
      </c>
      <c r="AA226" s="1">
        <v>1666192.0</v>
      </c>
      <c r="AB226" s="1" t="s">
        <v>55</v>
      </c>
      <c r="AC226" s="1" t="s">
        <v>1177</v>
      </c>
      <c r="AD226" s="1" t="s">
        <v>1178</v>
      </c>
      <c r="AE226" s="1" t="s">
        <v>55</v>
      </c>
    </row>
    <row r="227" ht="56.25" customHeight="1">
      <c r="A227" s="1">
        <v>2.7323227298957E13</v>
      </c>
      <c r="B227" s="2" t="s">
        <v>1179</v>
      </c>
      <c r="C227" s="2" t="s">
        <v>1180</v>
      </c>
      <c r="D227" s="1">
        <v>2.6605230167E10</v>
      </c>
      <c r="E227" s="1" t="s">
        <v>964</v>
      </c>
      <c r="F227" s="1" t="b">
        <v>0</v>
      </c>
      <c r="G227" s="1" t="s">
        <v>34</v>
      </c>
      <c r="H227" s="1" t="b">
        <v>0</v>
      </c>
      <c r="I227" s="1">
        <v>0.0</v>
      </c>
      <c r="J227" s="1">
        <v>0.0</v>
      </c>
      <c r="K227" s="1">
        <v>0.0</v>
      </c>
      <c r="L227" s="1">
        <v>3.60010221392E11</v>
      </c>
      <c r="M227" s="1" t="s">
        <v>956</v>
      </c>
      <c r="N227" s="1" t="str">
        <f t="array" ref="N227">XLOOKUP(A:A,'CategoriasSeções'!A:A,'CategoriasSeções'!B:B)</f>
        <v>Comunicados</v>
      </c>
      <c r="O227" s="1" t="s">
        <v>957</v>
      </c>
      <c r="P227" s="3">
        <v>45448.73333333333</v>
      </c>
      <c r="Q227" s="3">
        <v>45448.73402777778</v>
      </c>
      <c r="R227" s="1" t="s">
        <v>1181</v>
      </c>
      <c r="S227" s="1" t="s">
        <v>1181</v>
      </c>
      <c r="T227" s="1" t="s">
        <v>38</v>
      </c>
      <c r="U227" s="1" t="s">
        <v>38</v>
      </c>
      <c r="V227" s="1" t="s">
        <v>75</v>
      </c>
      <c r="W227" s="1" t="s">
        <v>69</v>
      </c>
      <c r="X227" s="1" t="s">
        <v>69</v>
      </c>
      <c r="Y227" s="3">
        <v>45448.73402777778</v>
      </c>
      <c r="AA227" s="1">
        <v>1666192.0</v>
      </c>
      <c r="AB227" s="1" t="s">
        <v>1182</v>
      </c>
      <c r="AC227" s="1" t="s">
        <v>1183</v>
      </c>
      <c r="AD227" s="1" t="s">
        <v>1184</v>
      </c>
      <c r="AE227" s="1" t="s">
        <v>55</v>
      </c>
    </row>
    <row r="228" ht="56.25" customHeight="1">
      <c r="A228" s="1">
        <v>2.7127276969741E13</v>
      </c>
      <c r="B228" s="2" t="s">
        <v>1185</v>
      </c>
      <c r="C228" s="2" t="s">
        <v>1186</v>
      </c>
      <c r="D228" s="1">
        <v>2.6605230167E10</v>
      </c>
      <c r="E228" s="1" t="s">
        <v>964</v>
      </c>
      <c r="F228" s="1" t="b">
        <v>0</v>
      </c>
      <c r="G228" s="1" t="s">
        <v>34</v>
      </c>
      <c r="H228" s="1" t="b">
        <v>0</v>
      </c>
      <c r="I228" s="1">
        <v>0.0</v>
      </c>
      <c r="J228" s="1">
        <v>0.0</v>
      </c>
      <c r="K228" s="1">
        <v>0.0</v>
      </c>
      <c r="L228" s="1">
        <v>3.60010221392E11</v>
      </c>
      <c r="M228" s="1" t="s">
        <v>956</v>
      </c>
      <c r="N228" s="1" t="str">
        <f t="array" ref="N228">XLOOKUP(A:A,'CategoriasSeções'!A:A,'CategoriasSeções'!B:B)</f>
        <v>Comunicados</v>
      </c>
      <c r="O228" s="1" t="s">
        <v>957</v>
      </c>
      <c r="P228" s="3">
        <v>45441.509722222225</v>
      </c>
      <c r="Q228" s="3">
        <v>45441.510416666664</v>
      </c>
      <c r="R228" s="1" t="s">
        <v>1187</v>
      </c>
      <c r="S228" s="1" t="s">
        <v>1187</v>
      </c>
      <c r="T228" s="1" t="s">
        <v>38</v>
      </c>
      <c r="U228" s="1" t="s">
        <v>38</v>
      </c>
      <c r="V228" s="1" t="s">
        <v>75</v>
      </c>
      <c r="W228" s="1" t="s">
        <v>69</v>
      </c>
      <c r="X228" s="1" t="s">
        <v>69</v>
      </c>
      <c r="Y228" s="3">
        <v>45441.510416666664</v>
      </c>
      <c r="AA228" s="1">
        <v>1666192.0</v>
      </c>
      <c r="AB228" s="1" t="s">
        <v>1188</v>
      </c>
      <c r="AC228" s="1" t="s">
        <v>1189</v>
      </c>
      <c r="AD228" s="1" t="s">
        <v>1190</v>
      </c>
      <c r="AE228" s="1" t="s">
        <v>55</v>
      </c>
    </row>
    <row r="229" ht="56.25" customHeight="1">
      <c r="A229" s="1">
        <v>2.7004238909453E13</v>
      </c>
      <c r="B229" s="2" t="s">
        <v>1191</v>
      </c>
      <c r="C229" s="2" t="s">
        <v>1192</v>
      </c>
      <c r="D229" s="1">
        <v>2.6605230167E10</v>
      </c>
      <c r="E229" s="1" t="s">
        <v>964</v>
      </c>
      <c r="F229" s="1" t="b">
        <v>0</v>
      </c>
      <c r="G229" s="1" t="s">
        <v>34</v>
      </c>
      <c r="H229" s="1" t="b">
        <v>0</v>
      </c>
      <c r="I229" s="1">
        <v>0.0</v>
      </c>
      <c r="J229" s="1">
        <v>-2.0</v>
      </c>
      <c r="K229" s="1">
        <v>2.0</v>
      </c>
      <c r="L229" s="1">
        <v>3.60007284792E11</v>
      </c>
      <c r="M229" s="1" t="s">
        <v>956</v>
      </c>
      <c r="N229" s="1" t="str">
        <f t="array" ref="N229">XLOOKUP(A:A,'CategoriasSeções'!A:A,'CategoriasSeções'!B:B)</f>
        <v>EXPORTAÇÃO - CABOTAGEM</v>
      </c>
      <c r="O229" s="1" t="s">
        <v>1062</v>
      </c>
      <c r="P229" s="3">
        <v>45436.538194444445</v>
      </c>
      <c r="Q229" s="3">
        <v>45526.57638888889</v>
      </c>
      <c r="R229" s="1" t="s">
        <v>1193</v>
      </c>
      <c r="S229" s="1" t="s">
        <v>1193</v>
      </c>
      <c r="T229" s="1" t="s">
        <v>38</v>
      </c>
      <c r="U229" s="1" t="s">
        <v>38</v>
      </c>
      <c r="V229" s="1" t="s">
        <v>75</v>
      </c>
      <c r="W229" s="1" t="s">
        <v>69</v>
      </c>
      <c r="X229" s="1" t="s">
        <v>69</v>
      </c>
      <c r="Y229" s="3">
        <v>45441.49513888889</v>
      </c>
      <c r="AA229" s="1">
        <v>1666192.0</v>
      </c>
      <c r="AB229" s="1" t="s">
        <v>55</v>
      </c>
      <c r="AC229" s="1" t="s">
        <v>55</v>
      </c>
      <c r="AD229" s="1" t="s">
        <v>1194</v>
      </c>
      <c r="AE229" s="1" t="s">
        <v>55</v>
      </c>
    </row>
    <row r="230" ht="56.25" customHeight="1">
      <c r="A230" s="1">
        <v>2.6983378201357E13</v>
      </c>
      <c r="B230" s="2" t="s">
        <v>1195</v>
      </c>
      <c r="C230" s="2" t="s">
        <v>1196</v>
      </c>
      <c r="D230" s="1">
        <v>2.6605230167E10</v>
      </c>
      <c r="E230" s="1" t="s">
        <v>964</v>
      </c>
      <c r="F230" s="1" t="b">
        <v>0</v>
      </c>
      <c r="G230" s="1" t="s">
        <v>34</v>
      </c>
      <c r="H230" s="1" t="b">
        <v>0</v>
      </c>
      <c r="I230" s="1">
        <v>0.0</v>
      </c>
      <c r="J230" s="1">
        <v>0.0</v>
      </c>
      <c r="K230" s="1">
        <v>0.0</v>
      </c>
      <c r="L230" s="1">
        <v>3.60010221392E11</v>
      </c>
      <c r="M230" s="1" t="s">
        <v>956</v>
      </c>
      <c r="N230" s="1" t="str">
        <f t="array" ref="N230">XLOOKUP(A:A,'CategoriasSeções'!A:A,'CategoriasSeções'!B:B)</f>
        <v>Comunicados</v>
      </c>
      <c r="O230" s="1" t="s">
        <v>957</v>
      </c>
      <c r="P230" s="3">
        <v>45435.72152777778</v>
      </c>
      <c r="Q230" s="3">
        <v>45435.72152777778</v>
      </c>
      <c r="R230" s="1" t="s">
        <v>1197</v>
      </c>
      <c r="S230" s="1" t="s">
        <v>1197</v>
      </c>
      <c r="T230" s="1" t="s">
        <v>38</v>
      </c>
      <c r="U230" s="1" t="s">
        <v>38</v>
      </c>
      <c r="V230" s="1" t="s">
        <v>75</v>
      </c>
      <c r="W230" s="1" t="s">
        <v>69</v>
      </c>
      <c r="X230" s="1" t="s">
        <v>69</v>
      </c>
      <c r="Y230" s="3">
        <v>45435.72152777778</v>
      </c>
      <c r="AA230" s="1">
        <v>1666192.0</v>
      </c>
      <c r="AB230" s="1" t="s">
        <v>1198</v>
      </c>
      <c r="AC230" s="1" t="s">
        <v>1199</v>
      </c>
      <c r="AD230" s="1" t="s">
        <v>1200</v>
      </c>
      <c r="AE230" s="1" t="s">
        <v>55</v>
      </c>
    </row>
    <row r="231" ht="56.25" customHeight="1">
      <c r="A231" s="1">
        <v>2.6227407016205E13</v>
      </c>
      <c r="B231" s="2" t="s">
        <v>1201</v>
      </c>
      <c r="C231" s="2" t="s">
        <v>1202</v>
      </c>
      <c r="D231" s="1">
        <v>2.6605230167E10</v>
      </c>
      <c r="E231" s="1" t="s">
        <v>964</v>
      </c>
      <c r="F231" s="1" t="b">
        <v>0</v>
      </c>
      <c r="G231" s="1" t="s">
        <v>34</v>
      </c>
      <c r="H231" s="1" t="b">
        <v>0</v>
      </c>
      <c r="I231" s="1">
        <v>0.0</v>
      </c>
      <c r="J231" s="1">
        <v>0.0</v>
      </c>
      <c r="K231" s="1">
        <v>0.0</v>
      </c>
      <c r="L231" s="1">
        <v>3.60010340731E11</v>
      </c>
      <c r="M231" s="1" t="s">
        <v>956</v>
      </c>
      <c r="N231" s="1" t="str">
        <f t="array" ref="N231">XLOOKUP(A:A,'CategoriasSeções'!A:A,'CategoriasSeções'!B:B)</f>
        <v>Comunicados</v>
      </c>
      <c r="O231" s="1" t="s">
        <v>981</v>
      </c>
      <c r="P231" s="3">
        <v>45408.50625</v>
      </c>
      <c r="Q231" s="3">
        <v>45408.50625</v>
      </c>
      <c r="R231" s="1" t="s">
        <v>1203</v>
      </c>
      <c r="S231" s="1" t="s">
        <v>1203</v>
      </c>
      <c r="T231" s="1" t="s">
        <v>38</v>
      </c>
      <c r="U231" s="1" t="s">
        <v>38</v>
      </c>
      <c r="V231" s="1" t="s">
        <v>75</v>
      </c>
      <c r="W231" s="1" t="s">
        <v>69</v>
      </c>
      <c r="X231" s="1" t="s">
        <v>69</v>
      </c>
      <c r="Y231" s="3">
        <v>45408.50625</v>
      </c>
      <c r="AA231" s="1">
        <v>1666192.0</v>
      </c>
      <c r="AB231" s="1" t="s">
        <v>1204</v>
      </c>
      <c r="AC231" s="1" t="s">
        <v>1205</v>
      </c>
      <c r="AD231" s="1" t="s">
        <v>1206</v>
      </c>
      <c r="AE231" s="1" t="s">
        <v>55</v>
      </c>
    </row>
    <row r="232" ht="56.25" customHeight="1">
      <c r="A232" s="1">
        <v>2.5137822806925E13</v>
      </c>
      <c r="B232" s="2" t="s">
        <v>1207</v>
      </c>
      <c r="C232" s="2" t="s">
        <v>1208</v>
      </c>
      <c r="D232" s="1">
        <v>2.6605230167E10</v>
      </c>
      <c r="E232" s="1" t="s">
        <v>964</v>
      </c>
      <c r="F232" s="1" t="b">
        <v>0</v>
      </c>
      <c r="G232" s="1" t="s">
        <v>34</v>
      </c>
      <c r="H232" s="1" t="b">
        <v>0</v>
      </c>
      <c r="I232" s="1">
        <v>0.0</v>
      </c>
      <c r="J232" s="1">
        <v>0.0</v>
      </c>
      <c r="K232" s="1">
        <v>0.0</v>
      </c>
      <c r="L232" s="1">
        <v>3.60010340731E11</v>
      </c>
      <c r="M232" s="1" t="s">
        <v>956</v>
      </c>
      <c r="N232" s="1" t="str">
        <f t="array" ref="N232">XLOOKUP(A:A,'CategoriasSeções'!A:A,'CategoriasSeções'!B:B)</f>
        <v>Comunicados</v>
      </c>
      <c r="O232" s="1" t="s">
        <v>981</v>
      </c>
      <c r="P232" s="3">
        <v>45370.59930555556</v>
      </c>
      <c r="Q232" s="3">
        <v>45370.77013888889</v>
      </c>
      <c r="R232" s="1" t="s">
        <v>1209</v>
      </c>
      <c r="S232" s="1" t="s">
        <v>1209</v>
      </c>
      <c r="T232" s="1" t="s">
        <v>38</v>
      </c>
      <c r="U232" s="1" t="s">
        <v>38</v>
      </c>
      <c r="V232" s="1" t="s">
        <v>75</v>
      </c>
      <c r="W232" s="1" t="s">
        <v>69</v>
      </c>
      <c r="X232" s="1" t="s">
        <v>69</v>
      </c>
      <c r="Y232" s="3">
        <v>45370.77013888889</v>
      </c>
      <c r="AA232" s="1">
        <v>1666192.0</v>
      </c>
      <c r="AB232" s="1" t="s">
        <v>1210</v>
      </c>
      <c r="AC232" s="1" t="s">
        <v>1211</v>
      </c>
      <c r="AD232" s="1" t="s">
        <v>1212</v>
      </c>
      <c r="AE232" s="1" t="s">
        <v>55</v>
      </c>
    </row>
    <row r="233" ht="56.25" customHeight="1">
      <c r="A233" s="1">
        <v>2.4152041145101E13</v>
      </c>
      <c r="B233" s="2" t="s">
        <v>1213</v>
      </c>
      <c r="C233" s="2" t="s">
        <v>1214</v>
      </c>
      <c r="D233" s="1">
        <v>6.659122905485E12</v>
      </c>
      <c r="E233" s="1" t="s">
        <v>955</v>
      </c>
      <c r="F233" s="1" t="b">
        <v>0</v>
      </c>
      <c r="G233" s="1" t="s">
        <v>34</v>
      </c>
      <c r="H233" s="1" t="b">
        <v>0</v>
      </c>
      <c r="I233" s="1">
        <v>0.0</v>
      </c>
      <c r="J233" s="1">
        <v>0.0</v>
      </c>
      <c r="K233" s="1">
        <v>0.0</v>
      </c>
      <c r="L233" s="1">
        <v>3.60010221392E11</v>
      </c>
      <c r="M233" s="1" t="s">
        <v>956</v>
      </c>
      <c r="N233" s="1" t="str">
        <f t="array" ref="N233">XLOOKUP(A:A,'CategoriasSeções'!A:A,'CategoriasSeções'!B:B)</f>
        <v>Comunicados</v>
      </c>
      <c r="O233" s="1" t="s">
        <v>957</v>
      </c>
      <c r="P233" s="3">
        <v>45337.768055555556</v>
      </c>
      <c r="Q233" s="3">
        <v>45337.768055555556</v>
      </c>
      <c r="R233" s="1" t="s">
        <v>1215</v>
      </c>
      <c r="S233" s="1" t="s">
        <v>1215</v>
      </c>
      <c r="T233" s="1" t="s">
        <v>38</v>
      </c>
      <c r="U233" s="1" t="s">
        <v>38</v>
      </c>
      <c r="V233" s="1" t="s">
        <v>75</v>
      </c>
      <c r="W233" s="1" t="s">
        <v>69</v>
      </c>
      <c r="X233" s="1" t="s">
        <v>69</v>
      </c>
      <c r="Y233" s="3">
        <v>45337.768055555556</v>
      </c>
      <c r="AA233" s="1">
        <v>1666192.0</v>
      </c>
      <c r="AB233" s="1" t="s">
        <v>1216</v>
      </c>
      <c r="AC233" s="1" t="s">
        <v>1217</v>
      </c>
      <c r="AD233" s="1" t="s">
        <v>1218</v>
      </c>
      <c r="AE233" s="1" t="s">
        <v>55</v>
      </c>
    </row>
    <row r="234" ht="56.25" customHeight="1">
      <c r="A234" s="1">
        <v>2.4151933493517E13</v>
      </c>
      <c r="B234" s="2" t="s">
        <v>1219</v>
      </c>
      <c r="C234" s="2" t="s">
        <v>1220</v>
      </c>
      <c r="D234" s="1">
        <v>6.659122905485E12</v>
      </c>
      <c r="E234" s="1" t="s">
        <v>955</v>
      </c>
      <c r="F234" s="1" t="b">
        <v>0</v>
      </c>
      <c r="G234" s="1" t="s">
        <v>34</v>
      </c>
      <c r="H234" s="1" t="b">
        <v>0</v>
      </c>
      <c r="I234" s="1">
        <v>0.0</v>
      </c>
      <c r="J234" s="1">
        <v>0.0</v>
      </c>
      <c r="K234" s="1">
        <v>0.0</v>
      </c>
      <c r="L234" s="1">
        <v>3.60010221392E11</v>
      </c>
      <c r="M234" s="1" t="s">
        <v>956</v>
      </c>
      <c r="N234" s="1" t="str">
        <f t="array" ref="N234">XLOOKUP(A:A,'CategoriasSeções'!A:A,'CategoriasSeções'!B:B)</f>
        <v>Comunicados</v>
      </c>
      <c r="O234" s="1" t="s">
        <v>957</v>
      </c>
      <c r="P234" s="3">
        <v>45337.76527777778</v>
      </c>
      <c r="Q234" s="3">
        <v>45337.76527777778</v>
      </c>
      <c r="R234" s="1" t="s">
        <v>1221</v>
      </c>
      <c r="S234" s="1" t="s">
        <v>1221</v>
      </c>
      <c r="T234" s="1" t="s">
        <v>38</v>
      </c>
      <c r="U234" s="1" t="s">
        <v>38</v>
      </c>
      <c r="V234" s="1" t="s">
        <v>75</v>
      </c>
      <c r="W234" s="1" t="s">
        <v>69</v>
      </c>
      <c r="X234" s="1" t="s">
        <v>69</v>
      </c>
      <c r="Y234" s="3">
        <v>45337.76527777778</v>
      </c>
      <c r="AA234" s="1">
        <v>1666192.0</v>
      </c>
      <c r="AB234" s="1" t="s">
        <v>1222</v>
      </c>
      <c r="AC234" s="1" t="s">
        <v>1223</v>
      </c>
      <c r="AD234" s="1" t="s">
        <v>1224</v>
      </c>
      <c r="AE234" s="1" t="s">
        <v>55</v>
      </c>
    </row>
    <row r="235" ht="56.25" customHeight="1">
      <c r="A235" s="1">
        <v>2.3611695756813E13</v>
      </c>
      <c r="B235" s="2" t="s">
        <v>1225</v>
      </c>
      <c r="C235" s="2" t="s">
        <v>1226</v>
      </c>
      <c r="D235" s="1">
        <v>2.6605230167E10</v>
      </c>
      <c r="E235" s="1" t="s">
        <v>964</v>
      </c>
      <c r="F235" s="1" t="b">
        <v>1</v>
      </c>
      <c r="G235" s="1" t="s">
        <v>47</v>
      </c>
      <c r="H235" s="1" t="b">
        <v>0</v>
      </c>
      <c r="I235" s="1">
        <v>0.0</v>
      </c>
      <c r="J235" s="1">
        <v>0.0</v>
      </c>
      <c r="K235" s="1">
        <v>0.0</v>
      </c>
      <c r="L235" s="1">
        <v>3.60010221392E11</v>
      </c>
      <c r="M235" s="1" t="s">
        <v>956</v>
      </c>
      <c r="N235" s="1" t="str">
        <f t="array" ref="N235">XLOOKUP(A:A,'CategoriasSeções'!A:A,'CategoriasSeções'!B:B)</f>
        <v>Comunicados</v>
      </c>
      <c r="O235" s="1" t="s">
        <v>957</v>
      </c>
      <c r="P235" s="3">
        <v>45320.52777777778</v>
      </c>
      <c r="Q235" s="3">
        <v>45320.52777777778</v>
      </c>
      <c r="R235" s="1" t="s">
        <v>1227</v>
      </c>
      <c r="S235" s="1" t="s">
        <v>1227</v>
      </c>
      <c r="T235" s="1" t="s">
        <v>38</v>
      </c>
      <c r="U235" s="1" t="s">
        <v>38</v>
      </c>
      <c r="V235" s="1" t="s">
        <v>75</v>
      </c>
      <c r="W235" s="1" t="s">
        <v>69</v>
      </c>
      <c r="X235" s="1" t="s">
        <v>69</v>
      </c>
      <c r="Y235" s="3">
        <v>45320.52777777778</v>
      </c>
      <c r="AA235" s="1">
        <v>1666192.0</v>
      </c>
      <c r="AB235" s="1" t="s">
        <v>1228</v>
      </c>
      <c r="AC235" s="1" t="s">
        <v>1229</v>
      </c>
      <c r="AD235" s="1" t="s">
        <v>1230</v>
      </c>
      <c r="AE235" s="1" t="s">
        <v>55</v>
      </c>
    </row>
    <row r="236" ht="56.25" customHeight="1">
      <c r="A236" s="1">
        <v>2.3419183642381E13</v>
      </c>
      <c r="B236" s="2" t="s">
        <v>1231</v>
      </c>
      <c r="C236" s="2" t="s">
        <v>1232</v>
      </c>
      <c r="D236" s="1">
        <v>2.6605230167E10</v>
      </c>
      <c r="E236" s="1" t="s">
        <v>964</v>
      </c>
      <c r="F236" s="1" t="b">
        <v>0</v>
      </c>
      <c r="G236" s="1" t="s">
        <v>34</v>
      </c>
      <c r="H236" s="1" t="b">
        <v>0</v>
      </c>
      <c r="I236" s="1">
        <v>0.0</v>
      </c>
      <c r="J236" s="1">
        <v>0.0</v>
      </c>
      <c r="K236" s="1">
        <v>0.0</v>
      </c>
      <c r="L236" s="1">
        <v>3.60010221392E11</v>
      </c>
      <c r="M236" s="1" t="s">
        <v>956</v>
      </c>
      <c r="N236" s="1" t="str">
        <f t="array" ref="N236">XLOOKUP(A:A,'CategoriasSeções'!A:A,'CategoriasSeções'!B:B)</f>
        <v>Comunicados</v>
      </c>
      <c r="O236" s="1" t="s">
        <v>957</v>
      </c>
      <c r="P236" s="3">
        <v>45313.64375</v>
      </c>
      <c r="Q236" s="3">
        <v>45313.64375</v>
      </c>
      <c r="R236" s="1" t="s">
        <v>1233</v>
      </c>
      <c r="S236" s="1" t="s">
        <v>1233</v>
      </c>
      <c r="T236" s="1" t="s">
        <v>38</v>
      </c>
      <c r="U236" s="1" t="s">
        <v>38</v>
      </c>
      <c r="V236" s="1" t="s">
        <v>75</v>
      </c>
      <c r="W236" s="1" t="s">
        <v>69</v>
      </c>
      <c r="X236" s="1" t="s">
        <v>69</v>
      </c>
      <c r="Y236" s="3">
        <v>45313.64375</v>
      </c>
      <c r="AA236" s="1">
        <v>1666192.0</v>
      </c>
      <c r="AB236" s="1" t="s">
        <v>1234</v>
      </c>
      <c r="AC236" s="1" t="s">
        <v>1235</v>
      </c>
      <c r="AD236" s="1" t="s">
        <v>1236</v>
      </c>
      <c r="AE236" s="1" t="s">
        <v>55</v>
      </c>
    </row>
    <row r="237" ht="56.25" customHeight="1">
      <c r="A237" s="1">
        <v>2.3064756986125E13</v>
      </c>
      <c r="B237" s="2" t="s">
        <v>1237</v>
      </c>
      <c r="C237" s="2" t="s">
        <v>1238</v>
      </c>
      <c r="D237" s="1">
        <v>2.6605230167E10</v>
      </c>
      <c r="E237" s="1" t="s">
        <v>964</v>
      </c>
      <c r="F237" s="1" t="b">
        <v>0</v>
      </c>
      <c r="G237" s="1" t="s">
        <v>34</v>
      </c>
      <c r="H237" s="1" t="b">
        <v>0</v>
      </c>
      <c r="I237" s="1">
        <v>0.0</v>
      </c>
      <c r="J237" s="1">
        <v>0.0</v>
      </c>
      <c r="K237" s="1">
        <v>0.0</v>
      </c>
      <c r="L237" s="1">
        <v>3.60010221392E11</v>
      </c>
      <c r="M237" s="1" t="s">
        <v>956</v>
      </c>
      <c r="N237" s="1" t="str">
        <f t="array" ref="N237">XLOOKUP(A:A,'CategoriasSeções'!A:A,'CategoriasSeções'!B:B)</f>
        <v>Comunicados</v>
      </c>
      <c r="O237" s="1" t="s">
        <v>957</v>
      </c>
      <c r="P237" s="3">
        <v>45300.86319444444</v>
      </c>
      <c r="Q237" s="3">
        <v>45300.86319444444</v>
      </c>
      <c r="R237" s="1" t="s">
        <v>1239</v>
      </c>
      <c r="S237" s="1" t="s">
        <v>1239</v>
      </c>
      <c r="T237" s="1" t="s">
        <v>38</v>
      </c>
      <c r="U237" s="1" t="s">
        <v>38</v>
      </c>
      <c r="V237" s="1" t="s">
        <v>75</v>
      </c>
      <c r="W237" s="1" t="s">
        <v>69</v>
      </c>
      <c r="X237" s="1" t="s">
        <v>69</v>
      </c>
      <c r="Y237" s="3">
        <v>45300.86319444444</v>
      </c>
      <c r="AA237" s="1">
        <v>1666192.0</v>
      </c>
      <c r="AB237" s="1" t="s">
        <v>1240</v>
      </c>
      <c r="AC237" s="1" t="s">
        <v>1241</v>
      </c>
      <c r="AD237" s="1" t="s">
        <v>1242</v>
      </c>
      <c r="AE237" s="1" t="s">
        <v>55</v>
      </c>
    </row>
    <row r="238" ht="56.25" customHeight="1">
      <c r="A238" s="1">
        <v>2.2740942433421E13</v>
      </c>
      <c r="B238" s="2" t="s">
        <v>1243</v>
      </c>
      <c r="C238" s="2" t="s">
        <v>1244</v>
      </c>
      <c r="D238" s="1">
        <v>2.6605230167E10</v>
      </c>
      <c r="E238" s="1" t="s">
        <v>964</v>
      </c>
      <c r="F238" s="1" t="b">
        <v>0</v>
      </c>
      <c r="G238" s="1" t="s">
        <v>34</v>
      </c>
      <c r="H238" s="1" t="b">
        <v>0</v>
      </c>
      <c r="I238" s="1">
        <v>0.0</v>
      </c>
      <c r="J238" s="1">
        <v>0.0</v>
      </c>
      <c r="K238" s="1">
        <v>0.0</v>
      </c>
      <c r="L238" s="1">
        <v>3.60010221392E11</v>
      </c>
      <c r="M238" s="1" t="s">
        <v>956</v>
      </c>
      <c r="N238" s="1" t="str">
        <f t="array" ref="N238">XLOOKUP(A:A,'CategoriasSeções'!A:A,'CategoriasSeções'!B:B)</f>
        <v>Comunicados</v>
      </c>
      <c r="O238" s="1" t="s">
        <v>957</v>
      </c>
      <c r="P238" s="12">
        <v>45288.58819444444</v>
      </c>
      <c r="Q238" s="3">
        <v>45435.72222222222</v>
      </c>
      <c r="R238" s="1" t="s">
        <v>1245</v>
      </c>
      <c r="S238" s="1" t="s">
        <v>1245</v>
      </c>
      <c r="T238" s="1" t="s">
        <v>38</v>
      </c>
      <c r="U238" s="1" t="s">
        <v>38</v>
      </c>
      <c r="V238" s="1" t="s">
        <v>75</v>
      </c>
      <c r="W238" s="1" t="s">
        <v>69</v>
      </c>
      <c r="X238" s="1" t="s">
        <v>69</v>
      </c>
      <c r="Y238" s="12">
        <v>45288.58888888889</v>
      </c>
      <c r="AA238" s="1">
        <v>1666192.0</v>
      </c>
      <c r="AB238" s="1" t="s">
        <v>1246</v>
      </c>
      <c r="AC238" s="1" t="s">
        <v>1247</v>
      </c>
      <c r="AD238" s="1" t="s">
        <v>1248</v>
      </c>
      <c r="AE238" s="1" t="s">
        <v>55</v>
      </c>
    </row>
    <row r="239" ht="56.25" customHeight="1">
      <c r="A239" s="1">
        <v>2.2450090828685E13</v>
      </c>
      <c r="B239" s="2" t="s">
        <v>1249</v>
      </c>
      <c r="C239" s="2" t="s">
        <v>1250</v>
      </c>
      <c r="D239" s="1">
        <v>2.6605230167E10</v>
      </c>
      <c r="E239" s="1" t="s">
        <v>964</v>
      </c>
      <c r="F239" s="1" t="b">
        <v>0</v>
      </c>
      <c r="G239" s="1" t="s">
        <v>34</v>
      </c>
      <c r="H239" s="1" t="b">
        <v>0</v>
      </c>
      <c r="I239" s="1">
        <v>0.0</v>
      </c>
      <c r="J239" s="1">
        <v>1.0</v>
      </c>
      <c r="K239" s="1">
        <v>3.0</v>
      </c>
      <c r="L239" s="1">
        <v>3.60007950691E11</v>
      </c>
      <c r="M239" s="1" t="s">
        <v>956</v>
      </c>
      <c r="N239" s="1" t="str">
        <f t="array" ref="N239">XLOOKUP(A:A,'CategoriasSeções'!A:A,'CategoriasSeções'!B:B)</f>
        <v>Agendamentos</v>
      </c>
      <c r="O239" s="1" t="s">
        <v>85</v>
      </c>
      <c r="P239" s="12">
        <v>45278.532638888886</v>
      </c>
      <c r="Q239" s="3">
        <v>45526.55972222222</v>
      </c>
      <c r="R239" s="1" t="s">
        <v>1251</v>
      </c>
      <c r="S239" s="1" t="s">
        <v>1251</v>
      </c>
      <c r="T239" s="1" t="s">
        <v>38</v>
      </c>
      <c r="U239" s="1" t="s">
        <v>38</v>
      </c>
      <c r="V239" s="1" t="s">
        <v>39</v>
      </c>
      <c r="W239" s="1" t="s">
        <v>69</v>
      </c>
      <c r="X239" s="1" t="s">
        <v>69</v>
      </c>
      <c r="Y239" s="3">
        <v>45420.555555555555</v>
      </c>
      <c r="AA239" s="1">
        <v>1666212.0</v>
      </c>
      <c r="AB239" s="1" t="s">
        <v>1252</v>
      </c>
      <c r="AC239" s="1" t="s">
        <v>1253</v>
      </c>
      <c r="AD239" s="1" t="s">
        <v>1254</v>
      </c>
      <c r="AE239" s="1" t="s">
        <v>55</v>
      </c>
    </row>
    <row r="240" ht="56.25" customHeight="1">
      <c r="A240" s="1">
        <v>2.2306998271629E13</v>
      </c>
      <c r="B240" s="2" t="s">
        <v>1255</v>
      </c>
      <c r="C240" s="2" t="s">
        <v>1256</v>
      </c>
      <c r="D240" s="1">
        <v>2.6605230167E10</v>
      </c>
      <c r="E240" s="1" t="s">
        <v>964</v>
      </c>
      <c r="F240" s="1" t="b">
        <v>0</v>
      </c>
      <c r="G240" s="1" t="s">
        <v>34</v>
      </c>
      <c r="H240" s="1" t="b">
        <v>0</v>
      </c>
      <c r="I240" s="1">
        <v>0.0</v>
      </c>
      <c r="J240" s="1">
        <v>0.0</v>
      </c>
      <c r="K240" s="1">
        <v>0.0</v>
      </c>
      <c r="L240" s="1">
        <v>3.60010221392E11</v>
      </c>
      <c r="M240" s="1" t="s">
        <v>956</v>
      </c>
      <c r="N240" s="1" t="str">
        <f t="array" ref="N240">XLOOKUP(A:A,'CategoriasSeções'!A:A,'CategoriasSeções'!B:B)</f>
        <v>Comunicados</v>
      </c>
      <c r="O240" s="1" t="s">
        <v>957</v>
      </c>
      <c r="P240" s="12">
        <v>45273.53055555555</v>
      </c>
      <c r="Q240" s="12">
        <v>45273.53055555555</v>
      </c>
      <c r="R240" s="1" t="s">
        <v>1257</v>
      </c>
      <c r="S240" s="1" t="s">
        <v>1257</v>
      </c>
      <c r="T240" s="1" t="s">
        <v>38</v>
      </c>
      <c r="U240" s="1" t="s">
        <v>38</v>
      </c>
      <c r="V240" s="1" t="s">
        <v>75</v>
      </c>
      <c r="W240" s="1" t="s">
        <v>69</v>
      </c>
      <c r="X240" s="1" t="s">
        <v>69</v>
      </c>
      <c r="Y240" s="12">
        <v>45273.53055555555</v>
      </c>
      <c r="AA240" s="1">
        <v>1666192.0</v>
      </c>
      <c r="AB240" s="1" t="s">
        <v>1258</v>
      </c>
      <c r="AC240" s="1" t="s">
        <v>1259</v>
      </c>
      <c r="AD240" s="1" t="s">
        <v>1260</v>
      </c>
      <c r="AE240" s="1" t="s">
        <v>55</v>
      </c>
    </row>
    <row r="241" ht="56.25" customHeight="1">
      <c r="A241" s="1">
        <v>2.2119140551821E13</v>
      </c>
      <c r="B241" s="2" t="s">
        <v>1261</v>
      </c>
      <c r="C241" s="2" t="s">
        <v>1262</v>
      </c>
      <c r="D241" s="1">
        <v>6.659122905485E12</v>
      </c>
      <c r="E241" s="1" t="s">
        <v>955</v>
      </c>
      <c r="F241" s="1" t="b">
        <v>0</v>
      </c>
      <c r="G241" s="1" t="s">
        <v>34</v>
      </c>
      <c r="H241" s="1" t="b">
        <v>0</v>
      </c>
      <c r="I241" s="1">
        <v>0.0</v>
      </c>
      <c r="J241" s="1">
        <v>0.0</v>
      </c>
      <c r="K241" s="1">
        <v>0.0</v>
      </c>
      <c r="L241" s="1">
        <v>3.60010340731E11</v>
      </c>
      <c r="M241" s="1" t="s">
        <v>956</v>
      </c>
      <c r="N241" s="1" t="str">
        <f t="array" ref="N241">XLOOKUP(A:A,'CategoriasSeções'!A:A,'CategoriasSeções'!B:B)</f>
        <v>Comunicados</v>
      </c>
      <c r="O241" s="1" t="s">
        <v>981</v>
      </c>
      <c r="P241" s="3">
        <v>45269.52361111111</v>
      </c>
      <c r="Q241" s="3">
        <v>45269.524305555555</v>
      </c>
      <c r="R241" s="1" t="s">
        <v>1263</v>
      </c>
      <c r="S241" s="1" t="s">
        <v>1263</v>
      </c>
      <c r="T241" s="1" t="s">
        <v>38</v>
      </c>
      <c r="U241" s="1" t="s">
        <v>38</v>
      </c>
      <c r="V241" s="1" t="s">
        <v>75</v>
      </c>
      <c r="W241" s="1" t="s">
        <v>69</v>
      </c>
      <c r="X241" s="1" t="s">
        <v>69</v>
      </c>
      <c r="Y241" s="3">
        <v>45269.524305555555</v>
      </c>
      <c r="AA241" s="1">
        <v>1666192.0</v>
      </c>
      <c r="AB241" s="1" t="s">
        <v>1264</v>
      </c>
      <c r="AC241" s="1" t="s">
        <v>1265</v>
      </c>
      <c r="AD241" s="1" t="s">
        <v>1266</v>
      </c>
      <c r="AE241" s="1" t="s">
        <v>55</v>
      </c>
    </row>
    <row r="242" ht="56.25" customHeight="1">
      <c r="A242" s="1">
        <v>2.1970104444301E13</v>
      </c>
      <c r="B242" s="2" t="s">
        <v>1267</v>
      </c>
      <c r="C242" s="2" t="s">
        <v>1268</v>
      </c>
      <c r="D242" s="1">
        <v>2.6605230167E10</v>
      </c>
      <c r="E242" s="1" t="s">
        <v>964</v>
      </c>
      <c r="F242" s="1" t="b">
        <v>0</v>
      </c>
      <c r="G242" s="1" t="s">
        <v>34</v>
      </c>
      <c r="H242" s="1" t="b">
        <v>0</v>
      </c>
      <c r="I242" s="1">
        <v>0.0</v>
      </c>
      <c r="J242" s="1">
        <v>0.0</v>
      </c>
      <c r="K242" s="1">
        <v>0.0</v>
      </c>
      <c r="L242" s="1">
        <v>3.60010221392E11</v>
      </c>
      <c r="M242" s="1" t="s">
        <v>956</v>
      </c>
      <c r="N242" s="1" t="str">
        <f t="array" ref="N242">XLOOKUP(A:A,'CategoriasSeções'!A:A,'CategoriasSeções'!B:B)</f>
        <v>Comunicados</v>
      </c>
      <c r="O242" s="1" t="s">
        <v>957</v>
      </c>
      <c r="P242" s="3">
        <v>45265.728472222225</v>
      </c>
      <c r="Q242" s="3">
        <v>45265.728472222225</v>
      </c>
      <c r="R242" s="1" t="s">
        <v>1269</v>
      </c>
      <c r="S242" s="1" t="s">
        <v>1269</v>
      </c>
      <c r="T242" s="1" t="s">
        <v>38</v>
      </c>
      <c r="U242" s="1" t="s">
        <v>38</v>
      </c>
      <c r="V242" s="1" t="s">
        <v>75</v>
      </c>
      <c r="W242" s="1" t="s">
        <v>69</v>
      </c>
      <c r="X242" s="1" t="s">
        <v>69</v>
      </c>
      <c r="Y242" s="3">
        <v>45265.728472222225</v>
      </c>
      <c r="AA242" s="1">
        <v>1666192.0</v>
      </c>
      <c r="AB242" s="1" t="s">
        <v>1270</v>
      </c>
      <c r="AC242" s="1" t="s">
        <v>1271</v>
      </c>
      <c r="AD242" s="1" t="s">
        <v>1272</v>
      </c>
      <c r="AE242" s="1" t="s">
        <v>55</v>
      </c>
    </row>
    <row r="243" ht="56.25" customHeight="1">
      <c r="A243" s="1">
        <v>2.1782606423309E13</v>
      </c>
      <c r="B243" s="2" t="s">
        <v>1273</v>
      </c>
      <c r="C243" s="2" t="s">
        <v>1274</v>
      </c>
      <c r="D243" s="1">
        <v>2.6605230167E10</v>
      </c>
      <c r="E243" s="1" t="s">
        <v>964</v>
      </c>
      <c r="F243" s="1" t="b">
        <v>0</v>
      </c>
      <c r="G243" s="1" t="s">
        <v>34</v>
      </c>
      <c r="H243" s="1" t="b">
        <v>0</v>
      </c>
      <c r="I243" s="1">
        <v>0.0</v>
      </c>
      <c r="J243" s="1">
        <v>0.0</v>
      </c>
      <c r="K243" s="1">
        <v>0.0</v>
      </c>
      <c r="L243" s="1">
        <v>3.60010221392E11</v>
      </c>
      <c r="M243" s="1" t="s">
        <v>956</v>
      </c>
      <c r="N243" s="1" t="str">
        <f t="array" ref="N243">XLOOKUP(A:A,'CategoriasSeções'!A:A,'CategoriasSeções'!B:B)</f>
        <v>Comunicados</v>
      </c>
      <c r="O243" s="1" t="s">
        <v>957</v>
      </c>
      <c r="P243" s="12">
        <v>45259.69305555556</v>
      </c>
      <c r="Q243" s="12">
        <v>45259.69305555556</v>
      </c>
      <c r="R243" s="1" t="s">
        <v>1275</v>
      </c>
      <c r="S243" s="1" t="s">
        <v>1275</v>
      </c>
      <c r="T243" s="1" t="s">
        <v>38</v>
      </c>
      <c r="U243" s="1" t="s">
        <v>38</v>
      </c>
      <c r="V243" s="1" t="s">
        <v>75</v>
      </c>
      <c r="W243" s="1" t="s">
        <v>69</v>
      </c>
      <c r="X243" s="1" t="s">
        <v>69</v>
      </c>
      <c r="Y243" s="12">
        <v>45259.69305555556</v>
      </c>
      <c r="AA243" s="1">
        <v>1666192.0</v>
      </c>
      <c r="AB243" s="1" t="s">
        <v>1276</v>
      </c>
      <c r="AC243" s="1" t="s">
        <v>1277</v>
      </c>
      <c r="AD243" s="1" t="s">
        <v>1278</v>
      </c>
      <c r="AE243" s="1" t="s">
        <v>55</v>
      </c>
    </row>
    <row r="244" ht="56.25" customHeight="1">
      <c r="A244" s="1">
        <v>2.1570569609869E13</v>
      </c>
      <c r="B244" s="2" t="s">
        <v>1279</v>
      </c>
      <c r="C244" s="2" t="s">
        <v>1280</v>
      </c>
      <c r="D244" s="1">
        <v>6.659122905485E12</v>
      </c>
      <c r="E244" s="1" t="s">
        <v>955</v>
      </c>
      <c r="F244" s="1" t="b">
        <v>1</v>
      </c>
      <c r="G244" s="1" t="s">
        <v>47</v>
      </c>
      <c r="H244" s="1" t="b">
        <v>0</v>
      </c>
      <c r="I244" s="1">
        <v>0.0</v>
      </c>
      <c r="J244" s="1">
        <v>0.0</v>
      </c>
      <c r="K244" s="1">
        <v>0.0</v>
      </c>
      <c r="L244" s="1">
        <v>3.60010340731E11</v>
      </c>
      <c r="M244" s="1" t="s">
        <v>956</v>
      </c>
      <c r="N244" s="1" t="str">
        <f t="array" ref="N244">XLOOKUP(A:A,'CategoriasSeções'!A:A,'CategoriasSeções'!B:B)</f>
        <v>Comunicados</v>
      </c>
      <c r="O244" s="1" t="s">
        <v>981</v>
      </c>
      <c r="P244" s="12">
        <v>45252.51944444444</v>
      </c>
      <c r="Q244" s="12">
        <v>45259.88888888889</v>
      </c>
      <c r="R244" s="1" t="s">
        <v>1281</v>
      </c>
      <c r="S244" s="1" t="s">
        <v>1281</v>
      </c>
      <c r="T244" s="1" t="s">
        <v>38</v>
      </c>
      <c r="U244" s="1" t="s">
        <v>38</v>
      </c>
      <c r="V244" s="1" t="s">
        <v>75</v>
      </c>
      <c r="W244" s="1" t="s">
        <v>69</v>
      </c>
      <c r="X244" s="1" t="s">
        <v>69</v>
      </c>
      <c r="Y244" s="12">
        <v>45259.88888888889</v>
      </c>
      <c r="AA244" s="1">
        <v>1666192.0</v>
      </c>
      <c r="AB244" s="1" t="s">
        <v>1282</v>
      </c>
      <c r="AC244" s="1" t="s">
        <v>1283</v>
      </c>
      <c r="AD244" s="1" t="s">
        <v>1284</v>
      </c>
      <c r="AE244" s="1" t="s">
        <v>55</v>
      </c>
    </row>
    <row r="245" ht="56.25" customHeight="1">
      <c r="A245" s="1">
        <v>2.1442794584717E13</v>
      </c>
      <c r="B245" s="2" t="s">
        <v>1285</v>
      </c>
      <c r="C245" s="2" t="s">
        <v>1286</v>
      </c>
      <c r="D245" s="1">
        <v>2.6605230167E10</v>
      </c>
      <c r="E245" s="1" t="s">
        <v>964</v>
      </c>
      <c r="F245" s="1" t="b">
        <v>0</v>
      </c>
      <c r="G245" s="1" t="s">
        <v>34</v>
      </c>
      <c r="H245" s="1" t="b">
        <v>0</v>
      </c>
      <c r="I245" s="1">
        <v>0.0</v>
      </c>
      <c r="J245" s="1">
        <v>0.0</v>
      </c>
      <c r="K245" s="1">
        <v>0.0</v>
      </c>
      <c r="L245" s="1">
        <v>3.60010221392E11</v>
      </c>
      <c r="M245" s="1" t="s">
        <v>956</v>
      </c>
      <c r="N245" s="1" t="str">
        <f t="array" ref="N245">XLOOKUP(A:A,'CategoriasSeções'!A:A,'CategoriasSeções'!B:B)</f>
        <v>Comunicados</v>
      </c>
      <c r="O245" s="1" t="s">
        <v>957</v>
      </c>
      <c r="P245" s="12">
        <v>45247.875</v>
      </c>
      <c r="Q245" s="12">
        <v>45247.876388888886</v>
      </c>
      <c r="R245" s="1" t="s">
        <v>1287</v>
      </c>
      <c r="S245" s="1" t="s">
        <v>1287</v>
      </c>
      <c r="T245" s="1" t="s">
        <v>38</v>
      </c>
      <c r="U245" s="1" t="s">
        <v>38</v>
      </c>
      <c r="V245" s="1" t="s">
        <v>75</v>
      </c>
      <c r="W245" s="1" t="s">
        <v>69</v>
      </c>
      <c r="X245" s="1" t="s">
        <v>69</v>
      </c>
      <c r="Y245" s="12">
        <v>45247.876388888886</v>
      </c>
      <c r="AA245" s="1">
        <v>1666192.0</v>
      </c>
      <c r="AB245" s="1" t="s">
        <v>1288</v>
      </c>
      <c r="AC245" s="1" t="s">
        <v>1289</v>
      </c>
      <c r="AD245" s="1" t="s">
        <v>1290</v>
      </c>
      <c r="AE245" s="1" t="s">
        <v>55</v>
      </c>
    </row>
    <row r="246" ht="56.25" customHeight="1">
      <c r="A246" s="1">
        <v>2.1140353410061E13</v>
      </c>
      <c r="B246" s="2" t="s">
        <v>1291</v>
      </c>
      <c r="C246" s="2" t="s">
        <v>1292</v>
      </c>
      <c r="D246" s="1">
        <v>2.6605230167E10</v>
      </c>
      <c r="E246" s="1" t="s">
        <v>964</v>
      </c>
      <c r="F246" s="1" t="b">
        <v>0</v>
      </c>
      <c r="G246" s="1" t="s">
        <v>34</v>
      </c>
      <c r="H246" s="1" t="b">
        <v>0</v>
      </c>
      <c r="I246" s="1">
        <v>0.0</v>
      </c>
      <c r="J246" s="1">
        <v>0.0</v>
      </c>
      <c r="K246" s="1">
        <v>0.0</v>
      </c>
      <c r="L246" s="1">
        <v>3.60010340731E11</v>
      </c>
      <c r="M246" s="1" t="s">
        <v>956</v>
      </c>
      <c r="N246" s="1" t="str">
        <f t="array" ref="N246">XLOOKUP(A:A,'CategoriasSeções'!A:A,'CategoriasSeções'!B:B)</f>
        <v>Comunicados</v>
      </c>
      <c r="O246" s="1" t="s">
        <v>981</v>
      </c>
      <c r="P246" s="3">
        <v>45238.506944444445</v>
      </c>
      <c r="Q246" s="3">
        <v>45238.506944444445</v>
      </c>
      <c r="R246" s="1" t="s">
        <v>1293</v>
      </c>
      <c r="S246" s="1" t="s">
        <v>1293</v>
      </c>
      <c r="T246" s="1" t="s">
        <v>38</v>
      </c>
      <c r="U246" s="1" t="s">
        <v>38</v>
      </c>
      <c r="V246" s="1" t="s">
        <v>75</v>
      </c>
      <c r="W246" s="1" t="s">
        <v>69</v>
      </c>
      <c r="X246" s="1" t="s">
        <v>69</v>
      </c>
      <c r="Y246" s="3">
        <v>45238.506944444445</v>
      </c>
      <c r="AA246" s="1">
        <v>1666192.0</v>
      </c>
      <c r="AB246" s="1" t="s">
        <v>1294</v>
      </c>
      <c r="AC246" s="1" t="s">
        <v>1295</v>
      </c>
      <c r="AD246" s="1" t="s">
        <v>1296</v>
      </c>
      <c r="AE246" s="1" t="s">
        <v>55</v>
      </c>
    </row>
    <row r="247" ht="56.25" customHeight="1">
      <c r="A247" s="1">
        <v>2.1140250551565E13</v>
      </c>
      <c r="B247" s="2" t="s">
        <v>1297</v>
      </c>
      <c r="C247" s="2" t="s">
        <v>1298</v>
      </c>
      <c r="D247" s="1">
        <v>2.6605230167E10</v>
      </c>
      <c r="E247" s="1" t="s">
        <v>964</v>
      </c>
      <c r="F247" s="1" t="b">
        <v>0</v>
      </c>
      <c r="G247" s="1" t="s">
        <v>34</v>
      </c>
      <c r="H247" s="1" t="b">
        <v>0</v>
      </c>
      <c r="I247" s="1">
        <v>0.0</v>
      </c>
      <c r="J247" s="1">
        <v>0.0</v>
      </c>
      <c r="K247" s="1">
        <v>0.0</v>
      </c>
      <c r="L247" s="1">
        <v>3.60010221392E11</v>
      </c>
      <c r="M247" s="1" t="s">
        <v>956</v>
      </c>
      <c r="N247" s="1" t="str">
        <f t="array" ref="N247">XLOOKUP(A:A,'CategoriasSeções'!A:A,'CategoriasSeções'!B:B)</f>
        <v>Comunicados</v>
      </c>
      <c r="O247" s="1" t="s">
        <v>957</v>
      </c>
      <c r="P247" s="3">
        <v>45238.504166666666</v>
      </c>
      <c r="Q247" s="3">
        <v>45238.504166666666</v>
      </c>
      <c r="R247" s="1" t="s">
        <v>1299</v>
      </c>
      <c r="S247" s="1" t="s">
        <v>1299</v>
      </c>
      <c r="T247" s="1" t="s">
        <v>38</v>
      </c>
      <c r="U247" s="1" t="s">
        <v>38</v>
      </c>
      <c r="V247" s="1" t="s">
        <v>75</v>
      </c>
      <c r="W247" s="1" t="s">
        <v>69</v>
      </c>
      <c r="X247" s="1" t="s">
        <v>69</v>
      </c>
      <c r="Y247" s="3">
        <v>45238.504166666666</v>
      </c>
      <c r="AA247" s="1">
        <v>1666192.0</v>
      </c>
      <c r="AB247" s="1" t="s">
        <v>1300</v>
      </c>
      <c r="AC247" s="1" t="s">
        <v>1301</v>
      </c>
      <c r="AD247" s="1" t="s">
        <v>1302</v>
      </c>
      <c r="AE247" s="1" t="s">
        <v>55</v>
      </c>
    </row>
    <row r="248" ht="56.25" customHeight="1">
      <c r="A248" s="1">
        <v>2.0894965584013E13</v>
      </c>
      <c r="B248" s="2" t="s">
        <v>1303</v>
      </c>
      <c r="C248" s="2" t="s">
        <v>1304</v>
      </c>
      <c r="D248" s="1">
        <v>2.6605230167E10</v>
      </c>
      <c r="E248" s="1" t="s">
        <v>964</v>
      </c>
      <c r="F248" s="1" t="b">
        <v>0</v>
      </c>
      <c r="G248" s="1" t="s">
        <v>34</v>
      </c>
      <c r="H248" s="1" t="b">
        <v>0</v>
      </c>
      <c r="I248" s="1">
        <v>0.0</v>
      </c>
      <c r="J248" s="1">
        <v>0.0</v>
      </c>
      <c r="K248" s="1">
        <v>0.0</v>
      </c>
      <c r="L248" s="1">
        <v>3.60010221392E11</v>
      </c>
      <c r="M248" s="1" t="s">
        <v>956</v>
      </c>
      <c r="N248" s="1" t="str">
        <f t="array" ref="N248">XLOOKUP(A:A,'CategoriasSeções'!A:A,'CategoriasSeções'!B:B)</f>
        <v>Comunicados</v>
      </c>
      <c r="O248" s="1" t="s">
        <v>957</v>
      </c>
      <c r="P248" s="12">
        <v>45230.76944444444</v>
      </c>
      <c r="Q248" s="12">
        <v>45230.76944444444</v>
      </c>
      <c r="R248" s="1" t="s">
        <v>1305</v>
      </c>
      <c r="S248" s="1" t="s">
        <v>1305</v>
      </c>
      <c r="T248" s="1" t="s">
        <v>38</v>
      </c>
      <c r="U248" s="1" t="s">
        <v>38</v>
      </c>
      <c r="V248" s="1" t="s">
        <v>75</v>
      </c>
      <c r="W248" s="1" t="s">
        <v>69</v>
      </c>
      <c r="X248" s="1" t="s">
        <v>69</v>
      </c>
      <c r="Y248" s="12">
        <v>45230.76944444444</v>
      </c>
      <c r="AA248" s="1">
        <v>1666192.0</v>
      </c>
      <c r="AB248" s="1" t="s">
        <v>1306</v>
      </c>
      <c r="AC248" s="1" t="s">
        <v>1307</v>
      </c>
      <c r="AD248" s="1" t="s">
        <v>1308</v>
      </c>
      <c r="AE248" s="1" t="s">
        <v>55</v>
      </c>
    </row>
    <row r="249" ht="56.25" customHeight="1">
      <c r="A249" s="1">
        <v>2.0749961209101E13</v>
      </c>
      <c r="B249" s="2" t="s">
        <v>1309</v>
      </c>
      <c r="C249" s="2" t="s">
        <v>1310</v>
      </c>
      <c r="D249" s="1">
        <v>2.6605230167E10</v>
      </c>
      <c r="E249" s="1" t="s">
        <v>964</v>
      </c>
      <c r="F249" s="1" t="b">
        <v>0</v>
      </c>
      <c r="G249" s="1" t="s">
        <v>34</v>
      </c>
      <c r="H249" s="1" t="b">
        <v>0</v>
      </c>
      <c r="I249" s="1">
        <v>0.0</v>
      </c>
      <c r="J249" s="1">
        <v>0.0</v>
      </c>
      <c r="K249" s="1">
        <v>0.0</v>
      </c>
      <c r="L249" s="1">
        <v>3.60010340731E11</v>
      </c>
      <c r="M249" s="1" t="s">
        <v>956</v>
      </c>
      <c r="N249" s="1" t="str">
        <f t="array" ref="N249">XLOOKUP(A:A,'CategoriasSeções'!A:A,'CategoriasSeções'!B:B)</f>
        <v>Comunicados</v>
      </c>
      <c r="O249" s="1" t="s">
        <v>981</v>
      </c>
      <c r="P249" s="12">
        <v>45225.78055555555</v>
      </c>
      <c r="Q249" s="12">
        <v>45225.78055555555</v>
      </c>
      <c r="R249" s="1" t="s">
        <v>1311</v>
      </c>
      <c r="S249" s="1" t="s">
        <v>1311</v>
      </c>
      <c r="T249" s="1" t="s">
        <v>38</v>
      </c>
      <c r="U249" s="1" t="s">
        <v>38</v>
      </c>
      <c r="V249" s="1" t="s">
        <v>75</v>
      </c>
      <c r="W249" s="1" t="s">
        <v>69</v>
      </c>
      <c r="X249" s="1" t="s">
        <v>69</v>
      </c>
      <c r="Y249" s="12">
        <v>45225.78055555555</v>
      </c>
      <c r="AA249" s="1">
        <v>1666192.0</v>
      </c>
      <c r="AB249" s="1" t="s">
        <v>1312</v>
      </c>
      <c r="AC249" s="1" t="s">
        <v>1313</v>
      </c>
      <c r="AD249" s="1" t="s">
        <v>1314</v>
      </c>
      <c r="AE249" s="1" t="s">
        <v>55</v>
      </c>
    </row>
    <row r="250" ht="56.25" customHeight="1">
      <c r="A250" s="1">
        <v>2.0671333162509E13</v>
      </c>
      <c r="B250" s="2" t="s">
        <v>1315</v>
      </c>
      <c r="C250" s="2" t="s">
        <v>1316</v>
      </c>
      <c r="D250" s="1">
        <v>2.6605230167E10</v>
      </c>
      <c r="E250" s="1" t="s">
        <v>964</v>
      </c>
      <c r="F250" s="1" t="b">
        <v>0</v>
      </c>
      <c r="G250" s="1" t="s">
        <v>34</v>
      </c>
      <c r="H250" s="1" t="b">
        <v>0</v>
      </c>
      <c r="I250" s="1">
        <v>0.0</v>
      </c>
      <c r="J250" s="1">
        <v>0.0</v>
      </c>
      <c r="K250" s="1">
        <v>0.0</v>
      </c>
      <c r="L250" s="1">
        <v>3.60007089791E11</v>
      </c>
      <c r="M250" s="1" t="s">
        <v>956</v>
      </c>
      <c r="N250" s="1" t="str">
        <f t="array" ref="N250">XLOOKUP(A:A,'CategoriasSeções'!A:A,'CategoriasSeções'!B:B)</f>
        <v>IMPORTAÇÃO</v>
      </c>
      <c r="O250" s="1" t="s">
        <v>129</v>
      </c>
      <c r="P250" s="12">
        <v>45223.60138888889</v>
      </c>
      <c r="Q250" s="12">
        <v>45223.60138888889</v>
      </c>
      <c r="R250" s="1" t="s">
        <v>1317</v>
      </c>
      <c r="S250" s="1" t="s">
        <v>1317</v>
      </c>
      <c r="T250" s="1" t="s">
        <v>38</v>
      </c>
      <c r="U250" s="1" t="s">
        <v>38</v>
      </c>
      <c r="V250" s="1" t="s">
        <v>75</v>
      </c>
      <c r="W250" s="1" t="s">
        <v>69</v>
      </c>
      <c r="X250" s="1" t="s">
        <v>69</v>
      </c>
      <c r="Y250" s="12">
        <v>45223.60138888889</v>
      </c>
      <c r="AA250" s="1">
        <v>1666192.0</v>
      </c>
      <c r="AB250" s="1" t="s">
        <v>1318</v>
      </c>
      <c r="AC250" s="1" t="s">
        <v>1319</v>
      </c>
      <c r="AD250" s="1" t="s">
        <v>1320</v>
      </c>
      <c r="AE250" s="1" t="s">
        <v>55</v>
      </c>
    </row>
    <row r="251" ht="56.25" customHeight="1">
      <c r="A251" s="1">
        <v>2.0472573985293E13</v>
      </c>
      <c r="B251" s="2" t="s">
        <v>1321</v>
      </c>
      <c r="C251" s="2" t="s">
        <v>1322</v>
      </c>
      <c r="D251" s="1">
        <v>2.6605230167E10</v>
      </c>
      <c r="E251" s="1" t="s">
        <v>964</v>
      </c>
      <c r="F251" s="1" t="b">
        <v>0</v>
      </c>
      <c r="G251" s="1" t="s">
        <v>34</v>
      </c>
      <c r="H251" s="1" t="b">
        <v>0</v>
      </c>
      <c r="I251" s="1">
        <v>0.0</v>
      </c>
      <c r="J251" s="1">
        <v>0.0</v>
      </c>
      <c r="K251" s="1">
        <v>0.0</v>
      </c>
      <c r="L251" s="1">
        <v>3.60007089791E11</v>
      </c>
      <c r="M251" s="1" t="s">
        <v>956</v>
      </c>
      <c r="N251" s="1" t="str">
        <f t="array" ref="N251">XLOOKUP(A:A,'CategoriasSeções'!A:A,'CategoriasSeções'!B:B)</f>
        <v>IMPORTAÇÃO</v>
      </c>
      <c r="O251" s="1" t="s">
        <v>129</v>
      </c>
      <c r="P251" s="12">
        <v>45216.80625</v>
      </c>
      <c r="Q251" s="3">
        <v>45526.51875</v>
      </c>
      <c r="R251" s="1" t="s">
        <v>1323</v>
      </c>
      <c r="S251" s="1" t="s">
        <v>1323</v>
      </c>
      <c r="T251" s="1" t="s">
        <v>38</v>
      </c>
      <c r="U251" s="1" t="s">
        <v>38</v>
      </c>
      <c r="V251" s="1" t="s">
        <v>75</v>
      </c>
      <c r="W251" s="1" t="s">
        <v>69</v>
      </c>
      <c r="X251" s="1" t="s">
        <v>69</v>
      </c>
      <c r="Y251" s="3">
        <v>45236.683333333334</v>
      </c>
      <c r="AA251" s="1">
        <v>1666192.0</v>
      </c>
      <c r="AB251" s="1" t="s">
        <v>55</v>
      </c>
      <c r="AC251" s="1" t="s">
        <v>55</v>
      </c>
      <c r="AD251" s="1" t="s">
        <v>1324</v>
      </c>
      <c r="AE251" s="1" t="s">
        <v>55</v>
      </c>
    </row>
    <row r="252" ht="56.25" customHeight="1">
      <c r="A252" s="1">
        <v>2.0169865795085E13</v>
      </c>
      <c r="B252" s="2" t="s">
        <v>1325</v>
      </c>
      <c r="C252" s="2" t="s">
        <v>1326</v>
      </c>
      <c r="D252" s="1">
        <v>2.6343329307E10</v>
      </c>
      <c r="E252" s="1" t="s">
        <v>1327</v>
      </c>
      <c r="F252" s="1" t="b">
        <v>0</v>
      </c>
      <c r="G252" s="1" t="s">
        <v>34</v>
      </c>
      <c r="H252" s="1" t="b">
        <v>0</v>
      </c>
      <c r="I252" s="1">
        <v>0.0</v>
      </c>
      <c r="J252" s="1">
        <v>0.0</v>
      </c>
      <c r="K252" s="1">
        <v>0.0</v>
      </c>
      <c r="L252" s="1">
        <v>3.60010340731E11</v>
      </c>
      <c r="M252" s="1" t="s">
        <v>956</v>
      </c>
      <c r="N252" s="1" t="str">
        <f t="array" ref="N252">XLOOKUP(A:A,'CategoriasSeções'!A:A,'CategoriasSeções'!B:B)</f>
        <v>Comunicados</v>
      </c>
      <c r="O252" s="1" t="s">
        <v>981</v>
      </c>
      <c r="P252" s="3">
        <v>45205.77847222222</v>
      </c>
      <c r="Q252" s="3">
        <v>45526.59027777778</v>
      </c>
      <c r="R252" s="1" t="s">
        <v>1328</v>
      </c>
      <c r="S252" s="1" t="s">
        <v>1328</v>
      </c>
      <c r="T252" s="1" t="s">
        <v>38</v>
      </c>
      <c r="U252" s="1" t="s">
        <v>38</v>
      </c>
      <c r="V252" s="1" t="s">
        <v>75</v>
      </c>
      <c r="W252" s="1" t="s">
        <v>69</v>
      </c>
      <c r="X252" s="1" t="s">
        <v>69</v>
      </c>
      <c r="Y252" s="12">
        <v>45288.589583333334</v>
      </c>
      <c r="AA252" s="1">
        <v>1666192.0</v>
      </c>
      <c r="AB252" s="1" t="s">
        <v>55</v>
      </c>
      <c r="AC252" s="1" t="s">
        <v>1329</v>
      </c>
      <c r="AD252" s="1" t="s">
        <v>1330</v>
      </c>
      <c r="AE252" s="1" t="s">
        <v>55</v>
      </c>
    </row>
    <row r="253" ht="56.25" customHeight="1">
      <c r="A253" s="1">
        <v>1.9750990892173E13</v>
      </c>
      <c r="B253" s="2" t="s">
        <v>1331</v>
      </c>
      <c r="C253" s="2" t="s">
        <v>1332</v>
      </c>
      <c r="D253" s="1">
        <v>2.6605230167E10</v>
      </c>
      <c r="E253" s="1" t="s">
        <v>964</v>
      </c>
      <c r="F253" s="1" t="b">
        <v>0</v>
      </c>
      <c r="G253" s="1" t="s">
        <v>34</v>
      </c>
      <c r="H253" s="1" t="b">
        <v>0</v>
      </c>
      <c r="I253" s="1">
        <v>0.0</v>
      </c>
      <c r="J253" s="1">
        <v>0.0</v>
      </c>
      <c r="K253" s="1">
        <v>0.0</v>
      </c>
      <c r="L253" s="1">
        <v>3.60010221392E11</v>
      </c>
      <c r="M253" s="1" t="s">
        <v>956</v>
      </c>
      <c r="N253" s="1" t="str">
        <f t="array" ref="N253">XLOOKUP(A:A,'CategoriasSeções'!A:A,'CategoriasSeções'!B:B)</f>
        <v>Comunicados</v>
      </c>
      <c r="O253" s="1" t="s">
        <v>957</v>
      </c>
      <c r="P253" s="3">
        <v>45191.83263888889</v>
      </c>
      <c r="Q253" s="3">
        <v>45191.83263888889</v>
      </c>
      <c r="R253" s="1" t="s">
        <v>1333</v>
      </c>
      <c r="S253" s="1" t="s">
        <v>1333</v>
      </c>
      <c r="T253" s="1" t="s">
        <v>38</v>
      </c>
      <c r="U253" s="1" t="s">
        <v>38</v>
      </c>
      <c r="V253" s="1" t="s">
        <v>75</v>
      </c>
      <c r="W253" s="1" t="s">
        <v>69</v>
      </c>
      <c r="X253" s="1" t="s">
        <v>69</v>
      </c>
      <c r="Y253" s="3">
        <v>45191.83263888889</v>
      </c>
      <c r="AA253" s="1">
        <v>1666192.0</v>
      </c>
      <c r="AB253" s="1" t="s">
        <v>1334</v>
      </c>
      <c r="AC253" s="1" t="s">
        <v>1335</v>
      </c>
      <c r="AD253" s="1" t="s">
        <v>1336</v>
      </c>
      <c r="AE253" s="1" t="s">
        <v>55</v>
      </c>
    </row>
    <row r="254" ht="56.25" customHeight="1">
      <c r="A254" s="1">
        <v>1.9539846987149E13</v>
      </c>
      <c r="B254" s="2" t="s">
        <v>1337</v>
      </c>
      <c r="C254" s="2" t="s">
        <v>1338</v>
      </c>
      <c r="D254" s="1">
        <v>2.6605230167E10</v>
      </c>
      <c r="E254" s="1" t="s">
        <v>964</v>
      </c>
      <c r="F254" s="1" t="b">
        <v>0</v>
      </c>
      <c r="G254" s="1" t="s">
        <v>34</v>
      </c>
      <c r="H254" s="1" t="b">
        <v>0</v>
      </c>
      <c r="I254" s="1">
        <v>0.0</v>
      </c>
      <c r="J254" s="1">
        <v>0.0</v>
      </c>
      <c r="K254" s="1">
        <v>0.0</v>
      </c>
      <c r="L254" s="1">
        <v>3.60010221392E11</v>
      </c>
      <c r="M254" s="1" t="s">
        <v>956</v>
      </c>
      <c r="N254" s="1" t="str">
        <f t="array" ref="N254">XLOOKUP(A:A,'CategoriasSeções'!A:A,'CategoriasSeções'!B:B)</f>
        <v>Comunicados</v>
      </c>
      <c r="O254" s="1" t="s">
        <v>957</v>
      </c>
      <c r="P254" s="3">
        <v>45184.853472222225</v>
      </c>
      <c r="Q254" s="3">
        <v>45184.853472222225</v>
      </c>
      <c r="R254" s="1" t="s">
        <v>1339</v>
      </c>
      <c r="S254" s="1" t="s">
        <v>1339</v>
      </c>
      <c r="T254" s="1" t="s">
        <v>38</v>
      </c>
      <c r="U254" s="1" t="s">
        <v>38</v>
      </c>
      <c r="V254" s="1" t="s">
        <v>75</v>
      </c>
      <c r="W254" s="1" t="s">
        <v>69</v>
      </c>
      <c r="X254" s="1" t="s">
        <v>69</v>
      </c>
      <c r="Y254" s="3">
        <v>45184.853472222225</v>
      </c>
      <c r="AA254" s="1">
        <v>1666192.0</v>
      </c>
      <c r="AB254" s="1" t="s">
        <v>1340</v>
      </c>
      <c r="AC254" s="1" t="s">
        <v>55</v>
      </c>
      <c r="AD254" s="1" t="s">
        <v>1341</v>
      </c>
      <c r="AE254" s="1" t="s">
        <v>55</v>
      </c>
    </row>
    <row r="255" ht="56.25" customHeight="1">
      <c r="A255" s="1">
        <v>1.9208038855565E13</v>
      </c>
      <c r="B255" s="2" t="s">
        <v>1342</v>
      </c>
      <c r="C255" s="2" t="s">
        <v>1343</v>
      </c>
      <c r="D255" s="1">
        <v>2.6605230167E10</v>
      </c>
      <c r="E255" s="1" t="s">
        <v>964</v>
      </c>
      <c r="F255" s="1" t="b">
        <v>0</v>
      </c>
      <c r="G255" s="1" t="s">
        <v>34</v>
      </c>
      <c r="H255" s="1" t="b">
        <v>0</v>
      </c>
      <c r="I255" s="1">
        <v>0.0</v>
      </c>
      <c r="J255" s="1">
        <v>0.0</v>
      </c>
      <c r="K255" s="1">
        <v>0.0</v>
      </c>
      <c r="L255" s="1">
        <v>3.60007089791E11</v>
      </c>
      <c r="M255" s="1" t="s">
        <v>956</v>
      </c>
      <c r="N255" s="1" t="str">
        <f t="array" ref="N255">XLOOKUP(A:A,'CategoriasSeções'!A:A,'CategoriasSeções'!B:B)</f>
        <v>IMPORTAÇÃO</v>
      </c>
      <c r="O255" s="1" t="s">
        <v>129</v>
      </c>
      <c r="P255" s="3">
        <v>45174.61041666667</v>
      </c>
      <c r="Q255" s="3">
        <v>45526.57638888889</v>
      </c>
      <c r="R255" s="1" t="s">
        <v>1344</v>
      </c>
      <c r="S255" s="1" t="s">
        <v>1344</v>
      </c>
      <c r="T255" s="1" t="s">
        <v>38</v>
      </c>
      <c r="U255" s="1" t="s">
        <v>38</v>
      </c>
      <c r="V255" s="1" t="s">
        <v>75</v>
      </c>
      <c r="W255" s="1" t="s">
        <v>69</v>
      </c>
      <c r="X255" s="1" t="s">
        <v>69</v>
      </c>
      <c r="Y255" s="3">
        <v>45191.62708333333</v>
      </c>
      <c r="AA255" s="1">
        <v>1666192.0</v>
      </c>
      <c r="AB255" s="1" t="s">
        <v>1334</v>
      </c>
      <c r="AC255" s="1" t="s">
        <v>55</v>
      </c>
      <c r="AD255" s="1" t="s">
        <v>1345</v>
      </c>
      <c r="AE255" s="1" t="s">
        <v>55</v>
      </c>
    </row>
    <row r="256" ht="56.25" customHeight="1">
      <c r="A256" s="1">
        <v>1.8983478092813E13</v>
      </c>
      <c r="B256" s="2" t="s">
        <v>1346</v>
      </c>
      <c r="C256" s="2" t="s">
        <v>1347</v>
      </c>
      <c r="D256" s="1">
        <v>2.6605230167E10</v>
      </c>
      <c r="E256" s="1" t="s">
        <v>964</v>
      </c>
      <c r="F256" s="1" t="b">
        <v>0</v>
      </c>
      <c r="G256" s="1" t="s">
        <v>34</v>
      </c>
      <c r="H256" s="1" t="b">
        <v>0</v>
      </c>
      <c r="I256" s="1">
        <v>0.0</v>
      </c>
      <c r="J256" s="1">
        <v>0.0</v>
      </c>
      <c r="K256" s="1">
        <v>0.0</v>
      </c>
      <c r="L256" s="1">
        <v>3.60010340731E11</v>
      </c>
      <c r="M256" s="1" t="s">
        <v>956</v>
      </c>
      <c r="N256" s="1" t="str">
        <f t="array" ref="N256">XLOOKUP(A:A,'CategoriasSeções'!A:A,'CategoriasSeções'!B:B)</f>
        <v>Comunicados</v>
      </c>
      <c r="O256" s="1" t="s">
        <v>981</v>
      </c>
      <c r="P256" s="3">
        <v>45167.618055555555</v>
      </c>
      <c r="Q256" s="3">
        <v>45167.618055555555</v>
      </c>
      <c r="R256" s="1" t="s">
        <v>1348</v>
      </c>
      <c r="S256" s="1" t="s">
        <v>1348</v>
      </c>
      <c r="T256" s="1" t="s">
        <v>38</v>
      </c>
      <c r="U256" s="1" t="s">
        <v>38</v>
      </c>
      <c r="V256" s="1" t="s">
        <v>75</v>
      </c>
      <c r="W256" s="1" t="s">
        <v>69</v>
      </c>
      <c r="X256" s="1" t="s">
        <v>69</v>
      </c>
      <c r="Y256" s="3">
        <v>45167.618055555555</v>
      </c>
      <c r="AA256" s="1">
        <v>1666192.0</v>
      </c>
      <c r="AB256" s="1" t="s">
        <v>1349</v>
      </c>
      <c r="AC256" s="1" t="s">
        <v>1350</v>
      </c>
      <c r="AD256" s="1" t="s">
        <v>1351</v>
      </c>
      <c r="AE256" s="1" t="s">
        <v>55</v>
      </c>
    </row>
    <row r="257" ht="56.25" customHeight="1">
      <c r="A257" s="1">
        <v>1.7605571493901E13</v>
      </c>
      <c r="B257" s="2" t="s">
        <v>1352</v>
      </c>
      <c r="C257" s="2" t="s">
        <v>1353</v>
      </c>
      <c r="D257" s="1">
        <v>2.6605230167E10</v>
      </c>
      <c r="E257" s="1" t="s">
        <v>964</v>
      </c>
      <c r="F257" s="1" t="b">
        <v>0</v>
      </c>
      <c r="G257" s="1" t="s">
        <v>34</v>
      </c>
      <c r="H257" s="1" t="b">
        <v>0</v>
      </c>
      <c r="I257" s="1">
        <v>0.0</v>
      </c>
      <c r="J257" s="1">
        <v>0.0</v>
      </c>
      <c r="K257" s="1">
        <v>0.0</v>
      </c>
      <c r="L257" s="1">
        <v>3.60010221392E11</v>
      </c>
      <c r="M257" s="1" t="s">
        <v>956</v>
      </c>
      <c r="N257" s="1" t="str">
        <f t="array" ref="N257">XLOOKUP(A:A,'CategoriasSeções'!A:A,'CategoriasSeções'!B:B)</f>
        <v>Comunicados</v>
      </c>
      <c r="O257" s="1" t="s">
        <v>957</v>
      </c>
      <c r="P257" s="3">
        <v>45121.55694444444</v>
      </c>
      <c r="Q257" s="3">
        <v>45140.75208333333</v>
      </c>
      <c r="R257" s="1" t="s">
        <v>1354</v>
      </c>
      <c r="S257" s="1" t="s">
        <v>1354</v>
      </c>
      <c r="T257" s="1" t="s">
        <v>38</v>
      </c>
      <c r="U257" s="1" t="s">
        <v>38</v>
      </c>
      <c r="V257" s="1" t="s">
        <v>75</v>
      </c>
      <c r="W257" s="1" t="s">
        <v>69</v>
      </c>
      <c r="X257" s="1" t="s">
        <v>69</v>
      </c>
      <c r="Y257" s="3">
        <v>45121.55694444444</v>
      </c>
      <c r="AA257" s="1">
        <v>1666192.0</v>
      </c>
      <c r="AB257" s="1" t="s">
        <v>1355</v>
      </c>
      <c r="AC257" s="1" t="s">
        <v>1356</v>
      </c>
      <c r="AD257" s="1" t="s">
        <v>1357</v>
      </c>
      <c r="AE257" s="1" t="s">
        <v>55</v>
      </c>
    </row>
    <row r="258" ht="56.25" customHeight="1">
      <c r="A258" s="1">
        <v>1.7149292259213E13</v>
      </c>
      <c r="B258" s="2" t="s">
        <v>1358</v>
      </c>
      <c r="C258" s="2" t="s">
        <v>1359</v>
      </c>
      <c r="D258" s="1">
        <v>2.6605230167E10</v>
      </c>
      <c r="E258" s="1" t="s">
        <v>964</v>
      </c>
      <c r="F258" s="1" t="b">
        <v>0</v>
      </c>
      <c r="G258" s="1" t="s">
        <v>34</v>
      </c>
      <c r="H258" s="1" t="b">
        <v>0</v>
      </c>
      <c r="I258" s="1">
        <v>0.0</v>
      </c>
      <c r="J258" s="1">
        <v>0.0</v>
      </c>
      <c r="K258" s="1">
        <v>0.0</v>
      </c>
      <c r="L258" s="1">
        <v>3.60010340731E11</v>
      </c>
      <c r="M258" s="1" t="s">
        <v>956</v>
      </c>
      <c r="N258" s="1" t="str">
        <f t="array" ref="N258">XLOOKUP(A:A,'CategoriasSeções'!A:A,'CategoriasSeções'!B:B)</f>
        <v>Comunicados</v>
      </c>
      <c r="O258" s="1" t="s">
        <v>981</v>
      </c>
      <c r="P258" s="3">
        <v>45105.52569444444</v>
      </c>
      <c r="Q258" s="3">
        <v>45105.52569444444</v>
      </c>
      <c r="R258" s="1" t="s">
        <v>1360</v>
      </c>
      <c r="S258" s="1" t="s">
        <v>1360</v>
      </c>
      <c r="T258" s="1" t="s">
        <v>38</v>
      </c>
      <c r="U258" s="1" t="s">
        <v>38</v>
      </c>
      <c r="V258" s="1" t="s">
        <v>75</v>
      </c>
      <c r="W258" s="1" t="s">
        <v>69</v>
      </c>
      <c r="X258" s="1" t="s">
        <v>69</v>
      </c>
      <c r="Y258" s="3">
        <v>45105.52569444444</v>
      </c>
      <c r="AA258" s="1">
        <v>1666192.0</v>
      </c>
      <c r="AB258" s="1" t="s">
        <v>966</v>
      </c>
      <c r="AC258" s="1" t="s">
        <v>1361</v>
      </c>
      <c r="AD258" s="1" t="s">
        <v>1362</v>
      </c>
      <c r="AE258" s="1" t="s">
        <v>55</v>
      </c>
    </row>
    <row r="259" ht="56.25" customHeight="1">
      <c r="A259" s="1">
        <v>1.6818095609869E13</v>
      </c>
      <c r="B259" s="2" t="s">
        <v>1363</v>
      </c>
      <c r="C259" s="2" t="s">
        <v>1364</v>
      </c>
      <c r="D259" s="1">
        <v>2.6605230167E10</v>
      </c>
      <c r="E259" s="1" t="s">
        <v>964</v>
      </c>
      <c r="F259" s="1" t="b">
        <v>0</v>
      </c>
      <c r="G259" s="1" t="s">
        <v>34</v>
      </c>
      <c r="H259" s="1" t="b">
        <v>0</v>
      </c>
      <c r="I259" s="1">
        <v>0.0</v>
      </c>
      <c r="J259" s="1">
        <v>0.0</v>
      </c>
      <c r="K259" s="1">
        <v>0.0</v>
      </c>
      <c r="L259" s="1">
        <v>3.60010340731E11</v>
      </c>
      <c r="M259" s="1" t="s">
        <v>956</v>
      </c>
      <c r="N259" s="1" t="str">
        <f t="array" ref="N259">XLOOKUP(A:A,'CategoriasSeções'!A:A,'CategoriasSeções'!B:B)</f>
        <v>Comunicados</v>
      </c>
      <c r="O259" s="1" t="s">
        <v>981</v>
      </c>
      <c r="P259" s="3">
        <v>45093.71319444444</v>
      </c>
      <c r="Q259" s="3">
        <v>45093.71319444444</v>
      </c>
      <c r="R259" s="1" t="s">
        <v>1365</v>
      </c>
      <c r="S259" s="1" t="s">
        <v>1365</v>
      </c>
      <c r="T259" s="1" t="s">
        <v>38</v>
      </c>
      <c r="U259" s="1" t="s">
        <v>38</v>
      </c>
      <c r="V259" s="1" t="s">
        <v>75</v>
      </c>
      <c r="W259" s="1" t="s">
        <v>69</v>
      </c>
      <c r="X259" s="1" t="s">
        <v>69</v>
      </c>
      <c r="Y259" s="3">
        <v>45093.71319444444</v>
      </c>
      <c r="AA259" s="1">
        <v>1666192.0</v>
      </c>
      <c r="AB259" s="1" t="s">
        <v>1366</v>
      </c>
      <c r="AC259" s="1" t="s">
        <v>1367</v>
      </c>
      <c r="AD259" s="1" t="s">
        <v>1368</v>
      </c>
      <c r="AE259" s="1" t="s">
        <v>55</v>
      </c>
    </row>
    <row r="260" ht="56.25" customHeight="1">
      <c r="A260" s="1">
        <v>1.6417342917901E13</v>
      </c>
      <c r="B260" s="2" t="s">
        <v>1369</v>
      </c>
      <c r="C260" s="2" t="s">
        <v>1370</v>
      </c>
      <c r="D260" s="1">
        <v>2.6605230167E10</v>
      </c>
      <c r="E260" s="1" t="s">
        <v>964</v>
      </c>
      <c r="F260" s="1" t="b">
        <v>0</v>
      </c>
      <c r="G260" s="1" t="s">
        <v>34</v>
      </c>
      <c r="H260" s="1" t="b">
        <v>0</v>
      </c>
      <c r="I260" s="1">
        <v>0.0</v>
      </c>
      <c r="J260" s="1">
        <v>0.0</v>
      </c>
      <c r="K260" s="1">
        <v>0.0</v>
      </c>
      <c r="L260" s="1">
        <v>3.60010340731E11</v>
      </c>
      <c r="M260" s="1" t="s">
        <v>956</v>
      </c>
      <c r="N260" s="1" t="str">
        <f t="array" ref="N260">XLOOKUP(A:A,'CategoriasSeções'!A:A,'CategoriasSeções'!B:B)</f>
        <v>Comunicados</v>
      </c>
      <c r="O260" s="1" t="s">
        <v>981</v>
      </c>
      <c r="P260" s="3">
        <v>45082.561111111114</v>
      </c>
      <c r="Q260" s="3">
        <v>45082.56180555555</v>
      </c>
      <c r="R260" s="1" t="s">
        <v>1371</v>
      </c>
      <c r="S260" s="1" t="s">
        <v>1371</v>
      </c>
      <c r="T260" s="1" t="s">
        <v>38</v>
      </c>
      <c r="U260" s="1" t="s">
        <v>38</v>
      </c>
      <c r="V260" s="1" t="s">
        <v>75</v>
      </c>
      <c r="W260" s="1" t="s">
        <v>69</v>
      </c>
      <c r="X260" s="1" t="s">
        <v>69</v>
      </c>
      <c r="Y260" s="3">
        <v>45082.56180555555</v>
      </c>
      <c r="AA260" s="1">
        <v>1666192.0</v>
      </c>
      <c r="AB260" s="1" t="s">
        <v>1372</v>
      </c>
      <c r="AC260" s="1" t="s">
        <v>1373</v>
      </c>
      <c r="AD260" s="1" t="s">
        <v>1374</v>
      </c>
      <c r="AE260" s="1" t="s">
        <v>55</v>
      </c>
    </row>
    <row r="261" ht="56.25" customHeight="1">
      <c r="A261" s="1">
        <v>1.5611721936013E13</v>
      </c>
      <c r="B261" s="2" t="s">
        <v>1375</v>
      </c>
      <c r="C261" s="2" t="s">
        <v>1376</v>
      </c>
      <c r="D261" s="1">
        <v>2.6605230167E10</v>
      </c>
      <c r="E261" s="1" t="s">
        <v>964</v>
      </c>
      <c r="F261" s="1" t="b">
        <v>0</v>
      </c>
      <c r="G261" s="1" t="s">
        <v>34</v>
      </c>
      <c r="H261" s="1" t="b">
        <v>0</v>
      </c>
      <c r="I261" s="1">
        <v>0.0</v>
      </c>
      <c r="J261" s="1">
        <v>0.0</v>
      </c>
      <c r="K261" s="1">
        <v>0.0</v>
      </c>
      <c r="L261" s="1">
        <v>3.60007284792E11</v>
      </c>
      <c r="M261" s="1" t="s">
        <v>956</v>
      </c>
      <c r="N261" s="1" t="str">
        <f t="array" ref="N261">XLOOKUP(A:A,'CategoriasSeções'!A:A,'CategoriasSeções'!B:B)</f>
        <v>EXPORTAÇÃO - CABOTAGEM</v>
      </c>
      <c r="O261" s="1" t="s">
        <v>1062</v>
      </c>
      <c r="P261" s="3">
        <v>45055.59930555556</v>
      </c>
      <c r="Q261" s="3">
        <v>45526.52222222222</v>
      </c>
      <c r="R261" s="1" t="s">
        <v>1377</v>
      </c>
      <c r="S261" s="1" t="s">
        <v>1377</v>
      </c>
      <c r="T261" s="1" t="s">
        <v>38</v>
      </c>
      <c r="U261" s="1" t="s">
        <v>38</v>
      </c>
      <c r="V261" s="1" t="s">
        <v>75</v>
      </c>
      <c r="W261" s="1" t="s">
        <v>69</v>
      </c>
      <c r="X261" s="1" t="s">
        <v>69</v>
      </c>
      <c r="Y261" s="3">
        <v>45111.61041666667</v>
      </c>
      <c r="AA261" s="1">
        <v>1666192.0</v>
      </c>
      <c r="AB261" s="1" t="s">
        <v>1378</v>
      </c>
      <c r="AC261" s="1" t="s">
        <v>1379</v>
      </c>
      <c r="AD261" s="1" t="s">
        <v>1380</v>
      </c>
      <c r="AE261" s="1" t="s">
        <v>55</v>
      </c>
    </row>
    <row r="262" ht="56.25" customHeight="1">
      <c r="A262" s="1">
        <v>1.5237788044045E13</v>
      </c>
      <c r="B262" s="2" t="s">
        <v>1381</v>
      </c>
      <c r="C262" s="2" t="s">
        <v>1382</v>
      </c>
      <c r="D262" s="1">
        <v>2.6605230167E10</v>
      </c>
      <c r="E262" s="1" t="s">
        <v>964</v>
      </c>
      <c r="F262" s="1" t="b">
        <v>0</v>
      </c>
      <c r="G262" s="1" t="s">
        <v>34</v>
      </c>
      <c r="H262" s="1" t="b">
        <v>0</v>
      </c>
      <c r="I262" s="1">
        <v>0.0</v>
      </c>
      <c r="J262" s="1">
        <v>0.0</v>
      </c>
      <c r="K262" s="1">
        <v>0.0</v>
      </c>
      <c r="L262" s="1">
        <v>3.60010340731E11</v>
      </c>
      <c r="M262" s="1" t="s">
        <v>956</v>
      </c>
      <c r="N262" s="1" t="str">
        <f t="array" ref="N262">XLOOKUP(A:A,'CategoriasSeções'!A:A,'CategoriasSeções'!B:B)</f>
        <v>Comunicados</v>
      </c>
      <c r="O262" s="1" t="s">
        <v>981</v>
      </c>
      <c r="P262" s="3">
        <v>45042.51458333333</v>
      </c>
      <c r="Q262" s="3">
        <v>45042.51458333333</v>
      </c>
      <c r="R262" s="1" t="s">
        <v>1383</v>
      </c>
      <c r="S262" s="1" t="s">
        <v>1383</v>
      </c>
      <c r="T262" s="1" t="s">
        <v>38</v>
      </c>
      <c r="U262" s="1" t="s">
        <v>38</v>
      </c>
      <c r="V262" s="1" t="s">
        <v>75</v>
      </c>
      <c r="W262" s="1" t="s">
        <v>69</v>
      </c>
      <c r="X262" s="1" t="s">
        <v>69</v>
      </c>
      <c r="Y262" s="3">
        <v>45042.51458333333</v>
      </c>
      <c r="AA262" s="1">
        <v>1666192.0</v>
      </c>
      <c r="AB262" s="1" t="s">
        <v>55</v>
      </c>
      <c r="AC262" s="1" t="s">
        <v>1384</v>
      </c>
      <c r="AD262" s="1" t="s">
        <v>1385</v>
      </c>
      <c r="AE262" s="1" t="s">
        <v>55</v>
      </c>
    </row>
    <row r="263" ht="56.25" customHeight="1">
      <c r="A263" s="1">
        <v>1.4387162947725E13</v>
      </c>
      <c r="B263" s="2" t="s">
        <v>1386</v>
      </c>
      <c r="C263" s="2" t="s">
        <v>1387</v>
      </c>
      <c r="D263" s="1">
        <v>2.6343329307E10</v>
      </c>
      <c r="E263" s="1" t="s">
        <v>1327</v>
      </c>
      <c r="F263" s="1" t="b">
        <v>0</v>
      </c>
      <c r="G263" s="1" t="s">
        <v>34</v>
      </c>
      <c r="H263" s="1" t="b">
        <v>0</v>
      </c>
      <c r="I263" s="1">
        <v>0.0</v>
      </c>
      <c r="J263" s="1">
        <v>0.0</v>
      </c>
      <c r="K263" s="1">
        <v>0.0</v>
      </c>
      <c r="L263" s="1">
        <v>3.60010340731E11</v>
      </c>
      <c r="M263" s="1" t="s">
        <v>956</v>
      </c>
      <c r="N263" s="1" t="str">
        <f t="array" ref="N263">XLOOKUP(A:A,'CategoriasSeções'!A:A,'CategoriasSeções'!B:B)</f>
        <v>Comunicados</v>
      </c>
      <c r="O263" s="1" t="s">
        <v>981</v>
      </c>
      <c r="P263" s="3">
        <v>45013.768055555556</v>
      </c>
      <c r="Q263" s="3">
        <v>45526.552777777775</v>
      </c>
      <c r="R263" s="1" t="s">
        <v>1388</v>
      </c>
      <c r="S263" s="1" t="s">
        <v>1388</v>
      </c>
      <c r="T263" s="1" t="s">
        <v>38</v>
      </c>
      <c r="U263" s="1" t="s">
        <v>38</v>
      </c>
      <c r="V263" s="1" t="s">
        <v>75</v>
      </c>
      <c r="W263" s="1" t="s">
        <v>69</v>
      </c>
      <c r="X263" s="1" t="s">
        <v>69</v>
      </c>
      <c r="Y263" s="3">
        <v>45013.76875</v>
      </c>
      <c r="AA263" s="1">
        <v>1666192.0</v>
      </c>
      <c r="AB263" s="1" t="s">
        <v>55</v>
      </c>
      <c r="AC263" s="1" t="s">
        <v>1389</v>
      </c>
      <c r="AD263" s="1" t="s">
        <v>1390</v>
      </c>
      <c r="AE263" s="1" t="s">
        <v>55</v>
      </c>
    </row>
    <row r="264" ht="56.25" customHeight="1">
      <c r="A264" s="1">
        <v>1.3100388154637E13</v>
      </c>
      <c r="B264" s="2" t="s">
        <v>1391</v>
      </c>
      <c r="C264" s="2" t="s">
        <v>1392</v>
      </c>
      <c r="D264" s="1">
        <v>2.6605230167E10</v>
      </c>
      <c r="E264" s="1" t="s">
        <v>964</v>
      </c>
      <c r="F264" s="1" t="b">
        <v>0</v>
      </c>
      <c r="G264" s="1" t="s">
        <v>34</v>
      </c>
      <c r="H264" s="1" t="b">
        <v>0</v>
      </c>
      <c r="I264" s="1">
        <v>0.0</v>
      </c>
      <c r="J264" s="1">
        <v>0.0</v>
      </c>
      <c r="K264" s="1">
        <v>0.0</v>
      </c>
      <c r="L264" s="1">
        <v>3.60010340731E11</v>
      </c>
      <c r="M264" s="1" t="s">
        <v>956</v>
      </c>
      <c r="N264" s="1" t="str">
        <f t="array" ref="N264">XLOOKUP(A:A,'CategoriasSeções'!A:A,'CategoriasSeções'!B:B)</f>
        <v>Comunicados</v>
      </c>
      <c r="O264" s="1" t="s">
        <v>981</v>
      </c>
      <c r="P264" s="3">
        <v>44971.54305555556</v>
      </c>
      <c r="Q264" s="3">
        <v>45526.53888888889</v>
      </c>
      <c r="R264" s="1" t="s">
        <v>1393</v>
      </c>
      <c r="S264" s="1" t="s">
        <v>1393</v>
      </c>
      <c r="T264" s="1" t="s">
        <v>38</v>
      </c>
      <c r="U264" s="1" t="s">
        <v>38</v>
      </c>
      <c r="V264" s="1" t="s">
        <v>75</v>
      </c>
      <c r="W264" s="1" t="s">
        <v>69</v>
      </c>
      <c r="X264" s="1" t="s">
        <v>69</v>
      </c>
      <c r="Y264" s="3">
        <v>44971.54305555556</v>
      </c>
      <c r="AA264" s="1">
        <v>1666192.0</v>
      </c>
      <c r="AB264" s="1" t="s">
        <v>1394</v>
      </c>
      <c r="AC264" s="1" t="s">
        <v>1395</v>
      </c>
      <c r="AD264" s="1" t="s">
        <v>1396</v>
      </c>
      <c r="AE264" s="1" t="s">
        <v>55</v>
      </c>
    </row>
    <row r="265" ht="56.25" customHeight="1">
      <c r="A265" s="1">
        <v>1.2573680069389E13</v>
      </c>
      <c r="B265" s="2" t="s">
        <v>1397</v>
      </c>
      <c r="C265" s="2" t="s">
        <v>1398</v>
      </c>
      <c r="D265" s="1">
        <v>2.6343329307E10</v>
      </c>
      <c r="E265" s="1" t="s">
        <v>1327</v>
      </c>
      <c r="F265" s="1" t="b">
        <v>0</v>
      </c>
      <c r="G265" s="1" t="s">
        <v>34</v>
      </c>
      <c r="H265" s="1" t="b">
        <v>0</v>
      </c>
      <c r="I265" s="1">
        <v>0.0</v>
      </c>
      <c r="J265" s="1">
        <v>0.0</v>
      </c>
      <c r="K265" s="1">
        <v>0.0</v>
      </c>
      <c r="L265" s="1">
        <v>3.60010340731E11</v>
      </c>
      <c r="M265" s="1" t="s">
        <v>956</v>
      </c>
      <c r="N265" s="1" t="str">
        <f t="array" ref="N265">XLOOKUP(A:A,'CategoriasSeções'!A:A,'CategoriasSeções'!B:B)</f>
        <v>Comunicados</v>
      </c>
      <c r="O265" s="1" t="s">
        <v>981</v>
      </c>
      <c r="P265" s="3">
        <v>44952.654861111114</v>
      </c>
      <c r="Q265" s="3">
        <v>45526.45486111111</v>
      </c>
      <c r="R265" s="1" t="s">
        <v>1399</v>
      </c>
      <c r="S265" s="1" t="s">
        <v>1399</v>
      </c>
      <c r="T265" s="1" t="s">
        <v>38</v>
      </c>
      <c r="U265" s="1" t="s">
        <v>38</v>
      </c>
      <c r="V265" s="1" t="s">
        <v>75</v>
      </c>
      <c r="W265" s="1" t="s">
        <v>69</v>
      </c>
      <c r="X265" s="1" t="s">
        <v>69</v>
      </c>
      <c r="Y265" s="3">
        <v>44952.654861111114</v>
      </c>
      <c r="AA265" s="1">
        <v>1666192.0</v>
      </c>
      <c r="AB265" s="1" t="s">
        <v>1394</v>
      </c>
      <c r="AC265" s="1" t="s">
        <v>1400</v>
      </c>
      <c r="AD265" s="1" t="s">
        <v>1401</v>
      </c>
      <c r="AE265" s="1" t="s">
        <v>55</v>
      </c>
    </row>
    <row r="266" ht="56.25" customHeight="1">
      <c r="A266" s="1">
        <v>1.1848928325901E13</v>
      </c>
      <c r="B266" s="2" t="s">
        <v>1402</v>
      </c>
      <c r="C266" s="2" t="s">
        <v>1403</v>
      </c>
      <c r="D266" s="1">
        <v>2.6343329307E10</v>
      </c>
      <c r="E266" s="1" t="s">
        <v>1327</v>
      </c>
      <c r="F266" s="1" t="b">
        <v>0</v>
      </c>
      <c r="G266" s="1" t="s">
        <v>34</v>
      </c>
      <c r="H266" s="1" t="b">
        <v>0</v>
      </c>
      <c r="I266" s="1">
        <v>0.0</v>
      </c>
      <c r="J266" s="1">
        <v>1.0</v>
      </c>
      <c r="K266" s="1">
        <v>1.0</v>
      </c>
      <c r="L266" s="1">
        <v>3.60007089791E11</v>
      </c>
      <c r="M266" s="1" t="s">
        <v>956</v>
      </c>
      <c r="N266" s="1" t="str">
        <f t="array" ref="N266">XLOOKUP(A:A,'CategoriasSeções'!A:A,'CategoriasSeções'!B:B)</f>
        <v>IMPORTAÇÃO</v>
      </c>
      <c r="O266" s="1" t="s">
        <v>129</v>
      </c>
      <c r="P266" s="12">
        <v>44925.69305555556</v>
      </c>
      <c r="Q266" s="3">
        <v>45526.59027777778</v>
      </c>
      <c r="R266" s="1" t="s">
        <v>1404</v>
      </c>
      <c r="S266" s="1" t="s">
        <v>1404</v>
      </c>
      <c r="T266" s="1" t="s">
        <v>38</v>
      </c>
      <c r="U266" s="1" t="s">
        <v>38</v>
      </c>
      <c r="V266" s="1" t="s">
        <v>75</v>
      </c>
      <c r="W266" s="1" t="s">
        <v>69</v>
      </c>
      <c r="X266" s="1" t="s">
        <v>69</v>
      </c>
      <c r="Y266" s="3">
        <v>45321.72638888889</v>
      </c>
      <c r="AA266" s="1">
        <v>1666192.0</v>
      </c>
      <c r="AB266" s="1" t="s">
        <v>55</v>
      </c>
      <c r="AC266" s="1" t="s">
        <v>1405</v>
      </c>
      <c r="AD266" s="1" t="s">
        <v>1406</v>
      </c>
      <c r="AE266" s="1" t="s">
        <v>55</v>
      </c>
    </row>
    <row r="267" ht="56.25" customHeight="1">
      <c r="A267" s="1">
        <v>1.1267242185741E13</v>
      </c>
      <c r="B267" s="2" t="s">
        <v>1407</v>
      </c>
      <c r="C267" s="2" t="s">
        <v>1408</v>
      </c>
      <c r="D267" s="1">
        <v>2.6343329307E10</v>
      </c>
      <c r="E267" s="1" t="s">
        <v>1327</v>
      </c>
      <c r="F267" s="1" t="b">
        <v>0</v>
      </c>
      <c r="G267" s="1" t="s">
        <v>34</v>
      </c>
      <c r="H267" s="1" t="b">
        <v>0</v>
      </c>
      <c r="I267" s="1">
        <v>0.0</v>
      </c>
      <c r="J267" s="1">
        <v>0.0</v>
      </c>
      <c r="K267" s="1">
        <v>0.0</v>
      </c>
      <c r="L267" s="1">
        <v>3.60010340731E11</v>
      </c>
      <c r="M267" s="1" t="s">
        <v>956</v>
      </c>
      <c r="N267" s="1" t="str">
        <f t="array" ref="N267">XLOOKUP(A:A,'CategoriasSeções'!A:A,'CategoriasSeções'!B:B)</f>
        <v>Comunicados</v>
      </c>
      <c r="O267" s="1" t="s">
        <v>981</v>
      </c>
      <c r="P267" s="3">
        <v>44902.82777777778</v>
      </c>
      <c r="Q267" s="3">
        <v>45526.42152777778</v>
      </c>
      <c r="R267" s="1" t="s">
        <v>1409</v>
      </c>
      <c r="S267" s="1" t="s">
        <v>1409</v>
      </c>
      <c r="T267" s="1" t="s">
        <v>38</v>
      </c>
      <c r="U267" s="1" t="s">
        <v>38</v>
      </c>
      <c r="V267" s="1" t="s">
        <v>75</v>
      </c>
      <c r="W267" s="1" t="s">
        <v>39</v>
      </c>
      <c r="X267" s="1" t="s">
        <v>39</v>
      </c>
      <c r="Y267" s="3">
        <v>44902.82777777778</v>
      </c>
      <c r="Z267" s="1" t="s">
        <v>40</v>
      </c>
      <c r="AA267" s="1">
        <v>1666192.0</v>
      </c>
      <c r="AB267" s="1" t="s">
        <v>55</v>
      </c>
      <c r="AC267" s="1" t="s">
        <v>1410</v>
      </c>
      <c r="AD267" s="1" t="s">
        <v>1411</v>
      </c>
      <c r="AE267" s="1" t="s">
        <v>44</v>
      </c>
    </row>
    <row r="268" ht="56.25" customHeight="1">
      <c r="A268" s="1">
        <v>1.0909721856525E13</v>
      </c>
      <c r="B268" s="2" t="s">
        <v>1412</v>
      </c>
      <c r="C268" s="2" t="s">
        <v>1413</v>
      </c>
      <c r="D268" s="1">
        <v>2.6343329307E10</v>
      </c>
      <c r="E268" s="1" t="s">
        <v>1327</v>
      </c>
      <c r="F268" s="1" t="b">
        <v>0</v>
      </c>
      <c r="G268" s="1" t="s">
        <v>34</v>
      </c>
      <c r="H268" s="1" t="b">
        <v>0</v>
      </c>
      <c r="I268" s="1">
        <v>0.0</v>
      </c>
      <c r="J268" s="1">
        <v>0.0</v>
      </c>
      <c r="K268" s="1">
        <v>0.0</v>
      </c>
      <c r="L268" s="1">
        <v>3.60010340731E11</v>
      </c>
      <c r="M268" s="1" t="s">
        <v>956</v>
      </c>
      <c r="N268" s="1" t="str">
        <f t="array" ref="N268">XLOOKUP(A:A,'CategoriasSeções'!A:A,'CategoriasSeções'!B:B)</f>
        <v>Comunicados</v>
      </c>
      <c r="O268" s="1" t="s">
        <v>981</v>
      </c>
      <c r="P268" s="12">
        <v>44890.72430555556</v>
      </c>
      <c r="Q268" s="3">
        <v>45526.455555555556</v>
      </c>
      <c r="R268" s="1" t="s">
        <v>1414</v>
      </c>
      <c r="S268" s="1" t="s">
        <v>1414</v>
      </c>
      <c r="T268" s="1" t="s">
        <v>38</v>
      </c>
      <c r="U268" s="1" t="s">
        <v>38</v>
      </c>
      <c r="V268" s="1" t="s">
        <v>75</v>
      </c>
      <c r="W268" s="1" t="s">
        <v>69</v>
      </c>
      <c r="X268" s="1" t="s">
        <v>69</v>
      </c>
      <c r="Y268" s="12">
        <v>44890.72430555556</v>
      </c>
      <c r="AA268" s="1">
        <v>1666192.0</v>
      </c>
      <c r="AB268" s="1" t="s">
        <v>55</v>
      </c>
      <c r="AC268" s="1" t="s">
        <v>1415</v>
      </c>
      <c r="AD268" s="1" t="s">
        <v>1416</v>
      </c>
      <c r="AE268" s="1" t="s">
        <v>55</v>
      </c>
    </row>
    <row r="269" ht="56.25" customHeight="1">
      <c r="A269" s="1">
        <v>1.0903221771277E13</v>
      </c>
      <c r="B269" s="2" t="s">
        <v>1417</v>
      </c>
      <c r="C269" s="2" t="s">
        <v>1418</v>
      </c>
      <c r="D269" s="1">
        <v>2.6605230167E10</v>
      </c>
      <c r="E269" s="1" t="s">
        <v>964</v>
      </c>
      <c r="F269" s="1" t="b">
        <v>0</v>
      </c>
      <c r="G269" s="1" t="s">
        <v>34</v>
      </c>
      <c r="H269" s="1" t="b">
        <v>0</v>
      </c>
      <c r="I269" s="1">
        <v>0.0</v>
      </c>
      <c r="J269" s="1">
        <v>0.0</v>
      </c>
      <c r="K269" s="1">
        <v>0.0</v>
      </c>
      <c r="L269" s="1">
        <v>3.60007089791E11</v>
      </c>
      <c r="M269" s="1" t="s">
        <v>956</v>
      </c>
      <c r="N269" s="1" t="str">
        <f t="array" ref="N269">XLOOKUP(A:A,'CategoriasSeções'!A:A,'CategoriasSeções'!B:B)</f>
        <v>IMPORTAÇÃO</v>
      </c>
      <c r="O269" s="1" t="s">
        <v>129</v>
      </c>
      <c r="P269" s="12">
        <v>44890.55694444444</v>
      </c>
      <c r="Q269" s="3">
        <v>45526.57638888889</v>
      </c>
      <c r="R269" s="1" t="s">
        <v>1419</v>
      </c>
      <c r="S269" s="1" t="s">
        <v>1419</v>
      </c>
      <c r="T269" s="1" t="s">
        <v>38</v>
      </c>
      <c r="U269" s="1" t="s">
        <v>38</v>
      </c>
      <c r="V269" s="1" t="s">
        <v>75</v>
      </c>
      <c r="W269" s="1" t="s">
        <v>69</v>
      </c>
      <c r="X269" s="1" t="s">
        <v>69</v>
      </c>
      <c r="Y269" s="3">
        <v>44902.44097222222</v>
      </c>
      <c r="AA269" s="1">
        <v>1666192.0</v>
      </c>
      <c r="AB269" s="1" t="s">
        <v>55</v>
      </c>
      <c r="AC269" s="1" t="s">
        <v>1420</v>
      </c>
      <c r="AD269" s="1" t="s">
        <v>1421</v>
      </c>
      <c r="AE269" s="1" t="s">
        <v>55</v>
      </c>
    </row>
    <row r="270" ht="56.25" customHeight="1">
      <c r="A270" s="1">
        <v>1.0820290343309E13</v>
      </c>
      <c r="B270" s="2" t="s">
        <v>1422</v>
      </c>
      <c r="C270" s="2" t="s">
        <v>1423</v>
      </c>
      <c r="D270" s="1">
        <v>2.6343329307E10</v>
      </c>
      <c r="E270" s="1" t="s">
        <v>1327</v>
      </c>
      <c r="F270" s="1" t="b">
        <v>0</v>
      </c>
      <c r="G270" s="1" t="s">
        <v>34</v>
      </c>
      <c r="H270" s="1" t="b">
        <v>0</v>
      </c>
      <c r="I270" s="1">
        <v>0.0</v>
      </c>
      <c r="J270" s="1">
        <v>0.0</v>
      </c>
      <c r="K270" s="1">
        <v>0.0</v>
      </c>
      <c r="L270" s="1">
        <v>3.60010340731E11</v>
      </c>
      <c r="M270" s="1" t="s">
        <v>956</v>
      </c>
      <c r="N270" s="1" t="str">
        <f t="array" ref="N270">XLOOKUP(A:A,'CategoriasSeções'!A:A,'CategoriasSeções'!B:B)</f>
        <v>Comunicados</v>
      </c>
      <c r="O270" s="1" t="s">
        <v>981</v>
      </c>
      <c r="P270" s="12">
        <v>44887.52222222222</v>
      </c>
      <c r="Q270" s="3">
        <v>45526.51388888889</v>
      </c>
      <c r="R270" s="1" t="s">
        <v>1424</v>
      </c>
      <c r="S270" s="1" t="s">
        <v>1424</v>
      </c>
      <c r="T270" s="1" t="s">
        <v>38</v>
      </c>
      <c r="U270" s="1" t="s">
        <v>38</v>
      </c>
      <c r="V270" s="1" t="s">
        <v>75</v>
      </c>
      <c r="W270" s="1" t="s">
        <v>69</v>
      </c>
      <c r="X270" s="1" t="s">
        <v>69</v>
      </c>
      <c r="Y270" s="12">
        <v>44887.52222222222</v>
      </c>
      <c r="AA270" s="1">
        <v>1666192.0</v>
      </c>
      <c r="AB270" s="1" t="s">
        <v>55</v>
      </c>
      <c r="AC270" s="1" t="s">
        <v>1425</v>
      </c>
      <c r="AD270" s="1" t="s">
        <v>1426</v>
      </c>
      <c r="AE270" s="1" t="s">
        <v>55</v>
      </c>
    </row>
    <row r="271" ht="56.25" customHeight="1">
      <c r="A271" s="1">
        <v>1.0819800438797E13</v>
      </c>
      <c r="B271" s="2" t="s">
        <v>1427</v>
      </c>
      <c r="C271" s="2" t="s">
        <v>1428</v>
      </c>
      <c r="D271" s="1">
        <v>2.6343329307E10</v>
      </c>
      <c r="E271" s="1" t="s">
        <v>1327</v>
      </c>
      <c r="F271" s="1" t="b">
        <v>0</v>
      </c>
      <c r="G271" s="1" t="s">
        <v>34</v>
      </c>
      <c r="H271" s="1" t="b">
        <v>0</v>
      </c>
      <c r="I271" s="1">
        <v>0.0</v>
      </c>
      <c r="J271" s="1">
        <v>0.0</v>
      </c>
      <c r="K271" s="1">
        <v>0.0</v>
      </c>
      <c r="L271" s="1">
        <v>3.60010340731E11</v>
      </c>
      <c r="M271" s="1" t="s">
        <v>956</v>
      </c>
      <c r="N271" s="1" t="str">
        <f t="array" ref="N271">XLOOKUP(A:A,'CategoriasSeções'!A:A,'CategoriasSeções'!B:B)</f>
        <v>Comunicados</v>
      </c>
      <c r="O271" s="1" t="s">
        <v>981</v>
      </c>
      <c r="P271" s="12">
        <v>44887.510416666664</v>
      </c>
      <c r="Q271" s="3">
        <v>45526.57638888889</v>
      </c>
      <c r="R271" s="1" t="s">
        <v>1429</v>
      </c>
      <c r="S271" s="1" t="s">
        <v>1429</v>
      </c>
      <c r="T271" s="1" t="s">
        <v>38</v>
      </c>
      <c r="U271" s="1" t="s">
        <v>38</v>
      </c>
      <c r="V271" s="1" t="s">
        <v>75</v>
      </c>
      <c r="W271" s="1" t="s">
        <v>69</v>
      </c>
      <c r="X271" s="1" t="s">
        <v>69</v>
      </c>
      <c r="Y271" s="12">
        <v>44887.51111111111</v>
      </c>
      <c r="AA271" s="1">
        <v>1666192.0</v>
      </c>
      <c r="AB271" s="1" t="s">
        <v>55</v>
      </c>
      <c r="AC271" s="1" t="s">
        <v>1430</v>
      </c>
      <c r="AD271" s="1" t="s">
        <v>1431</v>
      </c>
      <c r="AE271" s="1" t="s">
        <v>55</v>
      </c>
    </row>
    <row r="272" ht="56.25" customHeight="1">
      <c r="A272" s="1">
        <v>9.142649688077E12</v>
      </c>
      <c r="B272" s="2" t="s">
        <v>1432</v>
      </c>
      <c r="C272" s="2" t="s">
        <v>1433</v>
      </c>
      <c r="D272" s="1">
        <v>2.6343329307E10</v>
      </c>
      <c r="E272" s="1" t="s">
        <v>1327</v>
      </c>
      <c r="F272" s="1" t="b">
        <v>0</v>
      </c>
      <c r="G272" s="1" t="s">
        <v>34</v>
      </c>
      <c r="H272" s="1" t="b">
        <v>0</v>
      </c>
      <c r="I272" s="1">
        <v>0.0</v>
      </c>
      <c r="J272" s="1">
        <v>0.0</v>
      </c>
      <c r="K272" s="1">
        <v>0.0</v>
      </c>
      <c r="L272" s="1">
        <v>3.60007284792E11</v>
      </c>
      <c r="M272" s="1" t="s">
        <v>956</v>
      </c>
      <c r="N272" s="1" t="str">
        <f t="array" ref="N272">XLOOKUP(A:A,'CategoriasSeções'!A:A,'CategoriasSeções'!B:B)</f>
        <v>EXPORTAÇÃO - CABOTAGEM</v>
      </c>
      <c r="O272" s="1" t="s">
        <v>1062</v>
      </c>
      <c r="P272" s="3">
        <v>44817.845138888886</v>
      </c>
      <c r="Q272" s="3">
        <v>45526.45486111111</v>
      </c>
      <c r="R272" s="1" t="s">
        <v>1434</v>
      </c>
      <c r="S272" s="1" t="s">
        <v>1434</v>
      </c>
      <c r="T272" s="1" t="s">
        <v>38</v>
      </c>
      <c r="U272" s="1" t="s">
        <v>38</v>
      </c>
      <c r="V272" s="1" t="s">
        <v>75</v>
      </c>
      <c r="W272" s="1" t="s">
        <v>69</v>
      </c>
      <c r="X272" s="1" t="s">
        <v>69</v>
      </c>
      <c r="Y272" s="12">
        <v>44890.725</v>
      </c>
      <c r="AA272" s="1">
        <v>1666192.0</v>
      </c>
      <c r="AB272" s="1" t="s">
        <v>55</v>
      </c>
      <c r="AC272" s="1" t="s">
        <v>1435</v>
      </c>
      <c r="AD272" s="1" t="s">
        <v>1436</v>
      </c>
      <c r="AE272" s="1" t="s">
        <v>55</v>
      </c>
    </row>
    <row r="273" ht="56.25" customHeight="1">
      <c r="A273" s="1">
        <v>6.615245310605E12</v>
      </c>
      <c r="B273" s="2" t="s">
        <v>1437</v>
      </c>
      <c r="C273" s="2" t="s">
        <v>1438</v>
      </c>
      <c r="D273" s="1">
        <v>2.6343329307E10</v>
      </c>
      <c r="E273" s="1" t="s">
        <v>1327</v>
      </c>
      <c r="F273" s="1" t="b">
        <v>0</v>
      </c>
      <c r="G273" s="1" t="s">
        <v>34</v>
      </c>
      <c r="H273" s="1" t="b">
        <v>0</v>
      </c>
      <c r="I273" s="1">
        <v>0.0</v>
      </c>
      <c r="J273" s="1">
        <v>1.0</v>
      </c>
      <c r="K273" s="1">
        <v>1.0</v>
      </c>
      <c r="L273" s="1">
        <v>3.60007089791E11</v>
      </c>
      <c r="M273" s="1" t="s">
        <v>956</v>
      </c>
      <c r="N273" s="1" t="str">
        <f t="array" ref="N273">XLOOKUP(A:A,'CategoriasSeções'!A:A,'CategoriasSeções'!B:B)</f>
        <v>IMPORTAÇÃO</v>
      </c>
      <c r="O273" s="1" t="s">
        <v>129</v>
      </c>
      <c r="P273" s="3">
        <v>44713.825</v>
      </c>
      <c r="Q273" s="3">
        <v>45526.53888888889</v>
      </c>
      <c r="R273" s="1" t="s">
        <v>1439</v>
      </c>
      <c r="S273" s="1" t="s">
        <v>1439</v>
      </c>
      <c r="T273" s="1" t="s">
        <v>38</v>
      </c>
      <c r="U273" s="1" t="s">
        <v>38</v>
      </c>
      <c r="V273" s="1" t="s">
        <v>75</v>
      </c>
      <c r="W273" s="1" t="s">
        <v>69</v>
      </c>
      <c r="X273" s="1" t="s">
        <v>69</v>
      </c>
      <c r="Y273" s="3">
        <v>44725.52916666667</v>
      </c>
      <c r="AA273" s="1">
        <v>1666192.0</v>
      </c>
      <c r="AB273" s="1" t="s">
        <v>55</v>
      </c>
      <c r="AC273" s="1" t="s">
        <v>1440</v>
      </c>
      <c r="AD273" s="1" t="s">
        <v>1441</v>
      </c>
      <c r="AE273" s="1" t="s">
        <v>55</v>
      </c>
    </row>
    <row r="274" ht="56.25" customHeight="1">
      <c r="A274" s="1">
        <v>4.414741485197E12</v>
      </c>
      <c r="B274" s="2" t="s">
        <v>1442</v>
      </c>
      <c r="C274" s="2" t="s">
        <v>1443</v>
      </c>
      <c r="D274" s="1">
        <v>2.6343329307E10</v>
      </c>
      <c r="E274" s="1" t="s">
        <v>1327</v>
      </c>
      <c r="F274" s="1" t="b">
        <v>0</v>
      </c>
      <c r="G274" s="1" t="s">
        <v>34</v>
      </c>
      <c r="H274" s="1" t="b">
        <v>0</v>
      </c>
      <c r="I274" s="1">
        <v>0.0</v>
      </c>
      <c r="J274" s="1">
        <v>1.0</v>
      </c>
      <c r="K274" s="1">
        <v>1.0</v>
      </c>
      <c r="L274" s="1">
        <v>3.60007089791E11</v>
      </c>
      <c r="M274" s="1" t="s">
        <v>956</v>
      </c>
      <c r="N274" s="1" t="str">
        <f t="array" ref="N274">XLOOKUP(A:A,'CategoriasSeções'!A:A,'CategoriasSeções'!B:B)</f>
        <v>IMPORTAÇÃO</v>
      </c>
      <c r="O274" s="1" t="s">
        <v>129</v>
      </c>
      <c r="P274" s="12">
        <v>44526.493055555555</v>
      </c>
      <c r="Q274" s="3">
        <v>45526.45486111111</v>
      </c>
      <c r="R274" s="1" t="s">
        <v>1444</v>
      </c>
      <c r="S274" s="1" t="s">
        <v>1444</v>
      </c>
      <c r="T274" s="1" t="s">
        <v>38</v>
      </c>
      <c r="U274" s="1" t="s">
        <v>38</v>
      </c>
      <c r="V274" s="1" t="s">
        <v>75</v>
      </c>
      <c r="W274" s="1" t="s">
        <v>69</v>
      </c>
      <c r="X274" s="1" t="s">
        <v>69</v>
      </c>
      <c r="Y274" s="3">
        <v>44721.768055555556</v>
      </c>
      <c r="AA274" s="1">
        <v>1666192.0</v>
      </c>
      <c r="AB274" s="1" t="s">
        <v>55</v>
      </c>
      <c r="AC274" s="1" t="s">
        <v>1445</v>
      </c>
      <c r="AD274" s="1" t="s">
        <v>1446</v>
      </c>
      <c r="AE274" s="1" t="s">
        <v>55</v>
      </c>
    </row>
    <row r="275" ht="56.25" customHeight="1">
      <c r="A275" s="1">
        <v>4.412812626445E12</v>
      </c>
      <c r="B275" s="2" t="s">
        <v>1447</v>
      </c>
      <c r="C275" s="2" t="s">
        <v>1448</v>
      </c>
      <c r="D275" s="1">
        <v>2.6343329307E10</v>
      </c>
      <c r="E275" s="1" t="s">
        <v>1327</v>
      </c>
      <c r="F275" s="1" t="b">
        <v>0</v>
      </c>
      <c r="G275" s="1" t="s">
        <v>34</v>
      </c>
      <c r="H275" s="1" t="b">
        <v>0</v>
      </c>
      <c r="I275" s="1">
        <v>0.0</v>
      </c>
      <c r="J275" s="1">
        <v>0.0</v>
      </c>
      <c r="K275" s="1">
        <v>2.0</v>
      </c>
      <c r="L275" s="1">
        <v>3.60000077792E11</v>
      </c>
      <c r="M275" s="1" t="s">
        <v>956</v>
      </c>
      <c r="N275" s="1" t="str">
        <f t="array" ref="N275">XLOOKUP(A:A,'CategoriasSeções'!A:A,'CategoriasSeções'!B:B)</f>
        <v>Dúvidas Gerais</v>
      </c>
      <c r="O275" s="1" t="s">
        <v>1449</v>
      </c>
      <c r="P275" s="3">
        <v>44505.49513888889</v>
      </c>
      <c r="Q275" s="3">
        <v>45092.53125</v>
      </c>
      <c r="R275" s="1" t="s">
        <v>1450</v>
      </c>
      <c r="S275" s="1" t="s">
        <v>1450</v>
      </c>
      <c r="T275" s="1" t="s">
        <v>38</v>
      </c>
      <c r="U275" s="1" t="s">
        <v>38</v>
      </c>
      <c r="V275" s="1" t="s">
        <v>75</v>
      </c>
      <c r="W275" s="1" t="s">
        <v>69</v>
      </c>
      <c r="X275" s="1" t="s">
        <v>69</v>
      </c>
      <c r="Y275" s="3">
        <v>45092.53125</v>
      </c>
      <c r="AA275" s="1">
        <v>1666192.0</v>
      </c>
      <c r="AB275" s="1" t="s">
        <v>55</v>
      </c>
      <c r="AC275" s="1" t="s">
        <v>1451</v>
      </c>
      <c r="AD275" s="1" t="s">
        <v>1452</v>
      </c>
      <c r="AE275" s="1" t="s">
        <v>55</v>
      </c>
    </row>
    <row r="276" ht="56.25" customHeight="1">
      <c r="A276" s="1">
        <v>4.410772250125E12</v>
      </c>
      <c r="B276" s="2" t="s">
        <v>1453</v>
      </c>
      <c r="C276" s="2" t="s">
        <v>1454</v>
      </c>
      <c r="D276" s="1">
        <v>2.6343329307E10</v>
      </c>
      <c r="E276" s="1" t="s">
        <v>1327</v>
      </c>
      <c r="F276" s="1" t="b">
        <v>0</v>
      </c>
      <c r="G276" s="1" t="s">
        <v>34</v>
      </c>
      <c r="H276" s="1" t="b">
        <v>0</v>
      </c>
      <c r="I276" s="1">
        <v>0.0</v>
      </c>
      <c r="J276" s="1">
        <v>0.0</v>
      </c>
      <c r="K276" s="1">
        <v>0.0</v>
      </c>
      <c r="L276" s="1">
        <v>3.60000077792E11</v>
      </c>
      <c r="M276" s="1" t="s">
        <v>956</v>
      </c>
      <c r="N276" s="1" t="str">
        <f t="array" ref="N276">XLOOKUP(A:A,'CategoriasSeções'!A:A,'CategoriasSeções'!B:B)</f>
        <v>Dúvidas Gerais</v>
      </c>
      <c r="O276" s="1" t="s">
        <v>1449</v>
      </c>
      <c r="P276" s="3">
        <v>44475.802777777775</v>
      </c>
      <c r="Q276" s="3">
        <v>45526.53888888889</v>
      </c>
      <c r="R276" s="1" t="s">
        <v>1455</v>
      </c>
      <c r="S276" s="1" t="s">
        <v>1455</v>
      </c>
      <c r="T276" s="1" t="s">
        <v>38</v>
      </c>
      <c r="U276" s="1" t="s">
        <v>38</v>
      </c>
      <c r="V276" s="1" t="s">
        <v>75</v>
      </c>
      <c r="W276" s="1" t="s">
        <v>69</v>
      </c>
      <c r="X276" s="1" t="s">
        <v>69</v>
      </c>
      <c r="Y276" s="3">
        <v>44475.870833333334</v>
      </c>
      <c r="AA276" s="1">
        <v>1666192.0</v>
      </c>
      <c r="AB276" s="1" t="s">
        <v>55</v>
      </c>
      <c r="AC276" s="1" t="s">
        <v>1456</v>
      </c>
      <c r="AD276" s="1" t="s">
        <v>1457</v>
      </c>
      <c r="AE276" s="1" t="s">
        <v>55</v>
      </c>
    </row>
    <row r="277" ht="56.25" customHeight="1">
      <c r="A277" s="1">
        <v>4.410447945741E12</v>
      </c>
      <c r="B277" s="2" t="s">
        <v>1458</v>
      </c>
      <c r="C277" s="2" t="s">
        <v>1459</v>
      </c>
      <c r="D277" s="1">
        <v>2.6343329307E10</v>
      </c>
      <c r="E277" s="1" t="s">
        <v>1327</v>
      </c>
      <c r="F277" s="1" t="b">
        <v>0</v>
      </c>
      <c r="G277" s="1" t="s">
        <v>34</v>
      </c>
      <c r="H277" s="1" t="b">
        <v>0</v>
      </c>
      <c r="I277" s="1">
        <v>0.0</v>
      </c>
      <c r="J277" s="1">
        <v>1.0</v>
      </c>
      <c r="K277" s="1">
        <v>1.0</v>
      </c>
      <c r="L277" s="1">
        <v>3.60000077792E11</v>
      </c>
      <c r="M277" s="1" t="s">
        <v>956</v>
      </c>
      <c r="N277" s="1" t="str">
        <f t="array" ref="N277">XLOOKUP(A:A,'CategoriasSeções'!A:A,'CategoriasSeções'!B:B)</f>
        <v>Dúvidas Gerais</v>
      </c>
      <c r="O277" s="1" t="s">
        <v>1449</v>
      </c>
      <c r="P277" s="3">
        <v>44470.78888888889</v>
      </c>
      <c r="Q277" s="12">
        <v>46006.8625</v>
      </c>
      <c r="R277" s="1" t="s">
        <v>1460</v>
      </c>
      <c r="S277" s="1" t="s">
        <v>1460</v>
      </c>
      <c r="T277" s="1" t="s">
        <v>38</v>
      </c>
      <c r="U277" s="1" t="s">
        <v>38</v>
      </c>
      <c r="V277" s="1" t="s">
        <v>75</v>
      </c>
      <c r="W277" s="1" t="s">
        <v>69</v>
      </c>
      <c r="X277" s="1" t="s">
        <v>69</v>
      </c>
      <c r="Y277" s="12">
        <v>46006.8625</v>
      </c>
      <c r="AA277" s="1">
        <v>1666192.0</v>
      </c>
      <c r="AB277" s="1" t="s">
        <v>55</v>
      </c>
      <c r="AC277" s="1" t="s">
        <v>1461</v>
      </c>
      <c r="AD277" s="1" t="s">
        <v>1462</v>
      </c>
      <c r="AE277" s="1" t="s">
        <v>55</v>
      </c>
    </row>
    <row r="278" ht="56.25" customHeight="1">
      <c r="A278" s="1">
        <v>4.408342400013E12</v>
      </c>
      <c r="B278" s="2" t="s">
        <v>1463</v>
      </c>
      <c r="C278" s="2" t="s">
        <v>1464</v>
      </c>
      <c r="D278" s="1">
        <v>2.6343329307E10</v>
      </c>
      <c r="E278" s="1" t="s">
        <v>1327</v>
      </c>
      <c r="F278" s="1" t="b">
        <v>0</v>
      </c>
      <c r="G278" s="1" t="s">
        <v>34</v>
      </c>
      <c r="H278" s="1" t="b">
        <v>0</v>
      </c>
      <c r="I278" s="1">
        <v>0.0</v>
      </c>
      <c r="J278" s="1">
        <v>1.0</v>
      </c>
      <c r="K278" s="1">
        <v>1.0</v>
      </c>
      <c r="L278" s="1">
        <v>3.60000077792E11</v>
      </c>
      <c r="M278" s="1" t="s">
        <v>956</v>
      </c>
      <c r="N278" s="1" t="str">
        <f t="array" ref="N278">XLOOKUP(A:A,'CategoriasSeções'!A:A,'CategoriasSeções'!B:B)</f>
        <v>Dúvidas Gerais</v>
      </c>
      <c r="O278" s="1" t="s">
        <v>1449</v>
      </c>
      <c r="P278" s="3">
        <v>44440.58125</v>
      </c>
      <c r="Q278" s="3">
        <v>45526.55972222222</v>
      </c>
      <c r="R278" s="1" t="s">
        <v>1465</v>
      </c>
      <c r="S278" s="1" t="s">
        <v>1465</v>
      </c>
      <c r="T278" s="1" t="s">
        <v>38</v>
      </c>
      <c r="U278" s="1" t="s">
        <v>38</v>
      </c>
      <c r="V278" s="1" t="s">
        <v>75</v>
      </c>
      <c r="W278" s="1" t="s">
        <v>69</v>
      </c>
      <c r="X278" s="1" t="s">
        <v>69</v>
      </c>
      <c r="Y278" s="3">
        <v>45411.85</v>
      </c>
      <c r="AA278" s="1">
        <v>1666192.0</v>
      </c>
      <c r="AB278" s="1" t="s">
        <v>55</v>
      </c>
      <c r="AC278" s="1" t="s">
        <v>1466</v>
      </c>
      <c r="AD278" s="1" t="s">
        <v>1467</v>
      </c>
      <c r="AE278" s="1" t="s">
        <v>55</v>
      </c>
    </row>
    <row r="279" ht="56.25" customHeight="1">
      <c r="A279" s="1">
        <v>4.402863718029E12</v>
      </c>
      <c r="B279" s="2" t="s">
        <v>1468</v>
      </c>
      <c r="C279" s="2" t="s">
        <v>1469</v>
      </c>
      <c r="D279" s="1">
        <v>2.6343329307E10</v>
      </c>
      <c r="E279" s="1" t="s">
        <v>1327</v>
      </c>
      <c r="F279" s="1" t="b">
        <v>0</v>
      </c>
      <c r="G279" s="1" t="s">
        <v>34</v>
      </c>
      <c r="H279" s="1" t="b">
        <v>0</v>
      </c>
      <c r="I279" s="1">
        <v>0.0</v>
      </c>
      <c r="J279" s="1">
        <v>0.0</v>
      </c>
      <c r="K279" s="1">
        <v>0.0</v>
      </c>
      <c r="L279" s="1">
        <v>3.60014024991E11</v>
      </c>
      <c r="M279" s="1" t="s">
        <v>956</v>
      </c>
      <c r="N279" s="1" t="str">
        <f t="array" ref="N279">XLOOKUP(A:A,'CategoriasSeções'!A:A,'CategoriasSeções'!B:B)</f>
        <v>RECLAMAÇÃO</v>
      </c>
      <c r="O279" s="1" t="s">
        <v>1470</v>
      </c>
      <c r="P279" s="3">
        <v>44358.71666666667</v>
      </c>
      <c r="Q279" s="3">
        <v>45526.611805555556</v>
      </c>
      <c r="R279" s="1" t="s">
        <v>1471</v>
      </c>
      <c r="S279" s="1" t="s">
        <v>1471</v>
      </c>
      <c r="T279" s="1" t="s">
        <v>38</v>
      </c>
      <c r="U279" s="1" t="s">
        <v>38</v>
      </c>
      <c r="V279" s="1" t="s">
        <v>75</v>
      </c>
      <c r="W279" s="1" t="s">
        <v>69</v>
      </c>
      <c r="X279" s="1" t="s">
        <v>69</v>
      </c>
      <c r="Y279" s="3">
        <v>44358.71666666667</v>
      </c>
      <c r="AA279" s="1">
        <v>1666192.0</v>
      </c>
      <c r="AB279" s="1" t="s">
        <v>55</v>
      </c>
      <c r="AC279" s="1" t="s">
        <v>1472</v>
      </c>
      <c r="AD279" s="1" t="s">
        <v>1473</v>
      </c>
      <c r="AE279" s="1" t="s">
        <v>55</v>
      </c>
    </row>
    <row r="280" ht="56.25" customHeight="1">
      <c r="A280" s="1">
        <v>3.60058846591E11</v>
      </c>
      <c r="B280" s="2" t="s">
        <v>1474</v>
      </c>
      <c r="C280" s="2" t="s">
        <v>1475</v>
      </c>
      <c r="D280" s="1">
        <v>2.6343329307E10</v>
      </c>
      <c r="E280" s="1" t="s">
        <v>1327</v>
      </c>
      <c r="F280" s="1" t="b">
        <v>0</v>
      </c>
      <c r="G280" s="1" t="s">
        <v>34</v>
      </c>
      <c r="H280" s="1" t="b">
        <v>0</v>
      </c>
      <c r="I280" s="1">
        <v>0.0</v>
      </c>
      <c r="J280" s="1">
        <v>0.0</v>
      </c>
      <c r="K280" s="1">
        <v>0.0</v>
      </c>
      <c r="L280" s="1">
        <v>3.60007868592E11</v>
      </c>
      <c r="M280" s="1" t="s">
        <v>956</v>
      </c>
      <c r="N280" s="1" t="str">
        <f t="array" ref="N280">XLOOKUP(A:A,'CategoriasSeções'!A:A,'CategoriasSeções'!B:B)</f>
        <v>BETA</v>
      </c>
      <c r="O280" s="1" t="s">
        <v>1476</v>
      </c>
      <c r="P280" s="3">
        <v>44277.84861111111</v>
      </c>
      <c r="Q280" s="3">
        <v>45231.56527777778</v>
      </c>
      <c r="R280" s="1" t="s">
        <v>1477</v>
      </c>
      <c r="S280" s="1" t="s">
        <v>1477</v>
      </c>
      <c r="T280" s="1" t="s">
        <v>38</v>
      </c>
      <c r="U280" s="1" t="s">
        <v>38</v>
      </c>
      <c r="V280" s="1" t="s">
        <v>75</v>
      </c>
      <c r="W280" s="1" t="s">
        <v>39</v>
      </c>
      <c r="X280" s="1" t="s">
        <v>39</v>
      </c>
      <c r="Y280" s="3">
        <v>44277.85277777778</v>
      </c>
      <c r="Z280" s="1" t="s">
        <v>40</v>
      </c>
      <c r="AA280" s="1">
        <v>1666192.0</v>
      </c>
      <c r="AB280" s="1" t="s">
        <v>55</v>
      </c>
      <c r="AC280" s="1" t="s">
        <v>55</v>
      </c>
      <c r="AD280" s="1" t="s">
        <v>1478</v>
      </c>
      <c r="AE280" s="1" t="s">
        <v>44</v>
      </c>
    </row>
    <row r="281" ht="56.25" customHeight="1">
      <c r="A281" s="1">
        <v>3.60058171672E11</v>
      </c>
      <c r="B281" s="2" t="s">
        <v>1479</v>
      </c>
      <c r="C281" s="2" t="s">
        <v>1480</v>
      </c>
      <c r="D281" s="1">
        <v>2.6343329307E10</v>
      </c>
      <c r="E281" s="1" t="s">
        <v>1327</v>
      </c>
      <c r="F281" s="1" t="b">
        <v>0</v>
      </c>
      <c r="G281" s="1" t="s">
        <v>34</v>
      </c>
      <c r="H281" s="1" t="b">
        <v>0</v>
      </c>
      <c r="I281" s="1">
        <v>0.0</v>
      </c>
      <c r="J281" s="1">
        <v>26.0</v>
      </c>
      <c r="K281" s="1">
        <v>28.0</v>
      </c>
      <c r="L281" s="1">
        <v>3.60000077792E11</v>
      </c>
      <c r="M281" s="1" t="s">
        <v>956</v>
      </c>
      <c r="N281" s="1" t="str">
        <f t="array" ref="N281">XLOOKUP(A:A,'CategoriasSeções'!A:A,'CategoriasSeções'!B:B)</f>
        <v>Dúvidas Gerais</v>
      </c>
      <c r="O281" s="1" t="s">
        <v>1449</v>
      </c>
      <c r="P281" s="3">
        <v>44272.59583333333</v>
      </c>
      <c r="Q281" s="3">
        <v>46195.90555555555</v>
      </c>
      <c r="R281" s="1" t="s">
        <v>1481</v>
      </c>
      <c r="S281" s="1" t="s">
        <v>1481</v>
      </c>
      <c r="T281" s="1" t="s">
        <v>38</v>
      </c>
      <c r="U281" s="1" t="s">
        <v>38</v>
      </c>
      <c r="V281" s="1" t="s">
        <v>75</v>
      </c>
      <c r="W281" s="1" t="s">
        <v>69</v>
      </c>
      <c r="X281" s="1" t="s">
        <v>69</v>
      </c>
      <c r="Y281" s="3">
        <v>44435.78125</v>
      </c>
      <c r="AA281" s="1">
        <v>1666192.0</v>
      </c>
      <c r="AB281" s="1" t="s">
        <v>55</v>
      </c>
      <c r="AC281" s="1" t="s">
        <v>1482</v>
      </c>
      <c r="AD281" s="1" t="s">
        <v>1483</v>
      </c>
      <c r="AE281" s="1" t="s">
        <v>55</v>
      </c>
    </row>
    <row r="282" ht="56.25" customHeight="1">
      <c r="A282" s="1">
        <v>3.60053838232E11</v>
      </c>
      <c r="B282" s="2" t="s">
        <v>1484</v>
      </c>
      <c r="C282" s="2" t="s">
        <v>1485</v>
      </c>
      <c r="D282" s="1">
        <v>2.6343329307E10</v>
      </c>
      <c r="E282" s="1" t="s">
        <v>1327</v>
      </c>
      <c r="F282" s="1" t="b">
        <v>0</v>
      </c>
      <c r="G282" s="1" t="s">
        <v>34</v>
      </c>
      <c r="H282" s="1" t="b">
        <v>0</v>
      </c>
      <c r="I282" s="1">
        <v>0.0</v>
      </c>
      <c r="J282" s="1">
        <v>0.0</v>
      </c>
      <c r="K282" s="1">
        <v>0.0</v>
      </c>
      <c r="L282" s="1">
        <v>3.60007089791E11</v>
      </c>
      <c r="M282" s="1" t="s">
        <v>956</v>
      </c>
      <c r="N282" s="1" t="str">
        <f t="array" ref="N282">XLOOKUP(A:A,'CategoriasSeções'!A:A,'CategoriasSeções'!B:B)</f>
        <v>IMPORTAÇÃO</v>
      </c>
      <c r="O282" s="1" t="s">
        <v>129</v>
      </c>
      <c r="P282" s="12">
        <v>44180.45208333333</v>
      </c>
      <c r="Q282" s="3">
        <v>45526.42152777778</v>
      </c>
      <c r="R282" s="1" t="s">
        <v>1486</v>
      </c>
      <c r="S282" s="1" t="s">
        <v>1486</v>
      </c>
      <c r="T282" s="1" t="s">
        <v>38</v>
      </c>
      <c r="U282" s="1" t="s">
        <v>38</v>
      </c>
      <c r="V282" s="1" t="s">
        <v>75</v>
      </c>
      <c r="W282" s="1" t="s">
        <v>69</v>
      </c>
      <c r="X282" s="1" t="s">
        <v>69</v>
      </c>
      <c r="Y282" s="12">
        <v>44180.51458333333</v>
      </c>
      <c r="AA282" s="1">
        <v>1666192.0</v>
      </c>
      <c r="AB282" s="1" t="s">
        <v>55</v>
      </c>
      <c r="AC282" s="1" t="s">
        <v>1487</v>
      </c>
      <c r="AD282" s="1" t="s">
        <v>1488</v>
      </c>
      <c r="AE282" s="1" t="s">
        <v>55</v>
      </c>
    </row>
    <row r="283" ht="56.25" customHeight="1">
      <c r="A283" s="1">
        <v>3.60053571571E11</v>
      </c>
      <c r="B283" s="2" t="s">
        <v>1489</v>
      </c>
      <c r="C283" s="2" t="s">
        <v>1490</v>
      </c>
      <c r="D283" s="1">
        <v>2.6343329307E10</v>
      </c>
      <c r="E283" s="1" t="s">
        <v>1327</v>
      </c>
      <c r="F283" s="1" t="b">
        <v>0</v>
      </c>
      <c r="G283" s="1" t="s">
        <v>34</v>
      </c>
      <c r="H283" s="1" t="b">
        <v>0</v>
      </c>
      <c r="I283" s="1">
        <v>0.0</v>
      </c>
      <c r="J283" s="1">
        <v>0.0</v>
      </c>
      <c r="K283" s="1">
        <v>0.0</v>
      </c>
      <c r="L283" s="1">
        <v>3.60007089791E11</v>
      </c>
      <c r="M283" s="1" t="s">
        <v>956</v>
      </c>
      <c r="N283" s="1" t="str">
        <f t="array" ref="N283">XLOOKUP(A:A,'CategoriasSeções'!A:A,'CategoriasSeções'!B:B)</f>
        <v>IMPORTAÇÃO</v>
      </c>
      <c r="O283" s="1" t="s">
        <v>129</v>
      </c>
      <c r="P283" s="12">
        <v>44175.125</v>
      </c>
      <c r="Q283" s="3">
        <v>45526.45486111111</v>
      </c>
      <c r="R283" s="1" t="s">
        <v>1491</v>
      </c>
      <c r="S283" s="1" t="s">
        <v>1491</v>
      </c>
      <c r="T283" s="1" t="s">
        <v>38</v>
      </c>
      <c r="U283" s="1" t="s">
        <v>38</v>
      </c>
      <c r="V283" s="1" t="s">
        <v>75</v>
      </c>
      <c r="W283" s="1" t="s">
        <v>69</v>
      </c>
      <c r="X283" s="1" t="s">
        <v>69</v>
      </c>
      <c r="Y283" s="12">
        <v>44175.60902777778</v>
      </c>
      <c r="AA283" s="1">
        <v>1666192.0</v>
      </c>
      <c r="AB283" s="1" t="s">
        <v>55</v>
      </c>
      <c r="AC283" s="1" t="s">
        <v>1492</v>
      </c>
      <c r="AD283" s="1" t="s">
        <v>1493</v>
      </c>
      <c r="AE283" s="1" t="s">
        <v>55</v>
      </c>
    </row>
    <row r="284" ht="56.25" customHeight="1">
      <c r="A284" s="1">
        <v>3.60052831411E11</v>
      </c>
      <c r="B284" s="2" t="s">
        <v>1494</v>
      </c>
      <c r="C284" s="2" t="s">
        <v>1495</v>
      </c>
      <c r="D284" s="1">
        <v>2.5738277128E10</v>
      </c>
      <c r="E284" s="1" t="s">
        <v>1496</v>
      </c>
      <c r="F284" s="1" t="b">
        <v>0</v>
      </c>
      <c r="G284" s="1" t="s">
        <v>34</v>
      </c>
      <c r="H284" s="1" t="b">
        <v>0</v>
      </c>
      <c r="I284" s="1">
        <v>0.0</v>
      </c>
      <c r="J284" s="1">
        <v>0.0</v>
      </c>
      <c r="K284" s="1">
        <v>0.0</v>
      </c>
      <c r="L284" s="1">
        <v>3.60007089791E11</v>
      </c>
      <c r="M284" s="1" t="s">
        <v>956</v>
      </c>
      <c r="N284" s="1" t="str">
        <f t="array" ref="N284">XLOOKUP(A:A,'CategoriasSeções'!A:A,'CategoriasSeções'!B:B)</f>
        <v>IMPORTAÇÃO</v>
      </c>
      <c r="O284" s="1" t="s">
        <v>129</v>
      </c>
      <c r="P284" s="12">
        <v>44155.799305555556</v>
      </c>
      <c r="Q284" s="3">
        <v>45231.56527777778</v>
      </c>
      <c r="R284" s="1" t="s">
        <v>1497</v>
      </c>
      <c r="S284" s="1" t="s">
        <v>1497</v>
      </c>
      <c r="T284" s="1" t="s">
        <v>38</v>
      </c>
      <c r="U284" s="1" t="s">
        <v>38</v>
      </c>
      <c r="V284" s="1" t="s">
        <v>75</v>
      </c>
      <c r="W284" s="1" t="s">
        <v>39</v>
      </c>
      <c r="X284" s="1" t="s">
        <v>39</v>
      </c>
      <c r="Y284" s="12">
        <v>44162.74791666667</v>
      </c>
      <c r="Z284" s="1" t="s">
        <v>40</v>
      </c>
      <c r="AA284" s="1">
        <v>1666192.0</v>
      </c>
      <c r="AB284" s="1" t="s">
        <v>55</v>
      </c>
      <c r="AC284" s="1" t="s">
        <v>55</v>
      </c>
      <c r="AD284" s="1" t="s">
        <v>1498</v>
      </c>
      <c r="AE284" s="1" t="s">
        <v>44</v>
      </c>
    </row>
    <row r="285" ht="56.25" customHeight="1">
      <c r="A285" s="1">
        <v>3.60050016032E11</v>
      </c>
      <c r="B285" s="2" t="s">
        <v>1499</v>
      </c>
      <c r="C285" s="2" t="s">
        <v>1500</v>
      </c>
      <c r="D285" s="1">
        <v>2.6343329307E10</v>
      </c>
      <c r="E285" s="1" t="s">
        <v>1327</v>
      </c>
      <c r="F285" s="1" t="b">
        <v>0</v>
      </c>
      <c r="G285" s="1" t="s">
        <v>34</v>
      </c>
      <c r="H285" s="1" t="b">
        <v>0</v>
      </c>
      <c r="I285" s="1">
        <v>0.0</v>
      </c>
      <c r="J285" s="1">
        <v>0.0</v>
      </c>
      <c r="K285" s="1">
        <v>0.0</v>
      </c>
      <c r="L285" s="1">
        <v>3.60007970611E11</v>
      </c>
      <c r="M285" s="1" t="s">
        <v>956</v>
      </c>
      <c r="N285" s="1" t="str">
        <f t="array" ref="N285">XLOOKUP(A:A,'CategoriasSeções'!A:A,'CategoriasSeções'!B:B)</f>
        <v>BETA</v>
      </c>
      <c r="O285" s="1" t="s">
        <v>1501</v>
      </c>
      <c r="P285" s="3">
        <v>44106.09861111111</v>
      </c>
      <c r="Q285" s="3">
        <v>45231.56527777778</v>
      </c>
      <c r="R285" s="1" t="s">
        <v>1502</v>
      </c>
      <c r="S285" s="1" t="s">
        <v>1502</v>
      </c>
      <c r="T285" s="1" t="s">
        <v>38</v>
      </c>
      <c r="U285" s="1" t="s">
        <v>38</v>
      </c>
      <c r="V285" s="1" t="s">
        <v>75</v>
      </c>
      <c r="W285" s="1" t="s">
        <v>39</v>
      </c>
      <c r="X285" s="1" t="s">
        <v>39</v>
      </c>
      <c r="Y285" s="3">
        <v>44277.84583333333</v>
      </c>
      <c r="Z285" s="1" t="s">
        <v>40</v>
      </c>
      <c r="AA285" s="1">
        <v>1666192.0</v>
      </c>
      <c r="AB285" s="1" t="s">
        <v>55</v>
      </c>
      <c r="AC285" s="1" t="s">
        <v>55</v>
      </c>
      <c r="AD285" s="1" t="s">
        <v>1503</v>
      </c>
      <c r="AE285" s="1" t="s">
        <v>44</v>
      </c>
    </row>
    <row r="286" ht="56.25" customHeight="1">
      <c r="A286" s="1">
        <v>3.60043898131E11</v>
      </c>
      <c r="B286" s="2" t="s">
        <v>1504</v>
      </c>
      <c r="C286" s="2" t="s">
        <v>1505</v>
      </c>
      <c r="D286" s="1">
        <v>2.6343329307E10</v>
      </c>
      <c r="E286" s="1" t="s">
        <v>1327</v>
      </c>
      <c r="F286" s="1" t="b">
        <v>0</v>
      </c>
      <c r="G286" s="1" t="s">
        <v>34</v>
      </c>
      <c r="H286" s="1" t="b">
        <v>0</v>
      </c>
      <c r="I286" s="1">
        <v>0.0</v>
      </c>
      <c r="J286" s="1">
        <v>0.0</v>
      </c>
      <c r="K286" s="1">
        <v>0.0</v>
      </c>
      <c r="L286" s="1">
        <v>3.60007868592E11</v>
      </c>
      <c r="M286" s="1" t="s">
        <v>956</v>
      </c>
      <c r="N286" s="1" t="str">
        <f t="array" ref="N286">XLOOKUP(A:A,'CategoriasSeções'!A:A,'CategoriasSeções'!B:B)</f>
        <v>BETA</v>
      </c>
      <c r="O286" s="1" t="s">
        <v>1476</v>
      </c>
      <c r="P286" s="3">
        <v>43971.64097222222</v>
      </c>
      <c r="Q286" s="3">
        <v>45526.620833333334</v>
      </c>
      <c r="R286" s="1" t="s">
        <v>1506</v>
      </c>
      <c r="S286" s="1" t="s">
        <v>1506</v>
      </c>
      <c r="T286" s="1" t="s">
        <v>38</v>
      </c>
      <c r="U286" s="1" t="s">
        <v>38</v>
      </c>
      <c r="V286" s="1" t="s">
        <v>75</v>
      </c>
      <c r="W286" s="1" t="s">
        <v>39</v>
      </c>
      <c r="X286" s="1" t="s">
        <v>39</v>
      </c>
      <c r="Y286" s="3">
        <v>43971.73055555556</v>
      </c>
      <c r="Z286" s="1" t="s">
        <v>40</v>
      </c>
      <c r="AA286" s="1">
        <v>1666192.0</v>
      </c>
      <c r="AB286" s="1" t="s">
        <v>55</v>
      </c>
      <c r="AC286" s="1" t="s">
        <v>1507</v>
      </c>
      <c r="AD286" s="1" t="s">
        <v>1508</v>
      </c>
      <c r="AE286" s="1" t="s">
        <v>44</v>
      </c>
    </row>
    <row r="287" ht="56.25" customHeight="1">
      <c r="A287" s="1">
        <v>3.60040428672E11</v>
      </c>
      <c r="B287" s="2" t="s">
        <v>1509</v>
      </c>
      <c r="C287" s="2" t="s">
        <v>1510</v>
      </c>
      <c r="D287" s="1">
        <v>2.6343329307E10</v>
      </c>
      <c r="E287" s="1" t="s">
        <v>1327</v>
      </c>
      <c r="F287" s="1" t="b">
        <v>0</v>
      </c>
      <c r="G287" s="1" t="s">
        <v>34</v>
      </c>
      <c r="H287" s="1" t="b">
        <v>0</v>
      </c>
      <c r="I287" s="1">
        <v>0.0</v>
      </c>
      <c r="J287" s="1">
        <v>1.0</v>
      </c>
      <c r="K287" s="1">
        <v>1.0</v>
      </c>
      <c r="L287" s="1">
        <v>3.60007950691E11</v>
      </c>
      <c r="M287" s="1" t="s">
        <v>956</v>
      </c>
      <c r="N287" s="1" t="str">
        <f t="array" ref="N287">XLOOKUP(A:A,'CategoriasSeções'!A:A,'CategoriasSeções'!B:B)</f>
        <v>Agendamentos</v>
      </c>
      <c r="O287" s="1" t="s">
        <v>85</v>
      </c>
      <c r="P287" s="3">
        <v>43901.86666666667</v>
      </c>
      <c r="Q287" s="3">
        <v>45526.42152777778</v>
      </c>
      <c r="R287" s="1" t="s">
        <v>1511</v>
      </c>
      <c r="S287" s="1" t="s">
        <v>1511</v>
      </c>
      <c r="T287" s="1" t="s">
        <v>38</v>
      </c>
      <c r="U287" s="1" t="s">
        <v>38</v>
      </c>
      <c r="V287" s="1" t="s">
        <v>75</v>
      </c>
      <c r="W287" s="1" t="s">
        <v>69</v>
      </c>
      <c r="X287" s="1" t="s">
        <v>69</v>
      </c>
      <c r="Y287" s="3">
        <v>44433.8</v>
      </c>
      <c r="AA287" s="1">
        <v>1666192.0</v>
      </c>
      <c r="AB287" s="1" t="s">
        <v>55</v>
      </c>
      <c r="AC287" s="1" t="s">
        <v>1512</v>
      </c>
      <c r="AD287" s="1" t="s">
        <v>1513</v>
      </c>
      <c r="AE287" s="1" t="s">
        <v>55</v>
      </c>
    </row>
    <row r="288" ht="56.25" customHeight="1">
      <c r="A288" s="1">
        <v>3.60040410632E11</v>
      </c>
      <c r="B288" s="2" t="s">
        <v>1514</v>
      </c>
      <c r="C288" s="2" t="s">
        <v>1515</v>
      </c>
      <c r="D288" s="1">
        <v>2.6343329307E10</v>
      </c>
      <c r="E288" s="1" t="s">
        <v>1327</v>
      </c>
      <c r="F288" s="1" t="b">
        <v>0</v>
      </c>
      <c r="G288" s="1" t="s">
        <v>34</v>
      </c>
      <c r="H288" s="1" t="b">
        <v>0</v>
      </c>
      <c r="I288" s="1">
        <v>0.0</v>
      </c>
      <c r="J288" s="1">
        <v>1.0</v>
      </c>
      <c r="K288" s="1">
        <v>1.0</v>
      </c>
      <c r="L288" s="1">
        <v>3.60007950691E11</v>
      </c>
      <c r="M288" s="1" t="s">
        <v>956</v>
      </c>
      <c r="N288" s="1" t="str">
        <f t="array" ref="N288">XLOOKUP(A:A,'CategoriasSeções'!A:A,'CategoriasSeções'!B:B)</f>
        <v>Agendamentos</v>
      </c>
      <c r="O288" s="1" t="s">
        <v>85</v>
      </c>
      <c r="P288" s="3">
        <v>43901.618055555555</v>
      </c>
      <c r="Q288" s="3">
        <v>45712.80763888889</v>
      </c>
      <c r="R288" s="1" t="s">
        <v>1516</v>
      </c>
      <c r="S288" s="1" t="s">
        <v>1516</v>
      </c>
      <c r="T288" s="1" t="s">
        <v>38</v>
      </c>
      <c r="U288" s="1" t="s">
        <v>38</v>
      </c>
      <c r="V288" s="1" t="s">
        <v>39</v>
      </c>
      <c r="W288" s="1" t="s">
        <v>69</v>
      </c>
      <c r="X288" s="1" t="s">
        <v>69</v>
      </c>
      <c r="Y288" s="3">
        <v>45712.80763888889</v>
      </c>
      <c r="AA288" s="1">
        <v>1666212.0</v>
      </c>
      <c r="AB288" s="1" t="s">
        <v>55</v>
      </c>
      <c r="AC288" s="1" t="s">
        <v>1517</v>
      </c>
      <c r="AD288" s="1" t="s">
        <v>1518</v>
      </c>
      <c r="AE288" s="1" t="s">
        <v>55</v>
      </c>
    </row>
    <row r="289" ht="56.25" customHeight="1">
      <c r="A289" s="1">
        <v>3.60040840231E11</v>
      </c>
      <c r="B289" s="2" t="s">
        <v>1519</v>
      </c>
      <c r="C289" s="2" t="s">
        <v>1520</v>
      </c>
      <c r="D289" s="1">
        <v>2.6343329307E10</v>
      </c>
      <c r="E289" s="1" t="s">
        <v>1327</v>
      </c>
      <c r="F289" s="1" t="b">
        <v>0</v>
      </c>
      <c r="G289" s="1" t="s">
        <v>34</v>
      </c>
      <c r="H289" s="1" t="b">
        <v>0</v>
      </c>
      <c r="I289" s="1">
        <v>0.0</v>
      </c>
      <c r="J289" s="1">
        <v>3.0</v>
      </c>
      <c r="K289" s="1">
        <v>3.0</v>
      </c>
      <c r="L289" s="1">
        <v>3.60007950691E11</v>
      </c>
      <c r="M289" s="1" t="s">
        <v>956</v>
      </c>
      <c r="N289" s="1" t="str">
        <f t="array" ref="N289">XLOOKUP(A:A,'CategoriasSeções'!A:A,'CategoriasSeções'!B:B)</f>
        <v>Agendamentos</v>
      </c>
      <c r="O289" s="1" t="s">
        <v>85</v>
      </c>
      <c r="P289" s="3">
        <v>43901.60486111111</v>
      </c>
      <c r="Q289" s="3">
        <v>45712.81458333333</v>
      </c>
      <c r="R289" s="1" t="s">
        <v>1521</v>
      </c>
      <c r="S289" s="1" t="s">
        <v>1521</v>
      </c>
      <c r="T289" s="1" t="s">
        <v>38</v>
      </c>
      <c r="U289" s="1" t="s">
        <v>38</v>
      </c>
      <c r="V289" s="1" t="s">
        <v>75</v>
      </c>
      <c r="W289" s="1" t="s">
        <v>69</v>
      </c>
      <c r="X289" s="1" t="s">
        <v>69</v>
      </c>
      <c r="Y289" s="3">
        <v>45712.81458333333</v>
      </c>
      <c r="AA289" s="1">
        <v>1666192.0</v>
      </c>
      <c r="AB289" s="1" t="s">
        <v>55</v>
      </c>
      <c r="AC289" s="1" t="s">
        <v>1522</v>
      </c>
      <c r="AD289" s="1" t="s">
        <v>1523</v>
      </c>
      <c r="AE289" s="1" t="s">
        <v>55</v>
      </c>
    </row>
    <row r="290" ht="56.25" customHeight="1">
      <c r="A290" s="1">
        <v>3.60040837671E11</v>
      </c>
      <c r="B290" s="2" t="s">
        <v>1524</v>
      </c>
      <c r="C290" s="2" t="s">
        <v>1525</v>
      </c>
      <c r="D290" s="1">
        <v>2.6343329307E10</v>
      </c>
      <c r="E290" s="1" t="s">
        <v>1327</v>
      </c>
      <c r="F290" s="1" t="b">
        <v>0</v>
      </c>
      <c r="G290" s="1" t="s">
        <v>34</v>
      </c>
      <c r="H290" s="1" t="b">
        <v>0</v>
      </c>
      <c r="I290" s="1">
        <v>0.0</v>
      </c>
      <c r="J290" s="1">
        <v>1.0</v>
      </c>
      <c r="K290" s="1">
        <v>1.0</v>
      </c>
      <c r="L290" s="1">
        <v>3.60007950691E11</v>
      </c>
      <c r="M290" s="1" t="s">
        <v>956</v>
      </c>
      <c r="N290" s="1" t="str">
        <f t="array" ref="N290">XLOOKUP(A:A,'CategoriasSeções'!A:A,'CategoriasSeções'!B:B)</f>
        <v>Agendamentos</v>
      </c>
      <c r="O290" s="1" t="s">
        <v>85</v>
      </c>
      <c r="P290" s="3">
        <v>43901.56041666667</v>
      </c>
      <c r="Q290" s="3">
        <v>45526.603472222225</v>
      </c>
      <c r="R290" s="1" t="s">
        <v>1526</v>
      </c>
      <c r="S290" s="1" t="s">
        <v>1526</v>
      </c>
      <c r="T290" s="1" t="s">
        <v>38</v>
      </c>
      <c r="U290" s="1" t="s">
        <v>38</v>
      </c>
      <c r="V290" s="1" t="s">
        <v>75</v>
      </c>
      <c r="W290" s="1" t="s">
        <v>69</v>
      </c>
      <c r="X290" s="1" t="s">
        <v>69</v>
      </c>
      <c r="Y290" s="3">
        <v>44438.86319444444</v>
      </c>
      <c r="AA290" s="1">
        <v>1666192.0</v>
      </c>
      <c r="AB290" s="1" t="s">
        <v>55</v>
      </c>
      <c r="AC290" s="1" t="s">
        <v>1527</v>
      </c>
      <c r="AD290" s="1" t="s">
        <v>1528</v>
      </c>
      <c r="AE290" s="1" t="s">
        <v>55</v>
      </c>
    </row>
    <row r="291" ht="56.25" customHeight="1">
      <c r="A291" s="1">
        <v>3.60040097051E11</v>
      </c>
      <c r="B291" s="2" t="s">
        <v>1529</v>
      </c>
      <c r="C291" s="2" t="s">
        <v>1530</v>
      </c>
      <c r="D291" s="1">
        <v>2.6343329307E10</v>
      </c>
      <c r="E291" s="1" t="s">
        <v>1327</v>
      </c>
      <c r="F291" s="1" t="b">
        <v>0</v>
      </c>
      <c r="G291" s="1" t="s">
        <v>34</v>
      </c>
      <c r="H291" s="1" t="b">
        <v>0</v>
      </c>
      <c r="I291" s="1">
        <v>0.0</v>
      </c>
      <c r="J291" s="1">
        <v>2.0</v>
      </c>
      <c r="K291" s="1">
        <v>2.0</v>
      </c>
      <c r="L291" s="1">
        <v>3.60000077792E11</v>
      </c>
      <c r="M291" s="1" t="s">
        <v>956</v>
      </c>
      <c r="N291" s="1" t="str">
        <f t="array" ref="N291">XLOOKUP(A:A,'CategoriasSeções'!A:A,'CategoriasSeções'!B:B)</f>
        <v>Dúvidas Gerais</v>
      </c>
      <c r="O291" s="1" t="s">
        <v>1449</v>
      </c>
      <c r="P291" s="3">
        <v>43883.584027777775</v>
      </c>
      <c r="Q291" s="3">
        <v>45526.51388888889</v>
      </c>
      <c r="R291" s="1" t="s">
        <v>1531</v>
      </c>
      <c r="S291" s="1" t="s">
        <v>1531</v>
      </c>
      <c r="T291" s="1" t="s">
        <v>38</v>
      </c>
      <c r="U291" s="1" t="s">
        <v>38</v>
      </c>
      <c r="V291" s="1" t="s">
        <v>75</v>
      </c>
      <c r="W291" s="1" t="s">
        <v>69</v>
      </c>
      <c r="X291" s="1" t="s">
        <v>69</v>
      </c>
      <c r="Y291" s="3">
        <v>44643.72361111111</v>
      </c>
      <c r="AA291" s="1">
        <v>1666192.0</v>
      </c>
      <c r="AB291" s="1" t="s">
        <v>55</v>
      </c>
      <c r="AC291" s="1" t="s">
        <v>1532</v>
      </c>
      <c r="AD291" s="1" t="s">
        <v>1533</v>
      </c>
      <c r="AE291" s="1" t="s">
        <v>55</v>
      </c>
    </row>
    <row r="292" ht="56.25" customHeight="1">
      <c r="A292" s="1">
        <v>3.60039870291E11</v>
      </c>
      <c r="B292" s="2" t="s">
        <v>1534</v>
      </c>
      <c r="C292" s="2" t="s">
        <v>1535</v>
      </c>
      <c r="D292" s="1">
        <v>2.6343329307E10</v>
      </c>
      <c r="E292" s="1" t="s">
        <v>1327</v>
      </c>
      <c r="F292" s="1" t="b">
        <v>0</v>
      </c>
      <c r="G292" s="1" t="s">
        <v>34</v>
      </c>
      <c r="H292" s="1" t="b">
        <v>0</v>
      </c>
      <c r="I292" s="1">
        <v>0.0</v>
      </c>
      <c r="J292" s="1">
        <v>2.0</v>
      </c>
      <c r="K292" s="1">
        <v>2.0</v>
      </c>
      <c r="L292" s="1">
        <v>3.60007089791E11</v>
      </c>
      <c r="M292" s="1" t="s">
        <v>956</v>
      </c>
      <c r="N292" s="1" t="str">
        <f t="array" ref="N292">XLOOKUP(A:A,'CategoriasSeções'!A:A,'CategoriasSeções'!B:B)</f>
        <v>IMPORTAÇÃO</v>
      </c>
      <c r="O292" s="1" t="s">
        <v>129</v>
      </c>
      <c r="P292" s="3">
        <v>43876.646527777775</v>
      </c>
      <c r="Q292" s="3">
        <v>45526.52222222222</v>
      </c>
      <c r="R292" s="1" t="s">
        <v>1536</v>
      </c>
      <c r="S292" s="1" t="s">
        <v>1536</v>
      </c>
      <c r="T292" s="1" t="s">
        <v>38</v>
      </c>
      <c r="U292" s="1" t="s">
        <v>38</v>
      </c>
      <c r="V292" s="1" t="s">
        <v>75</v>
      </c>
      <c r="W292" s="1" t="s">
        <v>69</v>
      </c>
      <c r="X292" s="1" t="s">
        <v>69</v>
      </c>
      <c r="Y292" s="3">
        <v>44099.53958333333</v>
      </c>
      <c r="AA292" s="1">
        <v>1666192.0</v>
      </c>
      <c r="AB292" s="1" t="s">
        <v>55</v>
      </c>
      <c r="AC292" s="1" t="s">
        <v>1537</v>
      </c>
      <c r="AD292" s="1" t="s">
        <v>1538</v>
      </c>
      <c r="AE292" s="1" t="s">
        <v>55</v>
      </c>
    </row>
    <row r="293" ht="56.25" customHeight="1">
      <c r="A293" s="1">
        <v>3.60039467172E11</v>
      </c>
      <c r="B293" s="2" t="s">
        <v>1539</v>
      </c>
      <c r="C293" s="2" t="s">
        <v>1540</v>
      </c>
      <c r="D293" s="1">
        <v>2.6343329307E10</v>
      </c>
      <c r="E293" s="1" t="s">
        <v>1327</v>
      </c>
      <c r="F293" s="1" t="b">
        <v>0</v>
      </c>
      <c r="G293" s="1" t="s">
        <v>34</v>
      </c>
      <c r="H293" s="1" t="b">
        <v>0</v>
      </c>
      <c r="I293" s="1">
        <v>0.0</v>
      </c>
      <c r="J293" s="1">
        <v>1.0</v>
      </c>
      <c r="K293" s="1">
        <v>1.0</v>
      </c>
      <c r="L293" s="1">
        <v>3.60007284792E11</v>
      </c>
      <c r="M293" s="1" t="s">
        <v>956</v>
      </c>
      <c r="N293" s="1" t="str">
        <f t="array" ref="N293">XLOOKUP(A:A,'CategoriasSeções'!A:A,'CategoriasSeções'!B:B)</f>
        <v>EXPORTAÇÃO - CABOTAGEM</v>
      </c>
      <c r="O293" s="1" t="s">
        <v>1062</v>
      </c>
      <c r="P293" s="3">
        <v>43876.629166666666</v>
      </c>
      <c r="Q293" s="3">
        <v>45526.35555555556</v>
      </c>
      <c r="R293" s="1" t="s">
        <v>1541</v>
      </c>
      <c r="S293" s="1" t="s">
        <v>1541</v>
      </c>
      <c r="T293" s="1" t="s">
        <v>38</v>
      </c>
      <c r="U293" s="1" t="s">
        <v>38</v>
      </c>
      <c r="V293" s="1" t="s">
        <v>75</v>
      </c>
      <c r="W293" s="1" t="s">
        <v>69</v>
      </c>
      <c r="X293" s="1" t="s">
        <v>69</v>
      </c>
      <c r="Y293" s="12">
        <v>44123.811111111114</v>
      </c>
      <c r="AA293" s="1">
        <v>1666192.0</v>
      </c>
      <c r="AB293" s="1" t="s">
        <v>55</v>
      </c>
      <c r="AC293" s="1" t="s">
        <v>55</v>
      </c>
      <c r="AD293" s="1" t="s">
        <v>1542</v>
      </c>
      <c r="AE293" s="1" t="s">
        <v>55</v>
      </c>
    </row>
    <row r="294" ht="56.25" customHeight="1">
      <c r="A294" s="1">
        <v>3.60039870111E11</v>
      </c>
      <c r="B294" s="2" t="s">
        <v>1543</v>
      </c>
      <c r="C294" s="2" t="s">
        <v>1544</v>
      </c>
      <c r="D294" s="1">
        <v>2.5342029707E10</v>
      </c>
      <c r="E294" s="1" t="s">
        <v>1545</v>
      </c>
      <c r="F294" s="1" t="b">
        <v>0</v>
      </c>
      <c r="G294" s="1" t="s">
        <v>34</v>
      </c>
      <c r="H294" s="1" t="b">
        <v>0</v>
      </c>
      <c r="I294" s="1">
        <v>0.0</v>
      </c>
      <c r="J294" s="1">
        <v>2.0</v>
      </c>
      <c r="K294" s="1">
        <v>2.0</v>
      </c>
      <c r="L294" s="1">
        <v>3.60007284792E11</v>
      </c>
      <c r="M294" s="1" t="s">
        <v>956</v>
      </c>
      <c r="N294" s="1" t="str">
        <f t="array" ref="N294">XLOOKUP(A:A,'CategoriasSeções'!A:A,'CategoriasSeções'!B:B)</f>
        <v>EXPORTAÇÃO - CABOTAGEM</v>
      </c>
      <c r="O294" s="1" t="s">
        <v>1062</v>
      </c>
      <c r="P294" s="3">
        <v>43876.58472222222</v>
      </c>
      <c r="Q294" s="3">
        <v>45526.603472222225</v>
      </c>
      <c r="R294" s="1" t="s">
        <v>1546</v>
      </c>
      <c r="S294" s="1" t="s">
        <v>1546</v>
      </c>
      <c r="T294" s="1" t="s">
        <v>38</v>
      </c>
      <c r="U294" s="1" t="s">
        <v>38</v>
      </c>
      <c r="V294" s="1" t="s">
        <v>75</v>
      </c>
      <c r="W294" s="1" t="s">
        <v>69</v>
      </c>
      <c r="X294" s="1" t="s">
        <v>69</v>
      </c>
      <c r="Y294" s="12">
        <v>44551.85972222222</v>
      </c>
      <c r="AA294" s="1">
        <v>1666192.0</v>
      </c>
      <c r="AB294" s="1" t="s">
        <v>55</v>
      </c>
      <c r="AC294" s="1" t="s">
        <v>1547</v>
      </c>
      <c r="AD294" s="1" t="s">
        <v>1548</v>
      </c>
      <c r="AE294" s="1" t="s">
        <v>55</v>
      </c>
    </row>
    <row r="295" ht="56.25" customHeight="1">
      <c r="A295" s="1">
        <v>3.60039866151E11</v>
      </c>
      <c r="B295" s="2" t="s">
        <v>1549</v>
      </c>
      <c r="C295" s="2" t="s">
        <v>1550</v>
      </c>
      <c r="D295" s="1">
        <v>2.6343329307E10</v>
      </c>
      <c r="E295" s="1" t="s">
        <v>1327</v>
      </c>
      <c r="F295" s="1" t="b">
        <v>0</v>
      </c>
      <c r="G295" s="1" t="s">
        <v>34</v>
      </c>
      <c r="H295" s="1" t="b">
        <v>0</v>
      </c>
      <c r="I295" s="1">
        <v>0.0</v>
      </c>
      <c r="J295" s="1">
        <v>1.0</v>
      </c>
      <c r="K295" s="1">
        <v>1.0</v>
      </c>
      <c r="L295" s="1">
        <v>3.60007089791E11</v>
      </c>
      <c r="M295" s="1" t="s">
        <v>956</v>
      </c>
      <c r="N295" s="1" t="str">
        <f t="array" ref="N295">XLOOKUP(A:A,'CategoriasSeções'!A:A,'CategoriasSeções'!B:B)</f>
        <v>IMPORTAÇÃO</v>
      </c>
      <c r="O295" s="1" t="s">
        <v>129</v>
      </c>
      <c r="P295" s="3">
        <v>43875.97152777778</v>
      </c>
      <c r="Q295" s="3">
        <v>45526.45486111111</v>
      </c>
      <c r="R295" s="1" t="s">
        <v>1551</v>
      </c>
      <c r="S295" s="1" t="s">
        <v>1551</v>
      </c>
      <c r="T295" s="1" t="s">
        <v>38</v>
      </c>
      <c r="U295" s="1" t="s">
        <v>38</v>
      </c>
      <c r="V295" s="1" t="s">
        <v>75</v>
      </c>
      <c r="W295" s="1" t="s">
        <v>69</v>
      </c>
      <c r="X295" s="1" t="s">
        <v>69</v>
      </c>
      <c r="Y295" s="3">
        <v>45384.87291666667</v>
      </c>
      <c r="AA295" s="1">
        <v>1666192.0</v>
      </c>
      <c r="AB295" s="1" t="s">
        <v>55</v>
      </c>
      <c r="AC295" s="1" t="s">
        <v>1552</v>
      </c>
      <c r="AD295" s="1" t="s">
        <v>1553</v>
      </c>
      <c r="AE295" s="1" t="s">
        <v>55</v>
      </c>
    </row>
    <row r="296" ht="56.25" customHeight="1">
      <c r="A296" s="1">
        <v>3.60039125992E11</v>
      </c>
      <c r="B296" s="2" t="s">
        <v>1554</v>
      </c>
      <c r="C296" s="2" t="s">
        <v>1555</v>
      </c>
      <c r="D296" s="1">
        <v>2.6343329307E10</v>
      </c>
      <c r="E296" s="1" t="s">
        <v>1327</v>
      </c>
      <c r="F296" s="1" t="b">
        <v>0</v>
      </c>
      <c r="G296" s="1" t="s">
        <v>34</v>
      </c>
      <c r="H296" s="1" t="b">
        <v>0</v>
      </c>
      <c r="I296" s="1">
        <v>0.0</v>
      </c>
      <c r="J296" s="1">
        <v>0.0</v>
      </c>
      <c r="K296" s="1">
        <v>0.0</v>
      </c>
      <c r="L296" s="1">
        <v>3.60000077792E11</v>
      </c>
      <c r="M296" s="1" t="s">
        <v>956</v>
      </c>
      <c r="N296" s="1" t="str">
        <f t="array" ref="N296">XLOOKUP(A:A,'CategoriasSeções'!A:A,'CategoriasSeções'!B:B)</f>
        <v>Dúvidas Gerais</v>
      </c>
      <c r="O296" s="1" t="s">
        <v>1449</v>
      </c>
      <c r="P296" s="3">
        <v>43866.59305555555</v>
      </c>
      <c r="Q296" s="3">
        <v>45526.603472222225</v>
      </c>
      <c r="R296" s="1" t="s">
        <v>1556</v>
      </c>
      <c r="S296" s="1" t="s">
        <v>1556</v>
      </c>
      <c r="T296" s="1" t="s">
        <v>38</v>
      </c>
      <c r="U296" s="1" t="s">
        <v>38</v>
      </c>
      <c r="V296" s="1" t="s">
        <v>75</v>
      </c>
      <c r="W296" s="1" t="s">
        <v>69</v>
      </c>
      <c r="X296" s="1" t="s">
        <v>69</v>
      </c>
      <c r="Y296" s="3">
        <v>45196.87152777778</v>
      </c>
      <c r="AA296" s="1">
        <v>1666192.0</v>
      </c>
      <c r="AB296" s="1" t="s">
        <v>55</v>
      </c>
      <c r="AC296" s="1" t="s">
        <v>1557</v>
      </c>
      <c r="AD296" s="1" t="s">
        <v>1558</v>
      </c>
      <c r="AE296" s="1" t="s">
        <v>55</v>
      </c>
    </row>
    <row r="297" ht="56.25" customHeight="1">
      <c r="A297" s="1">
        <v>3.60039250551E11</v>
      </c>
      <c r="B297" s="2" t="s">
        <v>1559</v>
      </c>
      <c r="C297" s="2" t="s">
        <v>1560</v>
      </c>
      <c r="D297" s="1">
        <v>2.6343329307E10</v>
      </c>
      <c r="E297" s="1" t="s">
        <v>1327</v>
      </c>
      <c r="F297" s="1" t="b">
        <v>0</v>
      </c>
      <c r="G297" s="1" t="s">
        <v>34</v>
      </c>
      <c r="H297" s="1" t="b">
        <v>0</v>
      </c>
      <c r="I297" s="1">
        <v>0.0</v>
      </c>
      <c r="J297" s="1">
        <v>0.0</v>
      </c>
      <c r="K297" s="1">
        <v>0.0</v>
      </c>
      <c r="L297" s="1">
        <v>3.60000077792E11</v>
      </c>
      <c r="M297" s="1" t="s">
        <v>956</v>
      </c>
      <c r="N297" s="1" t="str">
        <f t="array" ref="N297">XLOOKUP(A:A,'CategoriasSeções'!A:A,'CategoriasSeções'!B:B)</f>
        <v>Dúvidas Gerais</v>
      </c>
      <c r="O297" s="1" t="s">
        <v>1449</v>
      </c>
      <c r="P297" s="3">
        <v>43857.80416666667</v>
      </c>
      <c r="Q297" s="3">
        <v>45526.35555555556</v>
      </c>
      <c r="R297" s="1" t="s">
        <v>1561</v>
      </c>
      <c r="S297" s="1" t="s">
        <v>1561</v>
      </c>
      <c r="T297" s="1" t="s">
        <v>38</v>
      </c>
      <c r="U297" s="1" t="s">
        <v>38</v>
      </c>
      <c r="V297" s="1" t="s">
        <v>75</v>
      </c>
      <c r="W297" s="1" t="s">
        <v>69</v>
      </c>
      <c r="X297" s="1" t="s">
        <v>69</v>
      </c>
      <c r="Y297" s="3">
        <v>44084.62777777778</v>
      </c>
      <c r="AA297" s="1">
        <v>1666192.0</v>
      </c>
      <c r="AB297" s="1" t="s">
        <v>55</v>
      </c>
      <c r="AC297" s="1" t="s">
        <v>1562</v>
      </c>
      <c r="AD297" s="1" t="s">
        <v>1563</v>
      </c>
      <c r="AE297" s="1" t="s">
        <v>55</v>
      </c>
    </row>
    <row r="298" ht="56.25" customHeight="1">
      <c r="A298" s="1">
        <v>3.60038852332E11</v>
      </c>
      <c r="B298" s="2" t="s">
        <v>1564</v>
      </c>
      <c r="C298" s="2" t="s">
        <v>1565</v>
      </c>
      <c r="D298" s="1">
        <v>2.6343329307E10</v>
      </c>
      <c r="E298" s="1" t="s">
        <v>1327</v>
      </c>
      <c r="F298" s="1" t="b">
        <v>0</v>
      </c>
      <c r="G298" s="1" t="s">
        <v>34</v>
      </c>
      <c r="H298" s="1" t="b">
        <v>0</v>
      </c>
      <c r="I298" s="1">
        <v>0.0</v>
      </c>
      <c r="J298" s="1">
        <v>0.0</v>
      </c>
      <c r="K298" s="1">
        <v>2.0</v>
      </c>
      <c r="L298" s="1">
        <v>3.60000077792E11</v>
      </c>
      <c r="M298" s="1" t="s">
        <v>956</v>
      </c>
      <c r="N298" s="1" t="str">
        <f t="array" ref="N298">XLOOKUP(A:A,'CategoriasSeções'!A:A,'CategoriasSeções'!B:B)</f>
        <v>Dúvidas Gerais</v>
      </c>
      <c r="O298" s="1" t="s">
        <v>1449</v>
      </c>
      <c r="P298" s="3">
        <v>43857.76736111111</v>
      </c>
      <c r="Q298" s="3">
        <v>45526.57638888889</v>
      </c>
      <c r="R298" s="1" t="s">
        <v>1566</v>
      </c>
      <c r="S298" s="1" t="s">
        <v>1566</v>
      </c>
      <c r="T298" s="1" t="s">
        <v>38</v>
      </c>
      <c r="U298" s="1" t="s">
        <v>38</v>
      </c>
      <c r="V298" s="1" t="s">
        <v>75</v>
      </c>
      <c r="W298" s="1" t="s">
        <v>69</v>
      </c>
      <c r="X298" s="1" t="s">
        <v>69</v>
      </c>
      <c r="Y298" s="3">
        <v>45492.80486111111</v>
      </c>
      <c r="AA298" s="1">
        <v>1666192.0</v>
      </c>
      <c r="AB298" s="1" t="s">
        <v>55</v>
      </c>
      <c r="AC298" s="1" t="s">
        <v>1567</v>
      </c>
      <c r="AD298" s="1" t="s">
        <v>1568</v>
      </c>
      <c r="AE298" s="1" t="s">
        <v>55</v>
      </c>
    </row>
    <row r="299" ht="56.25" customHeight="1">
      <c r="A299" s="1">
        <v>3.60039244611E11</v>
      </c>
      <c r="B299" s="2" t="s">
        <v>1569</v>
      </c>
      <c r="C299" s="2" t="s">
        <v>1570</v>
      </c>
      <c r="D299" s="1">
        <v>2.6343329307E10</v>
      </c>
      <c r="E299" s="1" t="s">
        <v>1327</v>
      </c>
      <c r="F299" s="1" t="b">
        <v>0</v>
      </c>
      <c r="G299" s="1" t="s">
        <v>34</v>
      </c>
      <c r="H299" s="1" t="b">
        <v>0</v>
      </c>
      <c r="I299" s="1">
        <v>0.0</v>
      </c>
      <c r="J299" s="1">
        <v>0.0</v>
      </c>
      <c r="K299" s="1">
        <v>0.0</v>
      </c>
      <c r="L299" s="1">
        <v>3.60007284792E11</v>
      </c>
      <c r="M299" s="1" t="s">
        <v>956</v>
      </c>
      <c r="N299" s="1" t="str">
        <f t="array" ref="N299">XLOOKUP(A:A,'CategoriasSeções'!A:A,'CategoriasSeções'!B:B)</f>
        <v>EXPORTAÇÃO - CABOTAGEM</v>
      </c>
      <c r="O299" s="1" t="s">
        <v>1062</v>
      </c>
      <c r="P299" s="3">
        <v>43857.72222222222</v>
      </c>
      <c r="Q299" s="3">
        <v>44455.759722222225</v>
      </c>
      <c r="R299" s="1" t="s">
        <v>1571</v>
      </c>
      <c r="S299" s="1" t="s">
        <v>1571</v>
      </c>
      <c r="T299" s="1" t="s">
        <v>38</v>
      </c>
      <c r="U299" s="1" t="s">
        <v>38</v>
      </c>
      <c r="V299" s="1" t="s">
        <v>75</v>
      </c>
      <c r="W299" s="1" t="s">
        <v>69</v>
      </c>
      <c r="X299" s="1" t="s">
        <v>69</v>
      </c>
      <c r="Y299" s="3">
        <v>44455.759722222225</v>
      </c>
      <c r="AA299" s="1">
        <v>1666192.0</v>
      </c>
      <c r="AB299" s="1" t="s">
        <v>55</v>
      </c>
      <c r="AC299" s="1" t="s">
        <v>1572</v>
      </c>
      <c r="AD299" s="1" t="s">
        <v>1573</v>
      </c>
      <c r="AE299" s="1" t="s">
        <v>55</v>
      </c>
    </row>
    <row r="300" ht="56.25" customHeight="1">
      <c r="A300" s="1">
        <v>3.60038845112E11</v>
      </c>
      <c r="B300" s="2" t="s">
        <v>1574</v>
      </c>
      <c r="C300" s="2" t="s">
        <v>1575</v>
      </c>
      <c r="D300" s="1">
        <v>2.6343329307E10</v>
      </c>
      <c r="E300" s="1" t="s">
        <v>1327</v>
      </c>
      <c r="F300" s="1" t="b">
        <v>0</v>
      </c>
      <c r="G300" s="1" t="s">
        <v>34</v>
      </c>
      <c r="H300" s="1" t="b">
        <v>0</v>
      </c>
      <c r="I300" s="1">
        <v>0.0</v>
      </c>
      <c r="J300" s="1">
        <v>0.0</v>
      </c>
      <c r="K300" s="1">
        <v>0.0</v>
      </c>
      <c r="L300" s="1">
        <v>3.60007284792E11</v>
      </c>
      <c r="M300" s="1" t="s">
        <v>956</v>
      </c>
      <c r="N300" s="1" t="str">
        <f t="array" ref="N300">XLOOKUP(A:A,'CategoriasSeções'!A:A,'CategoriasSeções'!B:B)</f>
        <v>EXPORTAÇÃO - CABOTAGEM</v>
      </c>
      <c r="O300" s="1" t="s">
        <v>1062</v>
      </c>
      <c r="P300" s="3">
        <v>43857.629166666666</v>
      </c>
      <c r="Q300" s="3">
        <v>45526.51388888889</v>
      </c>
      <c r="R300" s="1" t="s">
        <v>1576</v>
      </c>
      <c r="S300" s="1" t="s">
        <v>1576</v>
      </c>
      <c r="T300" s="1" t="s">
        <v>38</v>
      </c>
      <c r="U300" s="1" t="s">
        <v>38</v>
      </c>
      <c r="V300" s="1" t="s">
        <v>75</v>
      </c>
      <c r="W300" s="1" t="s">
        <v>69</v>
      </c>
      <c r="X300" s="1" t="s">
        <v>69</v>
      </c>
      <c r="Y300" s="3">
        <v>44277.87291666667</v>
      </c>
      <c r="AA300" s="1">
        <v>1666192.0</v>
      </c>
      <c r="AB300" s="1" t="s">
        <v>55</v>
      </c>
      <c r="AC300" s="1" t="s">
        <v>1577</v>
      </c>
      <c r="AD300" s="1" t="s">
        <v>1578</v>
      </c>
      <c r="AE300" s="1" t="s">
        <v>55</v>
      </c>
    </row>
    <row r="301" ht="56.25" customHeight="1">
      <c r="A301" s="1">
        <v>3.60039238731E11</v>
      </c>
      <c r="B301" s="2" t="s">
        <v>1579</v>
      </c>
      <c r="C301" s="2" t="s">
        <v>1580</v>
      </c>
      <c r="D301" s="1">
        <v>2.6343329307E10</v>
      </c>
      <c r="E301" s="1" t="s">
        <v>1327</v>
      </c>
      <c r="F301" s="1" t="b">
        <v>0</v>
      </c>
      <c r="G301" s="1" t="s">
        <v>34</v>
      </c>
      <c r="H301" s="1" t="b">
        <v>0</v>
      </c>
      <c r="I301" s="1">
        <v>0.0</v>
      </c>
      <c r="J301" s="1">
        <v>0.0</v>
      </c>
      <c r="K301" s="1">
        <v>2.0</v>
      </c>
      <c r="L301" s="1">
        <v>3.60000077792E11</v>
      </c>
      <c r="M301" s="1" t="s">
        <v>956</v>
      </c>
      <c r="N301" s="1" t="str">
        <f t="array" ref="N301">XLOOKUP(A:A,'CategoriasSeções'!A:A,'CategoriasSeções'!B:B)</f>
        <v>Dúvidas Gerais</v>
      </c>
      <c r="O301" s="1" t="s">
        <v>1449</v>
      </c>
      <c r="P301" s="3">
        <v>43857.603472222225</v>
      </c>
      <c r="Q301" s="3">
        <v>45526.57638888889</v>
      </c>
      <c r="R301" s="1" t="s">
        <v>1581</v>
      </c>
      <c r="S301" s="1" t="s">
        <v>1581</v>
      </c>
      <c r="T301" s="1" t="s">
        <v>38</v>
      </c>
      <c r="U301" s="1" t="s">
        <v>38</v>
      </c>
      <c r="V301" s="1" t="s">
        <v>75</v>
      </c>
      <c r="W301" s="1" t="s">
        <v>69</v>
      </c>
      <c r="X301" s="1" t="s">
        <v>69</v>
      </c>
      <c r="Y301" s="3">
        <v>44098.65694444445</v>
      </c>
      <c r="AA301" s="1">
        <v>1666192.0</v>
      </c>
      <c r="AB301" s="1" t="s">
        <v>55</v>
      </c>
      <c r="AC301" s="1" t="s">
        <v>1582</v>
      </c>
      <c r="AD301" s="1" t="s">
        <v>1583</v>
      </c>
      <c r="AE301" s="1" t="s">
        <v>55</v>
      </c>
    </row>
    <row r="302" ht="56.25" customHeight="1">
      <c r="A302" s="1">
        <v>3.60039119351E11</v>
      </c>
      <c r="B302" s="2" t="s">
        <v>1584</v>
      </c>
      <c r="C302" s="2" t="s">
        <v>1585</v>
      </c>
      <c r="D302" s="1">
        <v>2.6343329307E10</v>
      </c>
      <c r="E302" s="1" t="s">
        <v>1327</v>
      </c>
      <c r="F302" s="1" t="b">
        <v>0</v>
      </c>
      <c r="G302" s="1" t="s">
        <v>34</v>
      </c>
      <c r="H302" s="1" t="b">
        <v>0</v>
      </c>
      <c r="I302" s="1">
        <v>0.0</v>
      </c>
      <c r="J302" s="1">
        <v>0.0</v>
      </c>
      <c r="K302" s="1">
        <v>0.0</v>
      </c>
      <c r="L302" s="1">
        <v>3.60000077792E11</v>
      </c>
      <c r="M302" s="1" t="s">
        <v>956</v>
      </c>
      <c r="N302" s="1" t="str">
        <f t="array" ref="N302">XLOOKUP(A:A,'CategoriasSeções'!A:A,'CategoriasSeções'!B:B)</f>
        <v>Dúvidas Gerais</v>
      </c>
      <c r="O302" s="1" t="s">
        <v>1449</v>
      </c>
      <c r="P302" s="3">
        <v>43853.60833333333</v>
      </c>
      <c r="Q302" s="3">
        <v>45526.45486111111</v>
      </c>
      <c r="R302" s="1" t="s">
        <v>1497</v>
      </c>
      <c r="S302" s="1" t="s">
        <v>1497</v>
      </c>
      <c r="T302" s="1" t="s">
        <v>38</v>
      </c>
      <c r="U302" s="1" t="s">
        <v>38</v>
      </c>
      <c r="V302" s="1" t="s">
        <v>75</v>
      </c>
      <c r="W302" s="1" t="s">
        <v>69</v>
      </c>
      <c r="X302" s="1" t="s">
        <v>69</v>
      </c>
      <c r="Y302" s="3">
        <v>44106.10277777778</v>
      </c>
      <c r="AA302" s="1">
        <v>1666192.0</v>
      </c>
      <c r="AB302" s="1" t="s">
        <v>55</v>
      </c>
      <c r="AC302" s="1" t="s">
        <v>1586</v>
      </c>
      <c r="AD302" s="1" t="s">
        <v>1587</v>
      </c>
      <c r="AE302" s="1" t="s">
        <v>55</v>
      </c>
    </row>
    <row r="303" ht="56.25" customHeight="1">
      <c r="A303" s="1">
        <v>3.60039074331E11</v>
      </c>
      <c r="B303" s="2" t="s">
        <v>1588</v>
      </c>
      <c r="C303" s="2" t="s">
        <v>1589</v>
      </c>
      <c r="D303" s="1">
        <v>2.6343329307E10</v>
      </c>
      <c r="E303" s="1" t="s">
        <v>1327</v>
      </c>
      <c r="F303" s="1" t="b">
        <v>0</v>
      </c>
      <c r="G303" s="1" t="s">
        <v>34</v>
      </c>
      <c r="H303" s="1" t="b">
        <v>0</v>
      </c>
      <c r="I303" s="1">
        <v>0.0</v>
      </c>
      <c r="J303" s="1">
        <v>2.0</v>
      </c>
      <c r="K303" s="1">
        <v>2.0</v>
      </c>
      <c r="L303" s="1">
        <v>3.60007089791E11</v>
      </c>
      <c r="M303" s="1" t="s">
        <v>956</v>
      </c>
      <c r="N303" s="1" t="str">
        <f t="array" ref="N303">XLOOKUP(A:A,'CategoriasSeções'!A:A,'CategoriasSeções'!B:B)</f>
        <v>IMPORTAÇÃO</v>
      </c>
      <c r="O303" s="1" t="s">
        <v>129</v>
      </c>
      <c r="P303" s="3">
        <v>43852.61111111111</v>
      </c>
      <c r="Q303" s="3">
        <v>45526.46388888889</v>
      </c>
      <c r="R303" s="1" t="s">
        <v>1590</v>
      </c>
      <c r="S303" s="1" t="s">
        <v>1590</v>
      </c>
      <c r="T303" s="1" t="s">
        <v>38</v>
      </c>
      <c r="U303" s="1" t="s">
        <v>38</v>
      </c>
      <c r="V303" s="1" t="s">
        <v>75</v>
      </c>
      <c r="W303" s="1" t="s">
        <v>69</v>
      </c>
      <c r="X303" s="1" t="s">
        <v>69</v>
      </c>
      <c r="Y303" s="3">
        <v>44306.59930555556</v>
      </c>
      <c r="AA303" s="1">
        <v>1666192.0</v>
      </c>
      <c r="AB303" s="1" t="s">
        <v>55</v>
      </c>
      <c r="AC303" s="1" t="s">
        <v>1591</v>
      </c>
      <c r="AD303" s="1" t="s">
        <v>1592</v>
      </c>
      <c r="AE303" s="1" t="s">
        <v>55</v>
      </c>
    </row>
    <row r="304" ht="56.25" customHeight="1">
      <c r="A304" s="1">
        <v>3.60038794051E11</v>
      </c>
      <c r="B304" s="2" t="s">
        <v>1593</v>
      </c>
      <c r="C304" s="2" t="s">
        <v>1594</v>
      </c>
      <c r="D304" s="1">
        <v>2.6343329307E10</v>
      </c>
      <c r="E304" s="1" t="s">
        <v>1327</v>
      </c>
      <c r="F304" s="1" t="b">
        <v>0</v>
      </c>
      <c r="G304" s="1" t="s">
        <v>34</v>
      </c>
      <c r="H304" s="1" t="b">
        <v>0</v>
      </c>
      <c r="I304" s="1">
        <v>0.0</v>
      </c>
      <c r="J304" s="1">
        <v>5.0</v>
      </c>
      <c r="K304" s="1">
        <v>5.0</v>
      </c>
      <c r="L304" s="1">
        <v>3.60007089791E11</v>
      </c>
      <c r="M304" s="1" t="s">
        <v>956</v>
      </c>
      <c r="N304" s="1" t="str">
        <f t="array" ref="N304">XLOOKUP(A:A,'CategoriasSeções'!A:A,'CategoriasSeções'!B:B)</f>
        <v>IMPORTAÇÃO</v>
      </c>
      <c r="O304" s="1" t="s">
        <v>129</v>
      </c>
      <c r="P304" s="3">
        <v>43844.61944444444</v>
      </c>
      <c r="Q304" s="3">
        <v>45526.51875</v>
      </c>
      <c r="R304" s="1" t="s">
        <v>1595</v>
      </c>
      <c r="S304" s="1" t="s">
        <v>1595</v>
      </c>
      <c r="T304" s="1" t="s">
        <v>38</v>
      </c>
      <c r="U304" s="1" t="s">
        <v>38</v>
      </c>
      <c r="V304" s="1" t="s">
        <v>75</v>
      </c>
      <c r="W304" s="1" t="s">
        <v>69</v>
      </c>
      <c r="X304" s="1" t="s">
        <v>69</v>
      </c>
      <c r="Y304" s="3">
        <v>44789.566666666666</v>
      </c>
      <c r="AA304" s="1">
        <v>1666192.0</v>
      </c>
      <c r="AB304" s="1" t="s">
        <v>55</v>
      </c>
      <c r="AC304" s="1" t="s">
        <v>1596</v>
      </c>
      <c r="AD304" s="1" t="s">
        <v>1597</v>
      </c>
      <c r="AE304" s="1" t="s">
        <v>55</v>
      </c>
    </row>
    <row r="305" ht="56.25" customHeight="1">
      <c r="A305" s="1">
        <v>3.60038160532E11</v>
      </c>
      <c r="B305" s="2" t="s">
        <v>1598</v>
      </c>
      <c r="C305" s="2" t="s">
        <v>1599</v>
      </c>
      <c r="D305" s="1">
        <v>2.6343329307E10</v>
      </c>
      <c r="E305" s="1" t="s">
        <v>1327</v>
      </c>
      <c r="F305" s="1" t="b">
        <v>0</v>
      </c>
      <c r="G305" s="1" t="s">
        <v>34</v>
      </c>
      <c r="H305" s="1" t="b">
        <v>0</v>
      </c>
      <c r="I305" s="1">
        <v>0.0</v>
      </c>
      <c r="J305" s="1">
        <v>1.0</v>
      </c>
      <c r="K305" s="1">
        <v>5.0</v>
      </c>
      <c r="L305" s="1">
        <v>3.60000077792E11</v>
      </c>
      <c r="M305" s="1" t="s">
        <v>956</v>
      </c>
      <c r="N305" s="1" t="str">
        <f t="array" ref="N305">XLOOKUP(A:A,'CategoriasSeções'!A:A,'CategoriasSeções'!B:B)</f>
        <v>Dúvidas Gerais</v>
      </c>
      <c r="O305" s="1" t="s">
        <v>1449</v>
      </c>
      <c r="P305" s="3">
        <v>43837.47222222222</v>
      </c>
      <c r="Q305" s="3">
        <v>45526.45486111111</v>
      </c>
      <c r="R305" s="1" t="s">
        <v>1600</v>
      </c>
      <c r="S305" s="1" t="s">
        <v>1600</v>
      </c>
      <c r="T305" s="1" t="s">
        <v>38</v>
      </c>
      <c r="U305" s="1" t="s">
        <v>38</v>
      </c>
      <c r="V305" s="1" t="s">
        <v>75</v>
      </c>
      <c r="W305" s="1" t="s">
        <v>69</v>
      </c>
      <c r="X305" s="1" t="s">
        <v>69</v>
      </c>
      <c r="Y305" s="3">
        <v>45477.65416666667</v>
      </c>
      <c r="AA305" s="1">
        <v>1666192.0</v>
      </c>
      <c r="AB305" s="1" t="s">
        <v>55</v>
      </c>
      <c r="AC305" s="1" t="s">
        <v>1601</v>
      </c>
      <c r="AD305" s="1" t="s">
        <v>1602</v>
      </c>
      <c r="AE305" s="1" t="s">
        <v>55</v>
      </c>
    </row>
    <row r="306" ht="56.25" customHeight="1">
      <c r="A306" s="1">
        <v>3.60038044552E11</v>
      </c>
      <c r="B306" s="2" t="s">
        <v>1603</v>
      </c>
      <c r="C306" s="2" t="s">
        <v>1604</v>
      </c>
      <c r="D306" s="1">
        <v>2.6343329307E10</v>
      </c>
      <c r="E306" s="1" t="s">
        <v>1327</v>
      </c>
      <c r="F306" s="1" t="b">
        <v>0</v>
      </c>
      <c r="G306" s="1" t="s">
        <v>34</v>
      </c>
      <c r="H306" s="1" t="b">
        <v>0</v>
      </c>
      <c r="I306" s="1">
        <v>0.0</v>
      </c>
      <c r="J306" s="1">
        <v>1.0</v>
      </c>
      <c r="K306" s="1">
        <v>3.0</v>
      </c>
      <c r="L306" s="1">
        <v>3.60007950711E11</v>
      </c>
      <c r="M306" s="1" t="s">
        <v>956</v>
      </c>
      <c r="N306" s="1" t="str">
        <f t="array" ref="N306">XLOOKUP(A:A,'CategoriasSeções'!A:A,'CategoriasSeções'!B:B)</f>
        <v>Agendamentos</v>
      </c>
      <c r="O306" s="1" t="s">
        <v>1605</v>
      </c>
      <c r="P306" s="3">
        <v>43832.48541666667</v>
      </c>
      <c r="Q306" s="3">
        <v>45526.51388888889</v>
      </c>
      <c r="R306" s="1" t="s">
        <v>1606</v>
      </c>
      <c r="S306" s="1" t="s">
        <v>1606</v>
      </c>
      <c r="T306" s="1" t="s">
        <v>38</v>
      </c>
      <c r="U306" s="1" t="s">
        <v>38</v>
      </c>
      <c r="V306" s="1" t="s">
        <v>75</v>
      </c>
      <c r="W306" s="1" t="s">
        <v>69</v>
      </c>
      <c r="X306" s="1" t="s">
        <v>69</v>
      </c>
      <c r="Y306" s="3">
        <v>44095.600694444445</v>
      </c>
      <c r="AA306" s="1">
        <v>1666192.0</v>
      </c>
      <c r="AB306" s="1" t="s">
        <v>55</v>
      </c>
      <c r="AC306" s="1" t="s">
        <v>55</v>
      </c>
      <c r="AD306" s="1" t="s">
        <v>1607</v>
      </c>
      <c r="AE306" s="1" t="s">
        <v>55</v>
      </c>
    </row>
    <row r="307" ht="56.25" customHeight="1">
      <c r="A307" s="1">
        <v>3.60038044472E11</v>
      </c>
      <c r="B307" s="2" t="s">
        <v>1608</v>
      </c>
      <c r="C307" s="2" t="s">
        <v>1609</v>
      </c>
      <c r="D307" s="1">
        <v>2.6343329307E10</v>
      </c>
      <c r="E307" s="1" t="s">
        <v>1327</v>
      </c>
      <c r="F307" s="1" t="b">
        <v>0</v>
      </c>
      <c r="G307" s="1" t="s">
        <v>34</v>
      </c>
      <c r="H307" s="1" t="b">
        <v>0</v>
      </c>
      <c r="I307" s="1">
        <v>0.0</v>
      </c>
      <c r="J307" s="1">
        <v>0.0</v>
      </c>
      <c r="K307" s="1">
        <v>0.0</v>
      </c>
      <c r="L307" s="1">
        <v>3.60007950691E11</v>
      </c>
      <c r="M307" s="1" t="s">
        <v>956</v>
      </c>
      <c r="N307" s="1" t="str">
        <f t="array" ref="N307">XLOOKUP(A:A,'CategoriasSeções'!A:A,'CategoriasSeções'!B:B)</f>
        <v>Agendamentos</v>
      </c>
      <c r="O307" s="1" t="s">
        <v>85</v>
      </c>
      <c r="P307" s="3">
        <v>43832.478472222225</v>
      </c>
      <c r="Q307" s="3">
        <v>45526.57638888889</v>
      </c>
      <c r="R307" s="1" t="s">
        <v>1610</v>
      </c>
      <c r="S307" s="1" t="s">
        <v>1610</v>
      </c>
      <c r="T307" s="1" t="s">
        <v>38</v>
      </c>
      <c r="U307" s="1" t="s">
        <v>38</v>
      </c>
      <c r="V307" s="1" t="s">
        <v>75</v>
      </c>
      <c r="W307" s="1" t="s">
        <v>69</v>
      </c>
      <c r="X307" s="1" t="s">
        <v>69</v>
      </c>
      <c r="Y307" s="3">
        <v>44789.54722222222</v>
      </c>
      <c r="AA307" s="1">
        <v>1666192.0</v>
      </c>
      <c r="AB307" s="1" t="s">
        <v>55</v>
      </c>
      <c r="AC307" s="1" t="s">
        <v>1611</v>
      </c>
      <c r="AD307" s="1" t="s">
        <v>1612</v>
      </c>
      <c r="AE307" s="1" t="s">
        <v>55</v>
      </c>
    </row>
    <row r="308" ht="56.25" customHeight="1">
      <c r="A308" s="1">
        <v>3.60038414491E11</v>
      </c>
      <c r="B308" s="2" t="s">
        <v>1613</v>
      </c>
      <c r="C308" s="2" t="s">
        <v>1614</v>
      </c>
      <c r="D308" s="1">
        <v>2.6343329307E10</v>
      </c>
      <c r="E308" s="1" t="s">
        <v>1327</v>
      </c>
      <c r="F308" s="1" t="b">
        <v>0</v>
      </c>
      <c r="G308" s="1" t="s">
        <v>34</v>
      </c>
      <c r="H308" s="1" t="b">
        <v>0</v>
      </c>
      <c r="I308" s="1">
        <v>0.0</v>
      </c>
      <c r="J308" s="1">
        <v>0.0</v>
      </c>
      <c r="K308" s="1">
        <v>0.0</v>
      </c>
      <c r="L308" s="1">
        <v>3.60007950691E11</v>
      </c>
      <c r="M308" s="1" t="s">
        <v>956</v>
      </c>
      <c r="N308" s="1" t="str">
        <f t="array" ref="N308">XLOOKUP(A:A,'CategoriasSeções'!A:A,'CategoriasSeções'!B:B)</f>
        <v>Agendamentos</v>
      </c>
      <c r="O308" s="1" t="s">
        <v>85</v>
      </c>
      <c r="P308" s="3">
        <v>43832.472916666666</v>
      </c>
      <c r="Q308" s="3">
        <v>45526.620833333334</v>
      </c>
      <c r="R308" s="1" t="s">
        <v>1615</v>
      </c>
      <c r="S308" s="1" t="s">
        <v>1615</v>
      </c>
      <c r="T308" s="1" t="s">
        <v>38</v>
      </c>
      <c r="U308" s="1" t="s">
        <v>38</v>
      </c>
      <c r="V308" s="1" t="s">
        <v>75</v>
      </c>
      <c r="W308" s="1" t="s">
        <v>69</v>
      </c>
      <c r="X308" s="1" t="s">
        <v>69</v>
      </c>
      <c r="Y308" s="3">
        <v>44789.54791666667</v>
      </c>
      <c r="AA308" s="1">
        <v>1666192.0</v>
      </c>
      <c r="AB308" s="1" t="s">
        <v>55</v>
      </c>
      <c r="AC308" s="1" t="s">
        <v>1616</v>
      </c>
      <c r="AD308" s="1" t="s">
        <v>1617</v>
      </c>
      <c r="AE308" s="1" t="s">
        <v>55</v>
      </c>
    </row>
    <row r="309" ht="56.25" customHeight="1">
      <c r="A309" s="1">
        <v>3.60038414471E11</v>
      </c>
      <c r="B309" s="2" t="s">
        <v>1618</v>
      </c>
      <c r="C309" s="2" t="s">
        <v>1619</v>
      </c>
      <c r="D309" s="1">
        <v>2.6343329307E10</v>
      </c>
      <c r="E309" s="1" t="s">
        <v>1327</v>
      </c>
      <c r="F309" s="1" t="b">
        <v>0</v>
      </c>
      <c r="G309" s="1" t="s">
        <v>34</v>
      </c>
      <c r="H309" s="1" t="b">
        <v>0</v>
      </c>
      <c r="I309" s="1">
        <v>0.0</v>
      </c>
      <c r="J309" s="1">
        <v>3.0</v>
      </c>
      <c r="K309" s="1">
        <v>3.0</v>
      </c>
      <c r="L309" s="1">
        <v>3.60007950691E11</v>
      </c>
      <c r="M309" s="1" t="s">
        <v>956</v>
      </c>
      <c r="N309" s="1" t="str">
        <f t="array" ref="N309">XLOOKUP(A:A,'CategoriasSeções'!A:A,'CategoriasSeções'!B:B)</f>
        <v>Agendamentos</v>
      </c>
      <c r="O309" s="1" t="s">
        <v>85</v>
      </c>
      <c r="P309" s="3">
        <v>43832.46805555555</v>
      </c>
      <c r="Q309" s="3">
        <v>45876.57777777778</v>
      </c>
      <c r="R309" s="1" t="s">
        <v>1620</v>
      </c>
      <c r="S309" s="1" t="s">
        <v>1620</v>
      </c>
      <c r="T309" s="1" t="s">
        <v>38</v>
      </c>
      <c r="U309" s="1" t="s">
        <v>38</v>
      </c>
      <c r="V309" s="1" t="s">
        <v>75</v>
      </c>
      <c r="W309" s="1" t="s">
        <v>69</v>
      </c>
      <c r="X309" s="1" t="s">
        <v>69</v>
      </c>
      <c r="Y309" s="3">
        <v>45876.57777777778</v>
      </c>
      <c r="AA309" s="1">
        <v>1666192.0</v>
      </c>
      <c r="AB309" s="1" t="s">
        <v>55</v>
      </c>
      <c r="AC309" s="1" t="s">
        <v>1621</v>
      </c>
      <c r="AD309" s="1" t="s">
        <v>1622</v>
      </c>
      <c r="AE309" s="1" t="s">
        <v>55</v>
      </c>
    </row>
    <row r="310" ht="56.25" customHeight="1">
      <c r="A310" s="1">
        <v>3.60038375771E11</v>
      </c>
      <c r="B310" s="2" t="s">
        <v>1623</v>
      </c>
      <c r="C310" s="2" t="s">
        <v>1624</v>
      </c>
      <c r="D310" s="1">
        <v>2.6343329307E10</v>
      </c>
      <c r="E310" s="1" t="s">
        <v>1327</v>
      </c>
      <c r="F310" s="1" t="b">
        <v>0</v>
      </c>
      <c r="G310" s="1" t="s">
        <v>34</v>
      </c>
      <c r="H310" s="1" t="b">
        <v>0</v>
      </c>
      <c r="I310" s="1">
        <v>0.0</v>
      </c>
      <c r="J310" s="1">
        <v>-1.0</v>
      </c>
      <c r="K310" s="1">
        <v>1.0</v>
      </c>
      <c r="L310" s="1">
        <v>3.60007950691E11</v>
      </c>
      <c r="M310" s="1" t="s">
        <v>956</v>
      </c>
      <c r="N310" s="1" t="str">
        <f t="array" ref="N310">XLOOKUP(A:A,'CategoriasSeções'!A:A,'CategoriasSeções'!B:B)</f>
        <v>Agendamentos</v>
      </c>
      <c r="O310" s="1" t="s">
        <v>85</v>
      </c>
      <c r="P310" s="12">
        <v>43829.87222222222</v>
      </c>
      <c r="Q310" s="3">
        <v>45526.52222222222</v>
      </c>
      <c r="R310" s="1" t="s">
        <v>1625</v>
      </c>
      <c r="S310" s="1" t="s">
        <v>1625</v>
      </c>
      <c r="T310" s="1" t="s">
        <v>38</v>
      </c>
      <c r="U310" s="1" t="s">
        <v>38</v>
      </c>
      <c r="V310" s="1" t="s">
        <v>75</v>
      </c>
      <c r="W310" s="1" t="s">
        <v>69</v>
      </c>
      <c r="X310" s="1" t="s">
        <v>69</v>
      </c>
      <c r="Y310" s="3">
        <v>44789.54861111111</v>
      </c>
      <c r="AA310" s="1">
        <v>1666192.0</v>
      </c>
      <c r="AB310" s="1" t="s">
        <v>55</v>
      </c>
      <c r="AC310" s="1" t="s">
        <v>1626</v>
      </c>
      <c r="AD310" s="1" t="s">
        <v>1627</v>
      </c>
      <c r="AE310" s="1" t="s">
        <v>55</v>
      </c>
    </row>
    <row r="311" ht="56.25" customHeight="1">
      <c r="A311" s="1">
        <v>3.60038008092E11</v>
      </c>
      <c r="B311" s="2" t="s">
        <v>1628</v>
      </c>
      <c r="C311" s="2" t="s">
        <v>1629</v>
      </c>
      <c r="D311" s="1">
        <v>2.6343329307E10</v>
      </c>
      <c r="E311" s="1" t="s">
        <v>1327</v>
      </c>
      <c r="F311" s="1" t="b">
        <v>0</v>
      </c>
      <c r="G311" s="1" t="s">
        <v>34</v>
      </c>
      <c r="H311" s="1" t="b">
        <v>0</v>
      </c>
      <c r="I311" s="1">
        <v>0.0</v>
      </c>
      <c r="J311" s="1">
        <v>0.0</v>
      </c>
      <c r="K311" s="1">
        <v>0.0</v>
      </c>
      <c r="L311" s="1">
        <v>3.60007950691E11</v>
      </c>
      <c r="M311" s="1" t="s">
        <v>956</v>
      </c>
      <c r="N311" s="1" t="str">
        <f t="array" ref="N311">XLOOKUP(A:A,'CategoriasSeções'!A:A,'CategoriasSeções'!B:B)</f>
        <v>Agendamentos</v>
      </c>
      <c r="O311" s="1" t="s">
        <v>85</v>
      </c>
      <c r="P311" s="12">
        <v>43829.86666666667</v>
      </c>
      <c r="Q311" s="3">
        <v>45526.611805555556</v>
      </c>
      <c r="R311" s="1" t="s">
        <v>1630</v>
      </c>
      <c r="S311" s="1" t="s">
        <v>1630</v>
      </c>
      <c r="T311" s="1" t="s">
        <v>38</v>
      </c>
      <c r="U311" s="1" t="s">
        <v>38</v>
      </c>
      <c r="V311" s="1" t="s">
        <v>75</v>
      </c>
      <c r="W311" s="1" t="s">
        <v>69</v>
      </c>
      <c r="X311" s="1" t="s">
        <v>69</v>
      </c>
      <c r="Y311" s="3">
        <v>44468.884722222225</v>
      </c>
      <c r="AA311" s="1">
        <v>1666192.0</v>
      </c>
      <c r="AB311" s="1" t="s">
        <v>55</v>
      </c>
      <c r="AC311" s="1" t="s">
        <v>1631</v>
      </c>
      <c r="AD311" s="1" t="s">
        <v>1632</v>
      </c>
      <c r="AE311" s="1" t="s">
        <v>55</v>
      </c>
    </row>
    <row r="312" ht="56.25" customHeight="1">
      <c r="A312" s="1">
        <v>3.60038007852E11</v>
      </c>
      <c r="B312" s="2" t="s">
        <v>1633</v>
      </c>
      <c r="C312" s="2" t="s">
        <v>1634</v>
      </c>
      <c r="D312" s="1">
        <v>2.6343329307E10</v>
      </c>
      <c r="E312" s="1" t="s">
        <v>1327</v>
      </c>
      <c r="F312" s="1" t="b">
        <v>0</v>
      </c>
      <c r="G312" s="1" t="s">
        <v>34</v>
      </c>
      <c r="H312" s="1" t="b">
        <v>0</v>
      </c>
      <c r="I312" s="1">
        <v>0.0</v>
      </c>
      <c r="J312" s="1">
        <v>0.0</v>
      </c>
      <c r="K312" s="1">
        <v>0.0</v>
      </c>
      <c r="L312" s="1">
        <v>3.60007950691E11</v>
      </c>
      <c r="M312" s="1" t="s">
        <v>956</v>
      </c>
      <c r="N312" s="1" t="str">
        <f t="array" ref="N312">XLOOKUP(A:A,'CategoriasSeções'!A:A,'CategoriasSeções'!B:B)</f>
        <v>Agendamentos</v>
      </c>
      <c r="O312" s="1" t="s">
        <v>85</v>
      </c>
      <c r="P312" s="12">
        <v>43829.861805555556</v>
      </c>
      <c r="Q312" s="3">
        <v>45712.80138888889</v>
      </c>
      <c r="R312" s="1" t="s">
        <v>1635</v>
      </c>
      <c r="S312" s="1" t="s">
        <v>1635</v>
      </c>
      <c r="T312" s="1" t="s">
        <v>38</v>
      </c>
      <c r="U312" s="1" t="s">
        <v>38</v>
      </c>
      <c r="V312" s="1" t="s">
        <v>75</v>
      </c>
      <c r="W312" s="1" t="s">
        <v>69</v>
      </c>
      <c r="X312" s="1" t="s">
        <v>69</v>
      </c>
      <c r="Y312" s="3">
        <v>45712.80138888889</v>
      </c>
      <c r="AA312" s="1">
        <v>1666192.0</v>
      </c>
      <c r="AB312" s="1" t="s">
        <v>55</v>
      </c>
      <c r="AC312" s="1" t="s">
        <v>55</v>
      </c>
      <c r="AD312" s="1" t="s">
        <v>1636</v>
      </c>
      <c r="AE312" s="1" t="s">
        <v>55</v>
      </c>
    </row>
    <row r="313" ht="56.25" customHeight="1">
      <c r="A313" s="1">
        <v>3.60038007532E11</v>
      </c>
      <c r="B313" s="2" t="s">
        <v>1637</v>
      </c>
      <c r="C313" s="2" t="s">
        <v>1638</v>
      </c>
      <c r="D313" s="1">
        <v>2.6343329307E10</v>
      </c>
      <c r="E313" s="1" t="s">
        <v>1327</v>
      </c>
      <c r="F313" s="1" t="b">
        <v>0</v>
      </c>
      <c r="G313" s="1" t="s">
        <v>34</v>
      </c>
      <c r="H313" s="1" t="b">
        <v>0</v>
      </c>
      <c r="I313" s="1">
        <v>0.0</v>
      </c>
      <c r="J313" s="1">
        <v>1.0</v>
      </c>
      <c r="K313" s="1">
        <v>1.0</v>
      </c>
      <c r="L313" s="1">
        <v>3.60007284792E11</v>
      </c>
      <c r="M313" s="1" t="s">
        <v>956</v>
      </c>
      <c r="N313" s="1" t="str">
        <f t="array" ref="N313">XLOOKUP(A:A,'CategoriasSeções'!A:A,'CategoriasSeções'!B:B)</f>
        <v>EXPORTAÇÃO - CABOTAGEM</v>
      </c>
      <c r="O313" s="1" t="s">
        <v>1062</v>
      </c>
      <c r="P313" s="12">
        <v>43829.85138888889</v>
      </c>
      <c r="Q313" s="3">
        <v>45526.51875</v>
      </c>
      <c r="R313" s="1" t="s">
        <v>1639</v>
      </c>
      <c r="S313" s="1" t="s">
        <v>1639</v>
      </c>
      <c r="T313" s="1" t="s">
        <v>38</v>
      </c>
      <c r="U313" s="1" t="s">
        <v>38</v>
      </c>
      <c r="V313" s="1" t="s">
        <v>75</v>
      </c>
      <c r="W313" s="1" t="s">
        <v>69</v>
      </c>
      <c r="X313" s="1" t="s">
        <v>69</v>
      </c>
      <c r="Y313" s="3">
        <v>44277.80625</v>
      </c>
      <c r="AA313" s="1">
        <v>1666192.0</v>
      </c>
      <c r="AB313" s="1" t="s">
        <v>55</v>
      </c>
      <c r="AC313" s="1" t="s">
        <v>1640</v>
      </c>
      <c r="AD313" s="1" t="s">
        <v>1641</v>
      </c>
      <c r="AE313" s="1" t="s">
        <v>55</v>
      </c>
    </row>
    <row r="314" ht="56.25" customHeight="1">
      <c r="A314" s="1">
        <v>3.60038007032E11</v>
      </c>
      <c r="B314" s="2" t="s">
        <v>1642</v>
      </c>
      <c r="C314" s="2" t="s">
        <v>1643</v>
      </c>
      <c r="D314" s="1">
        <v>2.6343329307E10</v>
      </c>
      <c r="E314" s="1" t="s">
        <v>1327</v>
      </c>
      <c r="F314" s="1" t="b">
        <v>0</v>
      </c>
      <c r="G314" s="1" t="s">
        <v>34</v>
      </c>
      <c r="H314" s="1" t="b">
        <v>0</v>
      </c>
      <c r="I314" s="1">
        <v>0.0</v>
      </c>
      <c r="J314" s="1">
        <v>1.0</v>
      </c>
      <c r="K314" s="1">
        <v>1.0</v>
      </c>
      <c r="L314" s="1">
        <v>3.60007284792E11</v>
      </c>
      <c r="M314" s="1" t="s">
        <v>956</v>
      </c>
      <c r="N314" s="1" t="str">
        <f t="array" ref="N314">XLOOKUP(A:A,'CategoriasSeções'!A:A,'CategoriasSeções'!B:B)</f>
        <v>EXPORTAÇÃO - CABOTAGEM</v>
      </c>
      <c r="O314" s="1" t="s">
        <v>1062</v>
      </c>
      <c r="P314" s="12">
        <v>43829.84375</v>
      </c>
      <c r="Q314" s="3">
        <v>45526.455555555556</v>
      </c>
      <c r="R314" s="1" t="s">
        <v>1644</v>
      </c>
      <c r="S314" s="1" t="s">
        <v>1644</v>
      </c>
      <c r="T314" s="1" t="s">
        <v>38</v>
      </c>
      <c r="U314" s="1" t="s">
        <v>38</v>
      </c>
      <c r="V314" s="1" t="s">
        <v>75</v>
      </c>
      <c r="W314" s="1" t="s">
        <v>69</v>
      </c>
      <c r="X314" s="1" t="s">
        <v>69</v>
      </c>
      <c r="Y314" s="3">
        <v>44281.70972222222</v>
      </c>
      <c r="AA314" s="1">
        <v>1666192.0</v>
      </c>
      <c r="AB314" s="1" t="s">
        <v>55</v>
      </c>
      <c r="AC314" s="1" t="s">
        <v>1645</v>
      </c>
      <c r="AD314" s="1" t="s">
        <v>1646</v>
      </c>
      <c r="AE314" s="1" t="s">
        <v>55</v>
      </c>
    </row>
    <row r="315" ht="56.25" customHeight="1">
      <c r="A315" s="1">
        <v>3.60038374511E11</v>
      </c>
      <c r="B315" s="2" t="s">
        <v>1647</v>
      </c>
      <c r="C315" s="2" t="s">
        <v>1648</v>
      </c>
      <c r="D315" s="1">
        <v>2.6343329307E10</v>
      </c>
      <c r="E315" s="1" t="s">
        <v>1327</v>
      </c>
      <c r="F315" s="1" t="b">
        <v>0</v>
      </c>
      <c r="G315" s="1" t="s">
        <v>34</v>
      </c>
      <c r="H315" s="1" t="b">
        <v>0</v>
      </c>
      <c r="I315" s="1">
        <v>0.0</v>
      </c>
      <c r="J315" s="1">
        <v>1.0</v>
      </c>
      <c r="K315" s="1">
        <v>1.0</v>
      </c>
      <c r="L315" s="1">
        <v>3.60007950691E11</v>
      </c>
      <c r="M315" s="1" t="s">
        <v>956</v>
      </c>
      <c r="N315" s="1" t="str">
        <f t="array" ref="N315">XLOOKUP(A:A,'CategoriasSeções'!A:A,'CategoriasSeções'!B:B)</f>
        <v>Agendamentos</v>
      </c>
      <c r="O315" s="1" t="s">
        <v>85</v>
      </c>
      <c r="P315" s="12">
        <v>43829.82916666667</v>
      </c>
      <c r="Q315" s="3">
        <v>45526.51388888889</v>
      </c>
      <c r="R315" s="1" t="s">
        <v>1649</v>
      </c>
      <c r="S315" s="1" t="s">
        <v>1649</v>
      </c>
      <c r="T315" s="1" t="s">
        <v>38</v>
      </c>
      <c r="U315" s="1" t="s">
        <v>38</v>
      </c>
      <c r="V315" s="1" t="s">
        <v>75</v>
      </c>
      <c r="W315" s="1" t="s">
        <v>69</v>
      </c>
      <c r="X315" s="1" t="s">
        <v>69</v>
      </c>
      <c r="Y315" s="3">
        <v>44476.864583333336</v>
      </c>
      <c r="AA315" s="1">
        <v>1666192.0</v>
      </c>
      <c r="AB315" s="1" t="s">
        <v>55</v>
      </c>
      <c r="AC315" s="1" t="s">
        <v>1650</v>
      </c>
      <c r="AD315" s="1" t="s">
        <v>1651</v>
      </c>
      <c r="AE315" s="1" t="s">
        <v>55</v>
      </c>
    </row>
    <row r="316" ht="56.25" customHeight="1">
      <c r="A316" s="1">
        <v>3.60038006272E11</v>
      </c>
      <c r="B316" s="2" t="s">
        <v>1652</v>
      </c>
      <c r="C316" s="2" t="s">
        <v>1653</v>
      </c>
      <c r="D316" s="1">
        <v>2.6343329307E10</v>
      </c>
      <c r="E316" s="1" t="s">
        <v>1327</v>
      </c>
      <c r="F316" s="1" t="b">
        <v>0</v>
      </c>
      <c r="G316" s="1" t="s">
        <v>34</v>
      </c>
      <c r="H316" s="1" t="b">
        <v>0</v>
      </c>
      <c r="I316" s="1">
        <v>0.0</v>
      </c>
      <c r="J316" s="1">
        <v>0.0</v>
      </c>
      <c r="K316" s="1">
        <v>0.0</v>
      </c>
      <c r="L316" s="1">
        <v>3.60007950691E11</v>
      </c>
      <c r="M316" s="1" t="s">
        <v>956</v>
      </c>
      <c r="N316" s="1" t="str">
        <f t="array" ref="N316">XLOOKUP(A:A,'CategoriasSeções'!A:A,'CategoriasSeções'!B:B)</f>
        <v>Agendamentos</v>
      </c>
      <c r="O316" s="1" t="s">
        <v>85</v>
      </c>
      <c r="P316" s="12">
        <v>43829.825</v>
      </c>
      <c r="Q316" s="3">
        <v>45526.603472222225</v>
      </c>
      <c r="R316" s="1" t="s">
        <v>1654</v>
      </c>
      <c r="S316" s="1" t="s">
        <v>1654</v>
      </c>
      <c r="T316" s="1" t="s">
        <v>38</v>
      </c>
      <c r="U316" s="1" t="s">
        <v>38</v>
      </c>
      <c r="V316" s="1" t="s">
        <v>75</v>
      </c>
      <c r="W316" s="1" t="s">
        <v>69</v>
      </c>
      <c r="X316" s="1" t="s">
        <v>69</v>
      </c>
      <c r="Y316" s="3">
        <v>43902.85625</v>
      </c>
      <c r="AA316" s="1">
        <v>1666192.0</v>
      </c>
      <c r="AB316" s="1" t="s">
        <v>55</v>
      </c>
      <c r="AC316" s="1" t="s">
        <v>55</v>
      </c>
      <c r="AD316" s="1" t="s">
        <v>1655</v>
      </c>
      <c r="AE316" s="1" t="s">
        <v>55</v>
      </c>
    </row>
    <row r="317" ht="56.25" customHeight="1">
      <c r="A317" s="1">
        <v>3.60038373511E11</v>
      </c>
      <c r="B317" s="2" t="s">
        <v>1656</v>
      </c>
      <c r="C317" s="2" t="s">
        <v>1657</v>
      </c>
      <c r="D317" s="1">
        <v>2.6343329307E10</v>
      </c>
      <c r="E317" s="1" t="s">
        <v>1327</v>
      </c>
      <c r="F317" s="1" t="b">
        <v>0</v>
      </c>
      <c r="G317" s="1" t="s">
        <v>34</v>
      </c>
      <c r="H317" s="1" t="b">
        <v>0</v>
      </c>
      <c r="I317" s="1">
        <v>0.0</v>
      </c>
      <c r="J317" s="1">
        <v>-1.0</v>
      </c>
      <c r="K317" s="1">
        <v>1.0</v>
      </c>
      <c r="L317" s="1">
        <v>3.60007284792E11</v>
      </c>
      <c r="M317" s="1" t="s">
        <v>956</v>
      </c>
      <c r="N317" s="1" t="str">
        <f t="array" ref="N317">XLOOKUP(A:A,'CategoriasSeções'!A:A,'CategoriasSeções'!B:B)</f>
        <v>EXPORTAÇÃO - CABOTAGEM</v>
      </c>
      <c r="O317" s="1" t="s">
        <v>1062</v>
      </c>
      <c r="P317" s="12">
        <v>43829.802083333336</v>
      </c>
      <c r="Q317" s="3">
        <v>45526.53888888889</v>
      </c>
      <c r="R317" s="1" t="s">
        <v>1658</v>
      </c>
      <c r="S317" s="1" t="s">
        <v>1658</v>
      </c>
      <c r="T317" s="1" t="s">
        <v>38</v>
      </c>
      <c r="U317" s="1" t="s">
        <v>38</v>
      </c>
      <c r="V317" s="1" t="s">
        <v>75</v>
      </c>
      <c r="W317" s="1" t="s">
        <v>69</v>
      </c>
      <c r="X317" s="1" t="s">
        <v>69</v>
      </c>
      <c r="Y317" s="3">
        <v>44281.74375</v>
      </c>
      <c r="AA317" s="1">
        <v>1666192.0</v>
      </c>
      <c r="AB317" s="1" t="s">
        <v>55</v>
      </c>
      <c r="AC317" s="1" t="s">
        <v>1659</v>
      </c>
      <c r="AD317" s="1" t="s">
        <v>1660</v>
      </c>
      <c r="AE317" s="1" t="s">
        <v>55</v>
      </c>
    </row>
    <row r="318" ht="56.25" customHeight="1">
      <c r="A318" s="1">
        <v>3.60038372991E11</v>
      </c>
      <c r="B318" s="2" t="s">
        <v>1661</v>
      </c>
      <c r="C318" s="2" t="s">
        <v>1662</v>
      </c>
      <c r="D318" s="1">
        <v>2.6343329307E10</v>
      </c>
      <c r="E318" s="1" t="s">
        <v>1327</v>
      </c>
      <c r="F318" s="1" t="b">
        <v>0</v>
      </c>
      <c r="G318" s="1" t="s">
        <v>34</v>
      </c>
      <c r="H318" s="1" t="b">
        <v>0</v>
      </c>
      <c r="I318" s="1">
        <v>0.0</v>
      </c>
      <c r="J318" s="1">
        <v>5.0</v>
      </c>
      <c r="K318" s="1">
        <v>5.0</v>
      </c>
      <c r="L318" s="1">
        <v>3.60007284792E11</v>
      </c>
      <c r="M318" s="1" t="s">
        <v>956</v>
      </c>
      <c r="N318" s="1" t="str">
        <f t="array" ref="N318">XLOOKUP(A:A,'CategoriasSeções'!A:A,'CategoriasSeções'!B:B)</f>
        <v>EXPORTAÇÃO - CABOTAGEM</v>
      </c>
      <c r="O318" s="1" t="s">
        <v>1062</v>
      </c>
      <c r="P318" s="12">
        <v>43829.78680555556</v>
      </c>
      <c r="Q318" s="3">
        <v>45526.51388888889</v>
      </c>
      <c r="R318" s="1" t="s">
        <v>1663</v>
      </c>
      <c r="S318" s="1" t="s">
        <v>1663</v>
      </c>
      <c r="T318" s="1" t="s">
        <v>38</v>
      </c>
      <c r="U318" s="1" t="s">
        <v>38</v>
      </c>
      <c r="V318" s="1" t="s">
        <v>75</v>
      </c>
      <c r="W318" s="1" t="s">
        <v>69</v>
      </c>
      <c r="X318" s="1" t="s">
        <v>69</v>
      </c>
      <c r="Y318" s="3">
        <v>44281.756944444445</v>
      </c>
      <c r="AA318" s="1">
        <v>1666192.0</v>
      </c>
      <c r="AB318" s="1" t="s">
        <v>55</v>
      </c>
      <c r="AC318" s="1" t="s">
        <v>1664</v>
      </c>
      <c r="AD318" s="1" t="s">
        <v>1665</v>
      </c>
      <c r="AE318" s="1" t="s">
        <v>55</v>
      </c>
    </row>
    <row r="319" ht="56.25" customHeight="1">
      <c r="A319" s="1">
        <v>3.60033823631E11</v>
      </c>
      <c r="B319" s="2" t="s">
        <v>1666</v>
      </c>
      <c r="C319" s="2" t="s">
        <v>1667</v>
      </c>
      <c r="D319" s="1">
        <v>2.6343329307E10</v>
      </c>
      <c r="E319" s="1" t="s">
        <v>1327</v>
      </c>
      <c r="F319" s="1" t="b">
        <v>0</v>
      </c>
      <c r="G319" s="1" t="s">
        <v>34</v>
      </c>
      <c r="H319" s="1" t="b">
        <v>0</v>
      </c>
      <c r="I319" s="1">
        <v>0.0</v>
      </c>
      <c r="J319" s="1">
        <v>0.0</v>
      </c>
      <c r="K319" s="1">
        <v>0.0</v>
      </c>
      <c r="L319" s="1">
        <v>3.60007970611E11</v>
      </c>
      <c r="M319" s="1" t="s">
        <v>956</v>
      </c>
      <c r="N319" s="1" t="str">
        <f t="array" ref="N319">XLOOKUP(A:A,'CategoriasSeções'!A:A,'CategoriasSeções'!B:B)</f>
        <v>BETA</v>
      </c>
      <c r="O319" s="1" t="s">
        <v>1501</v>
      </c>
      <c r="P319" s="3">
        <v>43725.729166666664</v>
      </c>
      <c r="Q319" s="3">
        <v>45526.42152777778</v>
      </c>
      <c r="R319" s="1" t="s">
        <v>1668</v>
      </c>
      <c r="S319" s="1" t="s">
        <v>1668</v>
      </c>
      <c r="T319" s="1" t="s">
        <v>38</v>
      </c>
      <c r="U319" s="1" t="s">
        <v>38</v>
      </c>
      <c r="V319" s="1" t="s">
        <v>39</v>
      </c>
      <c r="W319" s="1" t="s">
        <v>39</v>
      </c>
      <c r="X319" s="1" t="s">
        <v>39</v>
      </c>
      <c r="Y319" s="3">
        <v>43725.72986111111</v>
      </c>
      <c r="Z319" s="1" t="s">
        <v>40</v>
      </c>
      <c r="AA319" s="1">
        <v>1666212.0</v>
      </c>
      <c r="AB319" s="1" t="s">
        <v>55</v>
      </c>
      <c r="AC319" s="1" t="s">
        <v>55</v>
      </c>
      <c r="AD319" s="1" t="s">
        <v>1669</v>
      </c>
      <c r="AE319" s="1" t="s">
        <v>44</v>
      </c>
    </row>
    <row r="320" ht="56.25" customHeight="1">
      <c r="A320" s="1">
        <v>3.60033453872E11</v>
      </c>
      <c r="B320" s="2" t="s">
        <v>1670</v>
      </c>
      <c r="C320" s="2" t="s">
        <v>1671</v>
      </c>
      <c r="D320" s="1">
        <v>2.6343329307E10</v>
      </c>
      <c r="E320" s="1" t="s">
        <v>1327</v>
      </c>
      <c r="F320" s="1" t="b">
        <v>0</v>
      </c>
      <c r="G320" s="1" t="s">
        <v>34</v>
      </c>
      <c r="H320" s="1" t="b">
        <v>0</v>
      </c>
      <c r="I320" s="1">
        <v>0.0</v>
      </c>
      <c r="J320" s="1">
        <v>0.0</v>
      </c>
      <c r="K320" s="1">
        <v>0.0</v>
      </c>
      <c r="L320" s="1">
        <v>3.60007970611E11</v>
      </c>
      <c r="M320" s="1" t="s">
        <v>956</v>
      </c>
      <c r="N320" s="1" t="str">
        <f t="array" ref="N320">XLOOKUP(A:A,'CategoriasSeções'!A:A,'CategoriasSeções'!B:B)</f>
        <v>BETA</v>
      </c>
      <c r="O320" s="1" t="s">
        <v>1501</v>
      </c>
      <c r="P320" s="3">
        <v>43725.56597222222</v>
      </c>
      <c r="Q320" s="3">
        <v>45231.56527777778</v>
      </c>
      <c r="R320" s="1" t="s">
        <v>1672</v>
      </c>
      <c r="S320" s="1" t="s">
        <v>1672</v>
      </c>
      <c r="T320" s="1" t="s">
        <v>38</v>
      </c>
      <c r="U320" s="1" t="s">
        <v>38</v>
      </c>
      <c r="V320" s="1" t="s">
        <v>39</v>
      </c>
      <c r="W320" s="1" t="s">
        <v>39</v>
      </c>
      <c r="X320" s="1" t="s">
        <v>39</v>
      </c>
      <c r="Y320" s="3">
        <v>43725.56597222222</v>
      </c>
      <c r="Z320" s="1" t="s">
        <v>40</v>
      </c>
      <c r="AA320" s="1">
        <v>1666212.0</v>
      </c>
      <c r="AB320" s="1" t="s">
        <v>55</v>
      </c>
      <c r="AC320" s="1" t="s">
        <v>55</v>
      </c>
      <c r="AD320" s="1" t="s">
        <v>1673</v>
      </c>
      <c r="AE320" s="1" t="s">
        <v>44</v>
      </c>
    </row>
    <row r="321" ht="56.25" customHeight="1">
      <c r="A321" s="1">
        <v>3.60033812011E11</v>
      </c>
      <c r="B321" s="2" t="s">
        <v>1674</v>
      </c>
      <c r="C321" s="2" t="s">
        <v>1675</v>
      </c>
      <c r="D321" s="1">
        <v>2.6343329307E10</v>
      </c>
      <c r="E321" s="1" t="s">
        <v>1327</v>
      </c>
      <c r="F321" s="1" t="b">
        <v>0</v>
      </c>
      <c r="G321" s="1" t="s">
        <v>34</v>
      </c>
      <c r="H321" s="1" t="b">
        <v>0</v>
      </c>
      <c r="I321" s="1">
        <v>0.0</v>
      </c>
      <c r="J321" s="1">
        <v>0.0</v>
      </c>
      <c r="K321" s="1">
        <v>0.0</v>
      </c>
      <c r="L321" s="1">
        <v>3.60007284792E11</v>
      </c>
      <c r="M321" s="1" t="s">
        <v>956</v>
      </c>
      <c r="N321" s="1" t="str">
        <f t="array" ref="N321">XLOOKUP(A:A,'CategoriasSeções'!A:A,'CategoriasSeções'!B:B)</f>
        <v>EXPORTAÇÃO - CABOTAGEM</v>
      </c>
      <c r="O321" s="1" t="s">
        <v>1062</v>
      </c>
      <c r="P321" s="3">
        <v>43725.552083333336</v>
      </c>
      <c r="Q321" s="3">
        <v>45091.580555555556</v>
      </c>
      <c r="R321" s="1" t="s">
        <v>1676</v>
      </c>
      <c r="S321" s="1" t="s">
        <v>1676</v>
      </c>
      <c r="T321" s="1" t="s">
        <v>38</v>
      </c>
      <c r="U321" s="1" t="s">
        <v>38</v>
      </c>
      <c r="V321" s="1" t="s">
        <v>75</v>
      </c>
      <c r="W321" s="1" t="s">
        <v>69</v>
      </c>
      <c r="X321" s="1" t="s">
        <v>69</v>
      </c>
      <c r="Y321" s="3">
        <v>45091.580555555556</v>
      </c>
      <c r="AA321" s="1">
        <v>1666192.0</v>
      </c>
      <c r="AB321" s="1" t="s">
        <v>55</v>
      </c>
      <c r="AC321" s="1" t="s">
        <v>1677</v>
      </c>
      <c r="AD321" s="1" t="s">
        <v>1678</v>
      </c>
      <c r="AE321" s="1" t="s">
        <v>55</v>
      </c>
    </row>
    <row r="322" ht="56.25" customHeight="1">
      <c r="A322" s="1">
        <v>3.60033811191E11</v>
      </c>
      <c r="B322" s="2" t="s">
        <v>1679</v>
      </c>
      <c r="C322" s="2" t="s">
        <v>1680</v>
      </c>
      <c r="D322" s="1">
        <v>2.6343329307E10</v>
      </c>
      <c r="E322" s="1" t="s">
        <v>1327</v>
      </c>
      <c r="F322" s="1" t="b">
        <v>0</v>
      </c>
      <c r="G322" s="1" t="s">
        <v>34</v>
      </c>
      <c r="H322" s="1" t="b">
        <v>0</v>
      </c>
      <c r="I322" s="1">
        <v>0.0</v>
      </c>
      <c r="J322" s="1">
        <v>0.0</v>
      </c>
      <c r="K322" s="1">
        <v>0.0</v>
      </c>
      <c r="L322" s="1">
        <v>3.60007284792E11</v>
      </c>
      <c r="M322" s="1" t="s">
        <v>956</v>
      </c>
      <c r="N322" s="1" t="str">
        <f t="array" ref="N322">XLOOKUP(A:A,'CategoriasSeções'!A:A,'CategoriasSeções'!B:B)</f>
        <v>EXPORTAÇÃO - CABOTAGEM</v>
      </c>
      <c r="O322" s="1" t="s">
        <v>1062</v>
      </c>
      <c r="P322" s="3">
        <v>43725.53472222222</v>
      </c>
      <c r="Q322" s="3">
        <v>45526.611805555556</v>
      </c>
      <c r="R322" s="1" t="s">
        <v>1681</v>
      </c>
      <c r="S322" s="1" t="s">
        <v>1681</v>
      </c>
      <c r="T322" s="1" t="s">
        <v>38</v>
      </c>
      <c r="U322" s="1" t="s">
        <v>38</v>
      </c>
      <c r="V322" s="1" t="s">
        <v>75</v>
      </c>
      <c r="W322" s="1" t="s">
        <v>69</v>
      </c>
      <c r="X322" s="1" t="s">
        <v>69</v>
      </c>
      <c r="Y322" s="3">
        <v>44936.46041666667</v>
      </c>
      <c r="AA322" s="1">
        <v>1666192.0</v>
      </c>
      <c r="AB322" s="1" t="s">
        <v>55</v>
      </c>
      <c r="AC322" s="1" t="s">
        <v>1682</v>
      </c>
      <c r="AD322" s="1" t="s">
        <v>1683</v>
      </c>
      <c r="AE322" s="1" t="s">
        <v>55</v>
      </c>
    </row>
    <row r="323" ht="56.25" customHeight="1">
      <c r="A323" s="1">
        <v>3.60033810571E11</v>
      </c>
      <c r="B323" s="2" t="s">
        <v>1684</v>
      </c>
      <c r="C323" s="2" t="s">
        <v>1685</v>
      </c>
      <c r="D323" s="1">
        <v>2.6343329307E10</v>
      </c>
      <c r="E323" s="1" t="s">
        <v>1327</v>
      </c>
      <c r="F323" s="1" t="b">
        <v>1</v>
      </c>
      <c r="G323" s="1" t="s">
        <v>47</v>
      </c>
      <c r="H323" s="1" t="b">
        <v>0</v>
      </c>
      <c r="I323" s="1">
        <v>0.0</v>
      </c>
      <c r="J323" s="1">
        <v>0.0</v>
      </c>
      <c r="K323" s="1">
        <v>0.0</v>
      </c>
      <c r="L323" s="1">
        <v>3.60007970611E11</v>
      </c>
      <c r="M323" s="1" t="s">
        <v>956</v>
      </c>
      <c r="N323" s="1" t="str">
        <f t="array" ref="N323">XLOOKUP(A:A,'CategoriasSeções'!A:A,'CategoriasSeções'!B:B)</f>
        <v>BETA</v>
      </c>
      <c r="O323" s="1" t="s">
        <v>1501</v>
      </c>
      <c r="P323" s="3">
        <v>43725.524305555555</v>
      </c>
      <c r="Q323" s="3">
        <v>45526.51875</v>
      </c>
      <c r="R323" s="1" t="s">
        <v>1686</v>
      </c>
      <c r="S323" s="1" t="s">
        <v>1686</v>
      </c>
      <c r="T323" s="1" t="s">
        <v>38</v>
      </c>
      <c r="U323" s="1" t="s">
        <v>38</v>
      </c>
      <c r="V323" s="1" t="s">
        <v>39</v>
      </c>
      <c r="W323" s="1" t="s">
        <v>39</v>
      </c>
      <c r="X323" s="1" t="s">
        <v>39</v>
      </c>
      <c r="Y323" s="3">
        <v>44938.751388888886</v>
      </c>
      <c r="Z323" s="1" t="s">
        <v>40</v>
      </c>
      <c r="AA323" s="1">
        <v>1666212.0</v>
      </c>
      <c r="AB323" s="1" t="s">
        <v>55</v>
      </c>
      <c r="AC323" s="1" t="s">
        <v>1687</v>
      </c>
      <c r="AD323" s="1" t="s">
        <v>1688</v>
      </c>
      <c r="AE323" s="1" t="s">
        <v>44</v>
      </c>
    </row>
    <row r="324" ht="56.25" customHeight="1">
      <c r="A324" s="1">
        <v>3.60033450332E11</v>
      </c>
      <c r="B324" s="2" t="s">
        <v>1689</v>
      </c>
      <c r="C324" s="2" t="s">
        <v>1690</v>
      </c>
      <c r="D324" s="1">
        <v>2.6343329307E10</v>
      </c>
      <c r="E324" s="1" t="s">
        <v>1327</v>
      </c>
      <c r="F324" s="1" t="b">
        <v>0</v>
      </c>
      <c r="G324" s="1" t="s">
        <v>34</v>
      </c>
      <c r="H324" s="1" t="b">
        <v>0</v>
      </c>
      <c r="I324" s="1">
        <v>0.0</v>
      </c>
      <c r="J324" s="1">
        <v>0.0</v>
      </c>
      <c r="K324" s="1">
        <v>0.0</v>
      </c>
      <c r="L324" s="1">
        <v>3.60000077792E11</v>
      </c>
      <c r="M324" s="1" t="s">
        <v>956</v>
      </c>
      <c r="N324" s="1" t="str">
        <f t="array" ref="N324">XLOOKUP(A:A,'CategoriasSeções'!A:A,'CategoriasSeções'!B:B)</f>
        <v>Dúvidas Gerais</v>
      </c>
      <c r="O324" s="1" t="s">
        <v>1449</v>
      </c>
      <c r="P324" s="3">
        <v>43725.47986111111</v>
      </c>
      <c r="Q324" s="3">
        <v>45077.720138888886</v>
      </c>
      <c r="R324" s="1" t="s">
        <v>1691</v>
      </c>
      <c r="S324" s="1" t="s">
        <v>1691</v>
      </c>
      <c r="T324" s="1" t="s">
        <v>38</v>
      </c>
      <c r="U324" s="1" t="s">
        <v>38</v>
      </c>
      <c r="V324" s="1" t="s">
        <v>39</v>
      </c>
      <c r="W324" s="1" t="s">
        <v>69</v>
      </c>
      <c r="X324" s="1" t="s">
        <v>69</v>
      </c>
      <c r="Y324" s="3">
        <v>45077.720138888886</v>
      </c>
      <c r="AA324" s="1">
        <v>1666212.0</v>
      </c>
      <c r="AB324" s="1" t="s">
        <v>55</v>
      </c>
      <c r="AC324" s="1" t="s">
        <v>1692</v>
      </c>
      <c r="AD324" s="1" t="s">
        <v>1693</v>
      </c>
      <c r="AE324" s="1" t="s">
        <v>55</v>
      </c>
    </row>
    <row r="325" ht="56.25" customHeight="1">
      <c r="A325" s="1">
        <v>3.60033789491E11</v>
      </c>
      <c r="B325" s="2" t="s">
        <v>1694</v>
      </c>
      <c r="C325" s="2" t="s">
        <v>1695</v>
      </c>
      <c r="D325" s="1">
        <v>2.6343329307E10</v>
      </c>
      <c r="E325" s="1" t="s">
        <v>1327</v>
      </c>
      <c r="F325" s="1" t="b">
        <v>0</v>
      </c>
      <c r="G325" s="1" t="s">
        <v>34</v>
      </c>
      <c r="H325" s="1" t="b">
        <v>0</v>
      </c>
      <c r="I325" s="1">
        <v>0.0</v>
      </c>
      <c r="J325" s="1">
        <v>0.0</v>
      </c>
      <c r="K325" s="1">
        <v>0.0</v>
      </c>
      <c r="L325" s="1">
        <v>3.60007970611E11</v>
      </c>
      <c r="M325" s="1" t="s">
        <v>956</v>
      </c>
      <c r="N325" s="1" t="str">
        <f t="array" ref="N325">XLOOKUP(A:A,'CategoriasSeções'!A:A,'CategoriasSeções'!B:B)</f>
        <v>BETA</v>
      </c>
      <c r="O325" s="1" t="s">
        <v>1501</v>
      </c>
      <c r="P325" s="3">
        <v>43724.86736111111</v>
      </c>
      <c r="Q325" s="3">
        <v>45231.56527777778</v>
      </c>
      <c r="R325" s="1" t="s">
        <v>1696</v>
      </c>
      <c r="S325" s="1" t="s">
        <v>1696</v>
      </c>
      <c r="T325" s="1" t="s">
        <v>38</v>
      </c>
      <c r="U325" s="1" t="s">
        <v>38</v>
      </c>
      <c r="V325" s="1" t="s">
        <v>39</v>
      </c>
      <c r="W325" s="1" t="s">
        <v>39</v>
      </c>
      <c r="X325" s="1" t="s">
        <v>39</v>
      </c>
      <c r="Y325" s="3">
        <v>43724.86736111111</v>
      </c>
      <c r="Z325" s="1" t="s">
        <v>40</v>
      </c>
      <c r="AA325" s="1">
        <v>1666212.0</v>
      </c>
      <c r="AB325" s="1" t="s">
        <v>55</v>
      </c>
      <c r="AC325" s="1" t="s">
        <v>55</v>
      </c>
      <c r="AD325" s="1" t="s">
        <v>1697</v>
      </c>
      <c r="AE325" s="1" t="s">
        <v>44</v>
      </c>
    </row>
    <row r="326" ht="56.25" customHeight="1">
      <c r="A326" s="1">
        <v>3.60033425552E11</v>
      </c>
      <c r="B326" s="2" t="s">
        <v>1698</v>
      </c>
      <c r="C326" s="2" t="s">
        <v>1699</v>
      </c>
      <c r="D326" s="1">
        <v>2.6343329307E10</v>
      </c>
      <c r="E326" s="1" t="s">
        <v>1327</v>
      </c>
      <c r="F326" s="1" t="b">
        <v>0</v>
      </c>
      <c r="G326" s="1" t="s">
        <v>34</v>
      </c>
      <c r="H326" s="1" t="b">
        <v>0</v>
      </c>
      <c r="I326" s="1">
        <v>0.0</v>
      </c>
      <c r="J326" s="1">
        <v>0.0</v>
      </c>
      <c r="K326" s="1">
        <v>0.0</v>
      </c>
      <c r="L326" s="1">
        <v>3.60007089791E11</v>
      </c>
      <c r="M326" s="1" t="s">
        <v>956</v>
      </c>
      <c r="N326" s="1" t="str">
        <f t="array" ref="N326">XLOOKUP(A:A,'CategoriasSeções'!A:A,'CategoriasSeções'!B:B)</f>
        <v>IMPORTAÇÃO</v>
      </c>
      <c r="O326" s="1" t="s">
        <v>129</v>
      </c>
      <c r="P326" s="3">
        <v>43724.819444444445</v>
      </c>
      <c r="Q326" s="3">
        <v>44789.55694444444</v>
      </c>
      <c r="R326" s="1" t="s">
        <v>1700</v>
      </c>
      <c r="S326" s="1" t="s">
        <v>1700</v>
      </c>
      <c r="T326" s="1" t="s">
        <v>38</v>
      </c>
      <c r="U326" s="1" t="s">
        <v>38</v>
      </c>
      <c r="V326" s="1" t="s">
        <v>75</v>
      </c>
      <c r="W326" s="1" t="s">
        <v>69</v>
      </c>
      <c r="X326" s="1" t="s">
        <v>69</v>
      </c>
      <c r="Y326" s="3">
        <v>44789.55694444444</v>
      </c>
      <c r="AA326" s="1">
        <v>1666192.0</v>
      </c>
      <c r="AB326" s="1" t="s">
        <v>55</v>
      </c>
      <c r="AC326" s="1" t="s">
        <v>55</v>
      </c>
      <c r="AD326" s="1" t="s">
        <v>1701</v>
      </c>
      <c r="AE326" s="1" t="s">
        <v>55</v>
      </c>
    </row>
    <row r="327" ht="56.25" customHeight="1">
      <c r="A327" s="1">
        <v>3.60000319152E11</v>
      </c>
      <c r="B327" s="2" t="s">
        <v>1702</v>
      </c>
      <c r="C327" s="2" t="s">
        <v>1703</v>
      </c>
      <c r="D327" s="1">
        <v>2.5342029707E10</v>
      </c>
      <c r="E327" s="1" t="s">
        <v>1545</v>
      </c>
      <c r="F327" s="1" t="b">
        <v>0</v>
      </c>
      <c r="G327" s="1" t="s">
        <v>34</v>
      </c>
      <c r="H327" s="1" t="b">
        <v>0</v>
      </c>
      <c r="I327" s="1">
        <v>0.0</v>
      </c>
      <c r="J327" s="1">
        <v>1.0</v>
      </c>
      <c r="K327" s="1">
        <v>1.0</v>
      </c>
      <c r="L327" s="1">
        <v>3.60007284792E11</v>
      </c>
      <c r="M327" s="1" t="s">
        <v>956</v>
      </c>
      <c r="N327" s="1" t="str">
        <f t="array" ref="N327">XLOOKUP(A:A,'CategoriasSeções'!A:A,'CategoriasSeções'!B:B)</f>
        <v>EXPORTAÇÃO - CABOTAGEM</v>
      </c>
      <c r="O327" s="1" t="s">
        <v>1062</v>
      </c>
      <c r="P327" s="3">
        <v>43126.850694444445</v>
      </c>
      <c r="Q327" s="3">
        <v>44928.839583333334</v>
      </c>
      <c r="R327" s="1" t="s">
        <v>1704</v>
      </c>
      <c r="S327" s="1" t="s">
        <v>1704</v>
      </c>
      <c r="T327" s="1" t="s">
        <v>38</v>
      </c>
      <c r="U327" s="1" t="s">
        <v>38</v>
      </c>
      <c r="V327" s="1" t="s">
        <v>75</v>
      </c>
      <c r="W327" s="1" t="s">
        <v>69</v>
      </c>
      <c r="X327" s="1" t="s">
        <v>69</v>
      </c>
      <c r="Y327" s="3">
        <v>44928.839583333334</v>
      </c>
      <c r="AA327" s="1">
        <v>1666192.0</v>
      </c>
      <c r="AB327" s="1" t="s">
        <v>55</v>
      </c>
      <c r="AC327" s="1" t="s">
        <v>1705</v>
      </c>
      <c r="AD327" s="1" t="s">
        <v>1706</v>
      </c>
      <c r="AE327" s="1" t="s">
        <v>55</v>
      </c>
    </row>
    <row r="328" ht="56.25" customHeight="1">
      <c r="A328" s="1">
        <v>3.60000326551E11</v>
      </c>
      <c r="B328" s="2" t="s">
        <v>1707</v>
      </c>
      <c r="C328" s="2" t="s">
        <v>1708</v>
      </c>
      <c r="D328" s="1">
        <v>2.5342029707E10</v>
      </c>
      <c r="E328" s="1" t="s">
        <v>1545</v>
      </c>
      <c r="F328" s="1" t="b">
        <v>0</v>
      </c>
      <c r="G328" s="1" t="s">
        <v>34</v>
      </c>
      <c r="H328" s="1" t="b">
        <v>0</v>
      </c>
      <c r="I328" s="1">
        <v>0.0</v>
      </c>
      <c r="J328" s="1">
        <v>0.0</v>
      </c>
      <c r="K328" s="1">
        <v>0.0</v>
      </c>
      <c r="L328" s="1">
        <v>3.60000077792E11</v>
      </c>
      <c r="M328" s="1" t="s">
        <v>956</v>
      </c>
      <c r="N328" s="1" t="str">
        <f t="array" ref="N328">XLOOKUP(A:A,'CategoriasSeções'!A:A,'CategoriasSeções'!B:B)</f>
        <v>Dúvidas Gerais</v>
      </c>
      <c r="O328" s="1" t="s">
        <v>1449</v>
      </c>
      <c r="P328" s="3">
        <v>43126.84166666667</v>
      </c>
      <c r="Q328" s="3">
        <v>44866.490277777775</v>
      </c>
      <c r="R328" s="1" t="s">
        <v>1709</v>
      </c>
      <c r="S328" s="1" t="s">
        <v>1709</v>
      </c>
      <c r="T328" s="1" t="s">
        <v>38</v>
      </c>
      <c r="U328" s="1" t="s">
        <v>38</v>
      </c>
      <c r="V328" s="1" t="s">
        <v>75</v>
      </c>
      <c r="W328" s="1" t="s">
        <v>69</v>
      </c>
      <c r="X328" s="1" t="s">
        <v>69</v>
      </c>
      <c r="Y328" s="3">
        <v>44866.490277777775</v>
      </c>
      <c r="AA328" s="1">
        <v>1666192.0</v>
      </c>
      <c r="AB328" s="1" t="s">
        <v>55</v>
      </c>
      <c r="AC328" s="1" t="s">
        <v>55</v>
      </c>
      <c r="AD328" s="1" t="s">
        <v>1710</v>
      </c>
      <c r="AE328" s="1" t="s">
        <v>55</v>
      </c>
    </row>
    <row r="329" ht="56.25" customHeight="1">
      <c r="A329" s="1">
        <v>3.60000323871E11</v>
      </c>
      <c r="B329" s="2" t="s">
        <v>1711</v>
      </c>
      <c r="C329" s="2" t="s">
        <v>1712</v>
      </c>
      <c r="D329" s="1">
        <v>2.5342029707E10</v>
      </c>
      <c r="E329" s="1" t="s">
        <v>1545</v>
      </c>
      <c r="F329" s="1" t="b">
        <v>0</v>
      </c>
      <c r="G329" s="1" t="s">
        <v>34</v>
      </c>
      <c r="H329" s="1" t="b">
        <v>0</v>
      </c>
      <c r="I329" s="1">
        <v>0.0</v>
      </c>
      <c r="J329" s="1">
        <v>2.0</v>
      </c>
      <c r="K329" s="1">
        <v>2.0</v>
      </c>
      <c r="L329" s="1">
        <v>3.60000079051E11</v>
      </c>
      <c r="M329" s="1" t="s">
        <v>956</v>
      </c>
      <c r="N329" s="1" t="str">
        <f t="array" ref="N329">XLOOKUP(A:A,'CategoriasSeções'!A:A,'CategoriasSeções'!B:B)</f>
        <v>Canais de Atendimento ao Cliente</v>
      </c>
      <c r="O329" s="1" t="s">
        <v>1147</v>
      </c>
      <c r="P329" s="3">
        <v>43126.78958333333</v>
      </c>
      <c r="Q329" s="3">
        <v>44789.620833333334</v>
      </c>
      <c r="R329" s="1" t="s">
        <v>1147</v>
      </c>
      <c r="S329" s="1" t="s">
        <v>1147</v>
      </c>
      <c r="T329" s="1" t="s">
        <v>38</v>
      </c>
      <c r="U329" s="1" t="s">
        <v>38</v>
      </c>
      <c r="V329" s="1" t="s">
        <v>75</v>
      </c>
      <c r="W329" s="1" t="s">
        <v>69</v>
      </c>
      <c r="X329" s="1" t="s">
        <v>69</v>
      </c>
      <c r="Y329" s="3">
        <v>44084.739583333336</v>
      </c>
      <c r="AA329" s="1">
        <v>1666192.0</v>
      </c>
      <c r="AB329" s="1" t="s">
        <v>55</v>
      </c>
      <c r="AC329" s="1" t="s">
        <v>1713</v>
      </c>
      <c r="AD329" s="1" t="s">
        <v>1714</v>
      </c>
      <c r="AE329" s="1" t="s">
        <v>55</v>
      </c>
    </row>
    <row r="330" ht="56.25" customHeight="1">
      <c r="A330" s="1">
        <v>1.7287287948685E13</v>
      </c>
      <c r="B330" s="2" t="s">
        <v>1715</v>
      </c>
      <c r="C330" s="2" t="s">
        <v>1716</v>
      </c>
      <c r="D330" s="1">
        <v>2.6605230167E10</v>
      </c>
      <c r="E330" s="1" t="s">
        <v>964</v>
      </c>
      <c r="F330" s="1" t="b">
        <v>0</v>
      </c>
      <c r="G330" s="1" t="s">
        <v>34</v>
      </c>
      <c r="H330" s="1" t="b">
        <v>0</v>
      </c>
      <c r="I330" s="1">
        <v>1.0</v>
      </c>
      <c r="J330" s="1">
        <v>0.0</v>
      </c>
      <c r="K330" s="1">
        <v>0.0</v>
      </c>
      <c r="L330" s="1">
        <v>3.60010221392E11</v>
      </c>
      <c r="M330" s="1" t="s">
        <v>956</v>
      </c>
      <c r="N330" s="1" t="str">
        <f t="array" ref="N330">XLOOKUP(A:A,'CategoriasSeções'!A:A,'CategoriasSeções'!B:B)</f>
        <v>Comunicados</v>
      </c>
      <c r="O330" s="1" t="s">
        <v>957</v>
      </c>
      <c r="P330" s="3">
        <v>45110.73055555556</v>
      </c>
      <c r="Q330" s="3">
        <v>45140.75208333333</v>
      </c>
      <c r="R330" s="1" t="s">
        <v>1717</v>
      </c>
      <c r="S330" s="1" t="s">
        <v>1717</v>
      </c>
      <c r="T330" s="1" t="s">
        <v>38</v>
      </c>
      <c r="U330" s="1" t="s">
        <v>38</v>
      </c>
      <c r="V330" s="1" t="s">
        <v>75</v>
      </c>
      <c r="W330" s="1" t="s">
        <v>69</v>
      </c>
      <c r="X330" s="1" t="s">
        <v>69</v>
      </c>
      <c r="Y330" s="3">
        <v>45110.73055555556</v>
      </c>
      <c r="AA330" s="1">
        <v>1666192.0</v>
      </c>
      <c r="AB330" s="1" t="s">
        <v>1718</v>
      </c>
      <c r="AC330" s="1" t="s">
        <v>1719</v>
      </c>
      <c r="AD330" s="1" t="s">
        <v>1720</v>
      </c>
      <c r="AE330" s="1" t="s">
        <v>55</v>
      </c>
    </row>
    <row r="331" ht="56.25" customHeight="1">
      <c r="A331" s="1">
        <v>1.0820058261261E13</v>
      </c>
      <c r="B331" s="2" t="s">
        <v>1721</v>
      </c>
      <c r="C331" s="2" t="s">
        <v>1722</v>
      </c>
      <c r="D331" s="1">
        <v>2.6343329307E10</v>
      </c>
      <c r="E331" s="1" t="s">
        <v>1327</v>
      </c>
      <c r="F331" s="1" t="b">
        <v>0</v>
      </c>
      <c r="G331" s="1" t="s">
        <v>34</v>
      </c>
      <c r="H331" s="1" t="b">
        <v>0</v>
      </c>
      <c r="I331" s="1">
        <v>1.0</v>
      </c>
      <c r="J331" s="1">
        <v>0.0</v>
      </c>
      <c r="K331" s="1">
        <v>0.0</v>
      </c>
      <c r="L331" s="1">
        <v>3.60010340731E11</v>
      </c>
      <c r="M331" s="1" t="s">
        <v>956</v>
      </c>
      <c r="N331" s="1" t="str">
        <f t="array" ref="N331">XLOOKUP(A:A,'CategoriasSeções'!A:A,'CategoriasSeções'!B:B)</f>
        <v>Comunicados</v>
      </c>
      <c r="O331" s="1" t="s">
        <v>981</v>
      </c>
      <c r="P331" s="12">
        <v>44887.51736111111</v>
      </c>
      <c r="Q331" s="3">
        <v>45526.455555555556</v>
      </c>
      <c r="R331" s="1" t="s">
        <v>1723</v>
      </c>
      <c r="S331" s="1" t="s">
        <v>1723</v>
      </c>
      <c r="T331" s="1" t="s">
        <v>38</v>
      </c>
      <c r="U331" s="1" t="s">
        <v>38</v>
      </c>
      <c r="V331" s="1" t="s">
        <v>75</v>
      </c>
      <c r="W331" s="1" t="s">
        <v>69</v>
      </c>
      <c r="X331" s="1" t="s">
        <v>69</v>
      </c>
      <c r="Y331" s="12">
        <v>44887.51736111111</v>
      </c>
      <c r="AA331" s="1">
        <v>1666192.0</v>
      </c>
      <c r="AB331" s="1" t="s">
        <v>55</v>
      </c>
      <c r="AC331" s="1" t="s">
        <v>1724</v>
      </c>
      <c r="AD331" s="1" t="s">
        <v>1725</v>
      </c>
      <c r="AE331" s="1" t="s">
        <v>55</v>
      </c>
    </row>
    <row r="332" ht="56.25" customHeight="1">
      <c r="A332" s="1">
        <v>3.60048851792E11</v>
      </c>
      <c r="B332" s="2" t="s">
        <v>1726</v>
      </c>
      <c r="C332" s="2" t="s">
        <v>1727</v>
      </c>
      <c r="D332" s="1">
        <v>2.6343329307E10</v>
      </c>
      <c r="E332" s="1" t="s">
        <v>1327</v>
      </c>
      <c r="F332" s="1" t="b">
        <v>0</v>
      </c>
      <c r="G332" s="1" t="s">
        <v>34</v>
      </c>
      <c r="H332" s="1" t="b">
        <v>0</v>
      </c>
      <c r="I332" s="1">
        <v>1.0</v>
      </c>
      <c r="J332" s="1">
        <v>0.0</v>
      </c>
      <c r="K332" s="1">
        <v>0.0</v>
      </c>
      <c r="L332" s="1">
        <v>3.60000079051E11</v>
      </c>
      <c r="M332" s="1" t="s">
        <v>956</v>
      </c>
      <c r="N332" s="1" t="str">
        <f t="array" ref="N332">XLOOKUP(A:A,'CategoriasSeções'!A:A,'CategoriasSeções'!B:B)</f>
        <v>Canais de Atendimento ao Cliente</v>
      </c>
      <c r="O332" s="1" t="s">
        <v>1147</v>
      </c>
      <c r="P332" s="3">
        <v>44082.88263888889</v>
      </c>
      <c r="Q332" s="3">
        <v>45526.45486111111</v>
      </c>
      <c r="R332" s="1" t="s">
        <v>1728</v>
      </c>
      <c r="S332" s="1" t="s">
        <v>1728</v>
      </c>
      <c r="T332" s="1" t="s">
        <v>38</v>
      </c>
      <c r="U332" s="1" t="s">
        <v>38</v>
      </c>
      <c r="V332" s="1" t="s">
        <v>75</v>
      </c>
      <c r="W332" s="1" t="s">
        <v>69</v>
      </c>
      <c r="X332" s="1" t="s">
        <v>69</v>
      </c>
      <c r="Y332" s="3">
        <v>44084.56180555555</v>
      </c>
      <c r="AA332" s="1">
        <v>1666192.0</v>
      </c>
      <c r="AB332" s="1" t="s">
        <v>55</v>
      </c>
      <c r="AC332" s="1" t="s">
        <v>1729</v>
      </c>
      <c r="AD332" s="1" t="s">
        <v>1730</v>
      </c>
      <c r="AE332" s="1" t="s">
        <v>55</v>
      </c>
    </row>
    <row r="333" ht="56.25" customHeight="1">
      <c r="A333" s="1">
        <v>3.60033450452E11</v>
      </c>
      <c r="B333" s="2" t="s">
        <v>1731</v>
      </c>
      <c r="C333" s="2" t="s">
        <v>1732</v>
      </c>
      <c r="D333" s="1">
        <v>2.6343329307E10</v>
      </c>
      <c r="E333" s="1" t="s">
        <v>1327</v>
      </c>
      <c r="F333" s="1" t="b">
        <v>0</v>
      </c>
      <c r="G333" s="1" t="s">
        <v>34</v>
      </c>
      <c r="H333" s="1" t="b">
        <v>0</v>
      </c>
      <c r="I333" s="1">
        <v>1.0</v>
      </c>
      <c r="J333" s="1">
        <v>0.0</v>
      </c>
      <c r="K333" s="1">
        <v>0.0</v>
      </c>
      <c r="L333" s="1">
        <v>3.60007089791E11</v>
      </c>
      <c r="M333" s="1" t="s">
        <v>956</v>
      </c>
      <c r="N333" s="1" t="str">
        <f t="array" ref="N333">XLOOKUP(A:A,'CategoriasSeções'!A:A,'CategoriasSeções'!B:B)</f>
        <v>IMPORTAÇÃO</v>
      </c>
      <c r="O333" s="1" t="s">
        <v>129</v>
      </c>
      <c r="P333" s="3">
        <v>43725.48541666667</v>
      </c>
      <c r="Q333" s="3">
        <v>45526.603472222225</v>
      </c>
      <c r="R333" s="1" t="s">
        <v>1733</v>
      </c>
      <c r="S333" s="1" t="s">
        <v>1733</v>
      </c>
      <c r="T333" s="1" t="s">
        <v>38</v>
      </c>
      <c r="U333" s="1" t="s">
        <v>38</v>
      </c>
      <c r="V333" s="1" t="s">
        <v>75</v>
      </c>
      <c r="W333" s="1" t="s">
        <v>69</v>
      </c>
      <c r="X333" s="1" t="s">
        <v>69</v>
      </c>
      <c r="Y333" s="3">
        <v>44433.75</v>
      </c>
      <c r="AA333" s="1">
        <v>1666192.0</v>
      </c>
      <c r="AB333" s="1" t="s">
        <v>55</v>
      </c>
      <c r="AC333" s="1" t="s">
        <v>1734</v>
      </c>
      <c r="AD333" s="1" t="s">
        <v>1735</v>
      </c>
      <c r="AE333" s="1" t="s">
        <v>55</v>
      </c>
    </row>
    <row r="334" ht="56.25" customHeight="1">
      <c r="A334" s="1">
        <v>1.6945680967821E13</v>
      </c>
      <c r="B334" s="2" t="s">
        <v>1736</v>
      </c>
      <c r="C334" s="2" t="s">
        <v>1737</v>
      </c>
      <c r="D334" s="1">
        <v>2.6605230167E10</v>
      </c>
      <c r="E334" s="1" t="s">
        <v>964</v>
      </c>
      <c r="F334" s="1" t="b">
        <v>0</v>
      </c>
      <c r="G334" s="1" t="s">
        <v>34</v>
      </c>
      <c r="H334" s="1" t="b">
        <v>0</v>
      </c>
      <c r="I334" s="1">
        <v>2.0</v>
      </c>
      <c r="J334" s="1">
        <v>0.0</v>
      </c>
      <c r="K334" s="1">
        <v>0.0</v>
      </c>
      <c r="L334" s="1">
        <v>3.60010221392E11</v>
      </c>
      <c r="M334" s="1" t="s">
        <v>956</v>
      </c>
      <c r="N334" s="1" t="str">
        <f t="array" ref="N334">XLOOKUP(A:A,'CategoriasSeções'!A:A,'CategoriasSeções'!B:B)</f>
        <v>Comunicados</v>
      </c>
      <c r="O334" s="1" t="s">
        <v>957</v>
      </c>
      <c r="P334" s="3">
        <v>45098.623611111114</v>
      </c>
      <c r="Q334" s="3">
        <v>45140.75208333333</v>
      </c>
      <c r="R334" s="1" t="s">
        <v>1738</v>
      </c>
      <c r="S334" s="1" t="s">
        <v>1738</v>
      </c>
      <c r="T334" s="1" t="s">
        <v>38</v>
      </c>
      <c r="U334" s="1" t="s">
        <v>38</v>
      </c>
      <c r="V334" s="1" t="s">
        <v>75</v>
      </c>
      <c r="W334" s="1" t="s">
        <v>69</v>
      </c>
      <c r="X334" s="1" t="s">
        <v>69</v>
      </c>
      <c r="Y334" s="3">
        <v>45098.623611111114</v>
      </c>
      <c r="AA334" s="1">
        <v>1666192.0</v>
      </c>
      <c r="AB334" s="1" t="s">
        <v>1739</v>
      </c>
      <c r="AC334" s="1" t="s">
        <v>1740</v>
      </c>
      <c r="AD334" s="1" t="s">
        <v>1741</v>
      </c>
      <c r="AE334" s="1" t="s">
        <v>55</v>
      </c>
    </row>
    <row r="335" ht="56.25" customHeight="1">
      <c r="A335" s="1">
        <v>1.0189750495757E13</v>
      </c>
      <c r="B335" s="2" t="s">
        <v>1742</v>
      </c>
      <c r="C335" s="2" t="s">
        <v>1743</v>
      </c>
      <c r="D335" s="1">
        <v>2.6343329307E10</v>
      </c>
      <c r="E335" s="1" t="s">
        <v>1327</v>
      </c>
      <c r="F335" s="1" t="b">
        <v>0</v>
      </c>
      <c r="G335" s="1" t="s">
        <v>34</v>
      </c>
      <c r="H335" s="1" t="b">
        <v>0</v>
      </c>
      <c r="I335" s="1">
        <v>2.0</v>
      </c>
      <c r="J335" s="1">
        <v>0.0</v>
      </c>
      <c r="K335" s="1">
        <v>0.0</v>
      </c>
      <c r="L335" s="1">
        <v>3.60010340731E11</v>
      </c>
      <c r="M335" s="1" t="s">
        <v>956</v>
      </c>
      <c r="N335" s="1" t="str">
        <f t="array" ref="N335">XLOOKUP(A:A,'CategoriasSeções'!A:A,'CategoriasSeções'!B:B)</f>
        <v>Comunicados</v>
      </c>
      <c r="O335" s="1" t="s">
        <v>981</v>
      </c>
      <c r="P335" s="12">
        <v>44861.56319444445</v>
      </c>
      <c r="Q335" s="3">
        <v>45526.45486111111</v>
      </c>
      <c r="R335" s="1" t="s">
        <v>1744</v>
      </c>
      <c r="S335" s="1" t="s">
        <v>1744</v>
      </c>
      <c r="T335" s="1" t="s">
        <v>38</v>
      </c>
      <c r="U335" s="1" t="s">
        <v>38</v>
      </c>
      <c r="V335" s="1" t="s">
        <v>75</v>
      </c>
      <c r="W335" s="1" t="s">
        <v>69</v>
      </c>
      <c r="X335" s="1" t="s">
        <v>69</v>
      </c>
      <c r="Y335" s="12">
        <v>44861.56319444445</v>
      </c>
      <c r="AA335" s="1">
        <v>1666192.0</v>
      </c>
      <c r="AB335" s="1" t="s">
        <v>55</v>
      </c>
      <c r="AC335" s="1" t="s">
        <v>1745</v>
      </c>
      <c r="AD335" s="1" t="s">
        <v>1746</v>
      </c>
      <c r="AE335" s="1" t="s">
        <v>55</v>
      </c>
    </row>
    <row r="336" ht="56.25" customHeight="1">
      <c r="A336" s="1">
        <v>3.60048847852E11</v>
      </c>
      <c r="B336" s="2" t="s">
        <v>1747</v>
      </c>
      <c r="C336" s="2" t="s">
        <v>1748</v>
      </c>
      <c r="D336" s="1">
        <v>2.6343329307E10</v>
      </c>
      <c r="E336" s="1" t="s">
        <v>1327</v>
      </c>
      <c r="F336" s="1" t="b">
        <v>0</v>
      </c>
      <c r="G336" s="1" t="s">
        <v>34</v>
      </c>
      <c r="H336" s="1" t="b">
        <v>0</v>
      </c>
      <c r="I336" s="1">
        <v>2.0</v>
      </c>
      <c r="J336" s="1">
        <v>0.0</v>
      </c>
      <c r="K336" s="1">
        <v>0.0</v>
      </c>
      <c r="L336" s="1">
        <v>3.60000079051E11</v>
      </c>
      <c r="M336" s="1" t="s">
        <v>956</v>
      </c>
      <c r="N336" s="1" t="str">
        <f t="array" ref="N336">XLOOKUP(A:A,'CategoriasSeções'!A:A,'CategoriasSeções'!B:B)</f>
        <v>Canais de Atendimento ao Cliente</v>
      </c>
      <c r="O336" s="1" t="s">
        <v>1147</v>
      </c>
      <c r="P336" s="3">
        <v>44082.853472222225</v>
      </c>
      <c r="Q336" s="3">
        <v>45526.53888888889</v>
      </c>
      <c r="R336" s="1" t="s">
        <v>1749</v>
      </c>
      <c r="S336" s="1" t="s">
        <v>1749</v>
      </c>
      <c r="T336" s="1" t="s">
        <v>38</v>
      </c>
      <c r="U336" s="1" t="s">
        <v>38</v>
      </c>
      <c r="V336" s="1" t="s">
        <v>75</v>
      </c>
      <c r="W336" s="1" t="s">
        <v>69</v>
      </c>
      <c r="X336" s="1" t="s">
        <v>69</v>
      </c>
      <c r="Y336" s="3">
        <v>44082.87569444445</v>
      </c>
      <c r="AA336" s="1">
        <v>1666192.0</v>
      </c>
      <c r="AB336" s="1" t="s">
        <v>55</v>
      </c>
      <c r="AC336" s="1" t="s">
        <v>1750</v>
      </c>
      <c r="AD336" s="1" t="s">
        <v>1751</v>
      </c>
      <c r="AE336" s="1" t="s">
        <v>55</v>
      </c>
    </row>
    <row r="337" ht="56.25" customHeight="1">
      <c r="A337" s="1">
        <v>1.6885100113165E13</v>
      </c>
      <c r="B337" s="2" t="s">
        <v>1752</v>
      </c>
      <c r="C337" s="2" t="s">
        <v>1753</v>
      </c>
      <c r="D337" s="1">
        <v>2.6605230167E10</v>
      </c>
      <c r="E337" s="1" t="s">
        <v>964</v>
      </c>
      <c r="F337" s="1" t="b">
        <v>0</v>
      </c>
      <c r="G337" s="1" t="s">
        <v>34</v>
      </c>
      <c r="H337" s="1" t="b">
        <v>0</v>
      </c>
      <c r="I337" s="1">
        <v>3.0</v>
      </c>
      <c r="J337" s="1">
        <v>0.0</v>
      </c>
      <c r="K337" s="1">
        <v>0.0</v>
      </c>
      <c r="L337" s="1">
        <v>3.60010221392E11</v>
      </c>
      <c r="M337" s="1" t="s">
        <v>956</v>
      </c>
      <c r="N337" s="1" t="str">
        <f t="array" ref="N337">XLOOKUP(A:A,'CategoriasSeções'!A:A,'CategoriasSeções'!B:B)</f>
        <v>Comunicados</v>
      </c>
      <c r="O337" s="1" t="s">
        <v>957</v>
      </c>
      <c r="P337" s="3">
        <v>45096.77013888889</v>
      </c>
      <c r="Q337" s="3">
        <v>45140.75208333333</v>
      </c>
      <c r="R337" s="1" t="s">
        <v>1754</v>
      </c>
      <c r="S337" s="1" t="s">
        <v>1754</v>
      </c>
      <c r="T337" s="1" t="s">
        <v>38</v>
      </c>
      <c r="U337" s="1" t="s">
        <v>38</v>
      </c>
      <c r="V337" s="1" t="s">
        <v>75</v>
      </c>
      <c r="W337" s="1" t="s">
        <v>69</v>
      </c>
      <c r="X337" s="1" t="s">
        <v>69</v>
      </c>
      <c r="Y337" s="3">
        <v>45096.77013888889</v>
      </c>
      <c r="AA337" s="1">
        <v>1666192.0</v>
      </c>
      <c r="AB337" s="1" t="s">
        <v>1755</v>
      </c>
      <c r="AC337" s="1" t="s">
        <v>1756</v>
      </c>
      <c r="AD337" s="1" t="s">
        <v>1757</v>
      </c>
      <c r="AE337" s="1" t="s">
        <v>55</v>
      </c>
    </row>
    <row r="338" ht="56.25" customHeight="1">
      <c r="A338" s="1">
        <v>9.634096872333E12</v>
      </c>
      <c r="B338" s="2" t="s">
        <v>1758</v>
      </c>
      <c r="C338" s="2" t="s">
        <v>1759</v>
      </c>
      <c r="D338" s="1">
        <v>2.6343329307E10</v>
      </c>
      <c r="E338" s="1" t="s">
        <v>1327</v>
      </c>
      <c r="F338" s="1" t="b">
        <v>0</v>
      </c>
      <c r="G338" s="1" t="s">
        <v>34</v>
      </c>
      <c r="H338" s="1" t="b">
        <v>0</v>
      </c>
      <c r="I338" s="1">
        <v>3.0</v>
      </c>
      <c r="J338" s="1">
        <v>0.0</v>
      </c>
      <c r="K338" s="1">
        <v>0.0</v>
      </c>
      <c r="L338" s="1">
        <v>3.60010340731E11</v>
      </c>
      <c r="M338" s="1" t="s">
        <v>956</v>
      </c>
      <c r="N338" s="1" t="str">
        <f t="array" ref="N338">XLOOKUP(A:A,'CategoriasSeções'!A:A,'CategoriasSeções'!B:B)</f>
        <v>Comunicados</v>
      </c>
      <c r="O338" s="1" t="s">
        <v>981</v>
      </c>
      <c r="P338" s="3">
        <v>44838.55902777778</v>
      </c>
      <c r="Q338" s="3">
        <v>45526.603472222225</v>
      </c>
      <c r="R338" s="1" t="s">
        <v>1760</v>
      </c>
      <c r="S338" s="1" t="s">
        <v>1760</v>
      </c>
      <c r="T338" s="1" t="s">
        <v>38</v>
      </c>
      <c r="U338" s="1" t="s">
        <v>38</v>
      </c>
      <c r="V338" s="1" t="s">
        <v>75</v>
      </c>
      <c r="W338" s="1" t="s">
        <v>69</v>
      </c>
      <c r="X338" s="1" t="s">
        <v>69</v>
      </c>
      <c r="Y338" s="3">
        <v>44838.55902777778</v>
      </c>
      <c r="AA338" s="1">
        <v>1666192.0</v>
      </c>
      <c r="AB338" s="1" t="s">
        <v>55</v>
      </c>
      <c r="AC338" s="1" t="s">
        <v>1761</v>
      </c>
      <c r="AD338" s="1" t="s">
        <v>1762</v>
      </c>
      <c r="AE338" s="1" t="s">
        <v>55</v>
      </c>
    </row>
    <row r="339" ht="56.25" customHeight="1">
      <c r="A339" s="1">
        <v>1.6506253580429E13</v>
      </c>
      <c r="B339" s="2" t="s">
        <v>1763</v>
      </c>
      <c r="C339" s="2" t="s">
        <v>1764</v>
      </c>
      <c r="D339" s="1">
        <v>2.6605230167E10</v>
      </c>
      <c r="E339" s="1" t="s">
        <v>964</v>
      </c>
      <c r="F339" s="1" t="b">
        <v>0</v>
      </c>
      <c r="G339" s="1" t="s">
        <v>34</v>
      </c>
      <c r="H339" s="1" t="b">
        <v>0</v>
      </c>
      <c r="I339" s="1">
        <v>4.0</v>
      </c>
      <c r="J339" s="1">
        <v>0.0</v>
      </c>
      <c r="K339" s="1">
        <v>0.0</v>
      </c>
      <c r="L339" s="1">
        <v>3.60010221392E11</v>
      </c>
      <c r="M339" s="1" t="s">
        <v>956</v>
      </c>
      <c r="N339" s="1" t="str">
        <f t="array" ref="N339">XLOOKUP(A:A,'CategoriasSeções'!A:A,'CategoriasSeções'!B:B)</f>
        <v>Comunicados</v>
      </c>
      <c r="O339" s="1" t="s">
        <v>957</v>
      </c>
      <c r="P339" s="3">
        <v>45084.74097222222</v>
      </c>
      <c r="Q339" s="3">
        <v>45140.75208333333</v>
      </c>
      <c r="R339" s="1" t="s">
        <v>1765</v>
      </c>
      <c r="S339" s="1" t="s">
        <v>1765</v>
      </c>
      <c r="T339" s="1" t="s">
        <v>38</v>
      </c>
      <c r="U339" s="1" t="s">
        <v>38</v>
      </c>
      <c r="V339" s="1" t="s">
        <v>39</v>
      </c>
      <c r="W339" s="1" t="s">
        <v>69</v>
      </c>
      <c r="X339" s="1" t="s">
        <v>69</v>
      </c>
      <c r="Y339" s="3">
        <v>45084.74097222222</v>
      </c>
      <c r="AA339" s="1">
        <v>1666212.0</v>
      </c>
      <c r="AB339" s="1" t="s">
        <v>1104</v>
      </c>
      <c r="AC339" s="1" t="s">
        <v>1766</v>
      </c>
      <c r="AD339" s="1" t="s">
        <v>1767</v>
      </c>
      <c r="AE339" s="1" t="s">
        <v>55</v>
      </c>
    </row>
    <row r="340" ht="56.25" customHeight="1">
      <c r="A340" s="1">
        <v>9.158185673869E12</v>
      </c>
      <c r="B340" s="2" t="s">
        <v>1768</v>
      </c>
      <c r="C340" s="2" t="s">
        <v>1769</v>
      </c>
      <c r="D340" s="1">
        <v>2.6343329307E10</v>
      </c>
      <c r="E340" s="1" t="s">
        <v>1327</v>
      </c>
      <c r="F340" s="1" t="b">
        <v>0</v>
      </c>
      <c r="G340" s="1" t="s">
        <v>34</v>
      </c>
      <c r="H340" s="1" t="b">
        <v>0</v>
      </c>
      <c r="I340" s="1">
        <v>4.0</v>
      </c>
      <c r="J340" s="1">
        <v>0.0</v>
      </c>
      <c r="K340" s="1">
        <v>0.0</v>
      </c>
      <c r="L340" s="1">
        <v>3.60010340731E11</v>
      </c>
      <c r="M340" s="1" t="s">
        <v>956</v>
      </c>
      <c r="N340" s="1" t="str">
        <f t="array" ref="N340">XLOOKUP(A:A,'CategoriasSeções'!A:A,'CategoriasSeções'!B:B)</f>
        <v>Comunicados</v>
      </c>
      <c r="O340" s="1" t="s">
        <v>981</v>
      </c>
      <c r="P340" s="3">
        <v>44818.57083333333</v>
      </c>
      <c r="Q340" s="3">
        <v>45526.552777777775</v>
      </c>
      <c r="R340" s="1" t="s">
        <v>1770</v>
      </c>
      <c r="S340" s="1" t="s">
        <v>1770</v>
      </c>
      <c r="T340" s="1" t="s">
        <v>38</v>
      </c>
      <c r="U340" s="1" t="s">
        <v>38</v>
      </c>
      <c r="V340" s="1" t="s">
        <v>75</v>
      </c>
      <c r="W340" s="1" t="s">
        <v>69</v>
      </c>
      <c r="X340" s="1" t="s">
        <v>69</v>
      </c>
      <c r="Y340" s="3">
        <v>44818.57152777778</v>
      </c>
      <c r="AA340" s="1">
        <v>1666192.0</v>
      </c>
      <c r="AB340" s="1" t="s">
        <v>55</v>
      </c>
      <c r="AC340" s="1" t="s">
        <v>1771</v>
      </c>
      <c r="AD340" s="1" t="s">
        <v>1772</v>
      </c>
      <c r="AE340" s="1" t="s">
        <v>55</v>
      </c>
    </row>
    <row r="341" ht="56.25" customHeight="1">
      <c r="A341" s="1">
        <v>3.60000326591E11</v>
      </c>
      <c r="B341" s="2" t="s">
        <v>1773</v>
      </c>
      <c r="C341" s="2" t="s">
        <v>1774</v>
      </c>
      <c r="D341" s="1">
        <v>2.5342029707E10</v>
      </c>
      <c r="E341" s="1" t="s">
        <v>1545</v>
      </c>
      <c r="F341" s="1" t="b">
        <v>0</v>
      </c>
      <c r="G341" s="1" t="s">
        <v>34</v>
      </c>
      <c r="H341" s="1" t="b">
        <v>0</v>
      </c>
      <c r="I341" s="1">
        <v>4.0</v>
      </c>
      <c r="J341" s="1">
        <v>1.0</v>
      </c>
      <c r="K341" s="1">
        <v>1.0</v>
      </c>
      <c r="L341" s="1">
        <v>3.60007089791E11</v>
      </c>
      <c r="M341" s="1" t="s">
        <v>956</v>
      </c>
      <c r="N341" s="1" t="str">
        <f t="array" ref="N341">XLOOKUP(A:A,'CategoriasSeções'!A:A,'CategoriasSeções'!B:B)</f>
        <v>IMPORTAÇÃO</v>
      </c>
      <c r="O341" s="1" t="s">
        <v>129</v>
      </c>
      <c r="P341" s="3">
        <v>43126.845138888886</v>
      </c>
      <c r="Q341" s="3">
        <v>44928.83888888889</v>
      </c>
      <c r="R341" s="1" t="s">
        <v>1775</v>
      </c>
      <c r="S341" s="1" t="s">
        <v>1775</v>
      </c>
      <c r="T341" s="1" t="s">
        <v>38</v>
      </c>
      <c r="U341" s="1" t="s">
        <v>38</v>
      </c>
      <c r="V341" s="1" t="s">
        <v>75</v>
      </c>
      <c r="W341" s="1" t="s">
        <v>69</v>
      </c>
      <c r="X341" s="1" t="s">
        <v>69</v>
      </c>
      <c r="Y341" s="3">
        <v>44928.83888888889</v>
      </c>
      <c r="AA341" s="1">
        <v>1666192.0</v>
      </c>
      <c r="AB341" s="1" t="s">
        <v>55</v>
      </c>
      <c r="AC341" s="1" t="s">
        <v>1776</v>
      </c>
      <c r="AD341" s="1" t="s">
        <v>1777</v>
      </c>
      <c r="AE341" s="1" t="s">
        <v>55</v>
      </c>
    </row>
    <row r="342" ht="56.25" customHeight="1">
      <c r="A342" s="1">
        <v>1.6314615075597E13</v>
      </c>
      <c r="B342" s="2" t="s">
        <v>1778</v>
      </c>
      <c r="C342" s="2" t="s">
        <v>1779</v>
      </c>
      <c r="D342" s="1">
        <v>2.6605230167E10</v>
      </c>
      <c r="E342" s="1" t="s">
        <v>964</v>
      </c>
      <c r="F342" s="1" t="b">
        <v>0</v>
      </c>
      <c r="G342" s="1" t="s">
        <v>34</v>
      </c>
      <c r="H342" s="1" t="b">
        <v>0</v>
      </c>
      <c r="I342" s="1">
        <v>5.0</v>
      </c>
      <c r="J342" s="1">
        <v>0.0</v>
      </c>
      <c r="K342" s="1">
        <v>0.0</v>
      </c>
      <c r="L342" s="1">
        <v>3.60010221392E11</v>
      </c>
      <c r="M342" s="1" t="s">
        <v>956</v>
      </c>
      <c r="N342" s="1" t="str">
        <f t="array" ref="N342">XLOOKUP(A:A,'CategoriasSeções'!A:A,'CategoriasSeções'!B:B)</f>
        <v>Comunicados</v>
      </c>
      <c r="O342" s="1" t="s">
        <v>957</v>
      </c>
      <c r="P342" s="3">
        <v>45078.569444444445</v>
      </c>
      <c r="Q342" s="3">
        <v>45140.75208333333</v>
      </c>
      <c r="R342" s="1" t="s">
        <v>1780</v>
      </c>
      <c r="S342" s="1" t="s">
        <v>1780</v>
      </c>
      <c r="T342" s="1" t="s">
        <v>38</v>
      </c>
      <c r="U342" s="1" t="s">
        <v>38</v>
      </c>
      <c r="V342" s="1" t="s">
        <v>75</v>
      </c>
      <c r="W342" s="1" t="s">
        <v>69</v>
      </c>
      <c r="X342" s="1" t="s">
        <v>69</v>
      </c>
      <c r="Y342" s="3">
        <v>45078.569444444445</v>
      </c>
      <c r="AA342" s="1">
        <v>1666192.0</v>
      </c>
      <c r="AB342" s="1" t="s">
        <v>1781</v>
      </c>
      <c r="AC342" s="1" t="s">
        <v>1782</v>
      </c>
      <c r="AD342" s="1" t="s">
        <v>1783</v>
      </c>
      <c r="AE342" s="1" t="s">
        <v>55</v>
      </c>
    </row>
    <row r="343" ht="56.25" customHeight="1">
      <c r="A343" s="1">
        <v>8.852303339661E12</v>
      </c>
      <c r="B343" s="2" t="s">
        <v>1784</v>
      </c>
      <c r="C343" s="2" t="s">
        <v>1785</v>
      </c>
      <c r="D343" s="1">
        <v>2.6343329307E10</v>
      </c>
      <c r="E343" s="1" t="s">
        <v>1327</v>
      </c>
      <c r="F343" s="1" t="b">
        <v>0</v>
      </c>
      <c r="G343" s="1" t="s">
        <v>34</v>
      </c>
      <c r="H343" s="1" t="b">
        <v>0</v>
      </c>
      <c r="I343" s="1">
        <v>5.0</v>
      </c>
      <c r="J343" s="1">
        <v>0.0</v>
      </c>
      <c r="K343" s="1">
        <v>0.0</v>
      </c>
      <c r="L343" s="1">
        <v>3.60010340731E11</v>
      </c>
      <c r="M343" s="1" t="s">
        <v>956</v>
      </c>
      <c r="N343" s="1" t="str">
        <f t="array" ref="N343">XLOOKUP(A:A,'CategoriasSeções'!A:A,'CategoriasSeções'!B:B)</f>
        <v>Comunicados</v>
      </c>
      <c r="O343" s="1" t="s">
        <v>981</v>
      </c>
      <c r="P343" s="3">
        <v>44805.57152777778</v>
      </c>
      <c r="Q343" s="3">
        <v>45526.46388888889</v>
      </c>
      <c r="R343" s="1" t="s">
        <v>1786</v>
      </c>
      <c r="S343" s="1" t="s">
        <v>1786</v>
      </c>
      <c r="T343" s="1" t="s">
        <v>38</v>
      </c>
      <c r="U343" s="1" t="s">
        <v>38</v>
      </c>
      <c r="V343" s="1" t="s">
        <v>75</v>
      </c>
      <c r="W343" s="1" t="s">
        <v>69</v>
      </c>
      <c r="X343" s="1" t="s">
        <v>69</v>
      </c>
      <c r="Y343" s="3">
        <v>44805.57152777778</v>
      </c>
      <c r="AA343" s="1">
        <v>1666192.0</v>
      </c>
      <c r="AB343" s="1" t="s">
        <v>55</v>
      </c>
      <c r="AC343" s="1" t="s">
        <v>1787</v>
      </c>
      <c r="AD343" s="1" t="s">
        <v>1788</v>
      </c>
      <c r="AE343" s="1" t="s">
        <v>55</v>
      </c>
    </row>
    <row r="344" ht="56.25" customHeight="1">
      <c r="A344" s="1">
        <v>1.6234303919501E13</v>
      </c>
      <c r="B344" s="2" t="s">
        <v>1789</v>
      </c>
      <c r="C344" s="2" t="s">
        <v>1790</v>
      </c>
      <c r="D344" s="1">
        <v>2.6605230167E10</v>
      </c>
      <c r="E344" s="1" t="s">
        <v>964</v>
      </c>
      <c r="F344" s="1" t="b">
        <v>0</v>
      </c>
      <c r="G344" s="1" t="s">
        <v>34</v>
      </c>
      <c r="H344" s="1" t="b">
        <v>0</v>
      </c>
      <c r="I344" s="1">
        <v>6.0</v>
      </c>
      <c r="J344" s="1">
        <v>0.0</v>
      </c>
      <c r="K344" s="1">
        <v>0.0</v>
      </c>
      <c r="L344" s="1">
        <v>3.60010221392E11</v>
      </c>
      <c r="M344" s="1" t="s">
        <v>956</v>
      </c>
      <c r="N344" s="1" t="str">
        <f t="array" ref="N344">XLOOKUP(A:A,'CategoriasSeções'!A:A,'CategoriasSeções'!B:B)</f>
        <v>Comunicados</v>
      </c>
      <c r="O344" s="1" t="s">
        <v>957</v>
      </c>
      <c r="P344" s="3">
        <v>45075.854166666664</v>
      </c>
      <c r="Q344" s="3">
        <v>45231.56527777778</v>
      </c>
      <c r="R344" s="1" t="s">
        <v>1765</v>
      </c>
      <c r="S344" s="1" t="s">
        <v>1765</v>
      </c>
      <c r="T344" s="1" t="s">
        <v>38</v>
      </c>
      <c r="U344" s="1" t="s">
        <v>38</v>
      </c>
      <c r="V344" s="1" t="s">
        <v>75</v>
      </c>
      <c r="W344" s="1" t="s">
        <v>39</v>
      </c>
      <c r="X344" s="1" t="s">
        <v>39</v>
      </c>
      <c r="Y344" s="3">
        <v>45075.854166666664</v>
      </c>
      <c r="Z344" s="1" t="s">
        <v>40</v>
      </c>
      <c r="AA344" s="1">
        <v>1666192.0</v>
      </c>
      <c r="AB344" s="1" t="s">
        <v>1791</v>
      </c>
      <c r="AC344" s="1" t="s">
        <v>1792</v>
      </c>
      <c r="AD344" s="1" t="s">
        <v>1793</v>
      </c>
      <c r="AE344" s="1" t="s">
        <v>44</v>
      </c>
    </row>
    <row r="345" ht="56.25" customHeight="1">
      <c r="A345" s="1">
        <v>7.172806233485E12</v>
      </c>
      <c r="B345" s="2" t="s">
        <v>1794</v>
      </c>
      <c r="C345" s="2" t="s">
        <v>1795</v>
      </c>
      <c r="D345" s="1">
        <v>2.6343329307E10</v>
      </c>
      <c r="E345" s="1" t="s">
        <v>1327</v>
      </c>
      <c r="F345" s="1" t="b">
        <v>0</v>
      </c>
      <c r="G345" s="1" t="s">
        <v>34</v>
      </c>
      <c r="H345" s="1" t="b">
        <v>0</v>
      </c>
      <c r="I345" s="1">
        <v>6.0</v>
      </c>
      <c r="J345" s="1">
        <v>0.0</v>
      </c>
      <c r="K345" s="1">
        <v>0.0</v>
      </c>
      <c r="L345" s="1">
        <v>3.60010340731E11</v>
      </c>
      <c r="M345" s="1" t="s">
        <v>956</v>
      </c>
      <c r="N345" s="1" t="str">
        <f t="array" ref="N345">XLOOKUP(A:A,'CategoriasSeções'!A:A,'CategoriasSeções'!B:B)</f>
        <v>Comunicados</v>
      </c>
      <c r="O345" s="1" t="s">
        <v>981</v>
      </c>
      <c r="P345" s="3">
        <v>44736.558333333334</v>
      </c>
      <c r="Q345" s="3">
        <v>45526.52222222222</v>
      </c>
      <c r="R345" s="1" t="s">
        <v>1796</v>
      </c>
      <c r="S345" s="1" t="s">
        <v>1796</v>
      </c>
      <c r="T345" s="1" t="s">
        <v>38</v>
      </c>
      <c r="U345" s="1" t="s">
        <v>38</v>
      </c>
      <c r="V345" s="1" t="s">
        <v>75</v>
      </c>
      <c r="W345" s="1" t="s">
        <v>69</v>
      </c>
      <c r="X345" s="1" t="s">
        <v>69</v>
      </c>
      <c r="Y345" s="3">
        <v>44736.558333333334</v>
      </c>
      <c r="AA345" s="1">
        <v>1666192.0</v>
      </c>
      <c r="AB345" s="1" t="s">
        <v>55</v>
      </c>
      <c r="AC345" s="1" t="s">
        <v>1797</v>
      </c>
      <c r="AD345" s="1" t="s">
        <v>1798</v>
      </c>
      <c r="AE345" s="1" t="s">
        <v>55</v>
      </c>
    </row>
    <row r="346" ht="56.25" customHeight="1">
      <c r="A346" s="1">
        <v>1.5870500978701E13</v>
      </c>
      <c r="B346" s="2" t="s">
        <v>1799</v>
      </c>
      <c r="C346" s="2" t="s">
        <v>1800</v>
      </c>
      <c r="D346" s="1">
        <v>2.6605230167E10</v>
      </c>
      <c r="E346" s="1" t="s">
        <v>964</v>
      </c>
      <c r="F346" s="1" t="b">
        <v>0</v>
      </c>
      <c r="G346" s="1" t="s">
        <v>34</v>
      </c>
      <c r="H346" s="1" t="b">
        <v>0</v>
      </c>
      <c r="I346" s="1">
        <v>7.0</v>
      </c>
      <c r="J346" s="1">
        <v>0.0</v>
      </c>
      <c r="K346" s="1">
        <v>0.0</v>
      </c>
      <c r="L346" s="1">
        <v>3.60010221392E11</v>
      </c>
      <c r="M346" s="1" t="s">
        <v>956</v>
      </c>
      <c r="N346" s="1" t="str">
        <f t="array" ref="N346">XLOOKUP(A:A,'CategoriasSeções'!A:A,'CategoriasSeções'!B:B)</f>
        <v>Comunicados</v>
      </c>
      <c r="O346" s="1" t="s">
        <v>957</v>
      </c>
      <c r="P346" s="3">
        <v>45063.85555555556</v>
      </c>
      <c r="Q346" s="3">
        <v>45140.75208333333</v>
      </c>
      <c r="R346" s="1" t="s">
        <v>1801</v>
      </c>
      <c r="S346" s="1" t="s">
        <v>1801</v>
      </c>
      <c r="T346" s="1" t="s">
        <v>38</v>
      </c>
      <c r="U346" s="1" t="s">
        <v>38</v>
      </c>
      <c r="V346" s="1" t="s">
        <v>75</v>
      </c>
      <c r="W346" s="1" t="s">
        <v>69</v>
      </c>
      <c r="X346" s="1" t="s">
        <v>69</v>
      </c>
      <c r="Y346" s="3">
        <v>45063.85555555556</v>
      </c>
      <c r="AA346" s="1">
        <v>1666192.0</v>
      </c>
      <c r="AB346" s="1" t="s">
        <v>1802</v>
      </c>
      <c r="AC346" s="1" t="s">
        <v>1803</v>
      </c>
      <c r="AD346" s="1" t="s">
        <v>1804</v>
      </c>
      <c r="AE346" s="1" t="s">
        <v>55</v>
      </c>
    </row>
    <row r="347" ht="56.25" customHeight="1">
      <c r="A347" s="1">
        <v>5.343888822925E12</v>
      </c>
      <c r="B347" s="2" t="s">
        <v>1805</v>
      </c>
      <c r="C347" s="2" t="s">
        <v>1806</v>
      </c>
      <c r="D347" s="1">
        <v>2.6343329307E10</v>
      </c>
      <c r="E347" s="1" t="s">
        <v>1327</v>
      </c>
      <c r="F347" s="1" t="b">
        <v>0</v>
      </c>
      <c r="G347" s="1" t="s">
        <v>34</v>
      </c>
      <c r="H347" s="1" t="b">
        <v>0</v>
      </c>
      <c r="I347" s="1">
        <v>7.0</v>
      </c>
      <c r="J347" s="1">
        <v>0.0</v>
      </c>
      <c r="K347" s="1">
        <v>0.0</v>
      </c>
      <c r="L347" s="1">
        <v>3.60010340731E11</v>
      </c>
      <c r="M347" s="1" t="s">
        <v>956</v>
      </c>
      <c r="N347" s="1" t="str">
        <f t="array" ref="N347">XLOOKUP(A:A,'CategoriasSeções'!A:A,'CategoriasSeções'!B:B)</f>
        <v>Comunicados</v>
      </c>
      <c r="O347" s="1" t="s">
        <v>981</v>
      </c>
      <c r="P347" s="3">
        <v>44657.60902777778</v>
      </c>
      <c r="Q347" s="3">
        <v>45526.45486111111</v>
      </c>
      <c r="R347" s="1" t="s">
        <v>1807</v>
      </c>
      <c r="S347" s="1" t="s">
        <v>1807</v>
      </c>
      <c r="T347" s="1" t="s">
        <v>38</v>
      </c>
      <c r="U347" s="1" t="s">
        <v>38</v>
      </c>
      <c r="V347" s="1" t="s">
        <v>75</v>
      </c>
      <c r="W347" s="1" t="s">
        <v>69</v>
      </c>
      <c r="X347" s="1" t="s">
        <v>69</v>
      </c>
      <c r="Y347" s="3">
        <v>44657.60902777778</v>
      </c>
      <c r="AA347" s="1">
        <v>1666192.0</v>
      </c>
      <c r="AB347" s="1" t="s">
        <v>55</v>
      </c>
      <c r="AC347" s="1" t="s">
        <v>1808</v>
      </c>
      <c r="AD347" s="1" t="s">
        <v>1809</v>
      </c>
      <c r="AE347" s="1" t="s">
        <v>55</v>
      </c>
    </row>
    <row r="348" ht="56.25" customHeight="1">
      <c r="A348" s="1">
        <v>1.4621914526093E13</v>
      </c>
      <c r="B348" s="2" t="s">
        <v>1810</v>
      </c>
      <c r="C348" s="2" t="s">
        <v>1811</v>
      </c>
      <c r="D348" s="1">
        <v>2.6605230167E10</v>
      </c>
      <c r="E348" s="1" t="s">
        <v>964</v>
      </c>
      <c r="F348" s="1" t="b">
        <v>0</v>
      </c>
      <c r="G348" s="1" t="s">
        <v>34</v>
      </c>
      <c r="H348" s="1" t="b">
        <v>0</v>
      </c>
      <c r="I348" s="1">
        <v>8.0</v>
      </c>
      <c r="J348" s="1">
        <v>0.0</v>
      </c>
      <c r="K348" s="1">
        <v>0.0</v>
      </c>
      <c r="L348" s="1">
        <v>3.60010221392E11</v>
      </c>
      <c r="M348" s="1" t="s">
        <v>956</v>
      </c>
      <c r="N348" s="1" t="str">
        <f t="array" ref="N348">XLOOKUP(A:A,'CategoriasSeções'!A:A,'CategoriasSeções'!B:B)</f>
        <v>Comunicados</v>
      </c>
      <c r="O348" s="1" t="s">
        <v>957</v>
      </c>
      <c r="P348" s="3">
        <v>45022.55902777778</v>
      </c>
      <c r="Q348" s="3">
        <v>45140.75208333333</v>
      </c>
      <c r="R348" s="1" t="s">
        <v>1812</v>
      </c>
      <c r="S348" s="1" t="s">
        <v>1812</v>
      </c>
      <c r="T348" s="1" t="s">
        <v>38</v>
      </c>
      <c r="U348" s="1" t="s">
        <v>38</v>
      </c>
      <c r="V348" s="1" t="s">
        <v>75</v>
      </c>
      <c r="W348" s="1" t="s">
        <v>69</v>
      </c>
      <c r="X348" s="1" t="s">
        <v>69</v>
      </c>
      <c r="Y348" s="3">
        <v>45022.55972222222</v>
      </c>
      <c r="AA348" s="1">
        <v>1666192.0</v>
      </c>
      <c r="AB348" s="1" t="s">
        <v>1813</v>
      </c>
      <c r="AC348" s="1" t="s">
        <v>1814</v>
      </c>
      <c r="AD348" s="1" t="s">
        <v>1815</v>
      </c>
      <c r="AE348" s="1" t="s">
        <v>55</v>
      </c>
    </row>
    <row r="349" ht="56.25" customHeight="1">
      <c r="A349" s="1">
        <v>4.463234184333E12</v>
      </c>
      <c r="B349" s="2" t="s">
        <v>1816</v>
      </c>
      <c r="C349" s="2" t="s">
        <v>1817</v>
      </c>
      <c r="D349" s="1">
        <v>2.6343329307E10</v>
      </c>
      <c r="E349" s="1" t="s">
        <v>1327</v>
      </c>
      <c r="F349" s="1" t="b">
        <v>0</v>
      </c>
      <c r="G349" s="1" t="s">
        <v>34</v>
      </c>
      <c r="H349" s="1" t="b">
        <v>0</v>
      </c>
      <c r="I349" s="1">
        <v>8.0</v>
      </c>
      <c r="J349" s="1">
        <v>0.0</v>
      </c>
      <c r="K349" s="1">
        <v>0.0</v>
      </c>
      <c r="L349" s="1">
        <v>3.60010340731E11</v>
      </c>
      <c r="M349" s="1" t="s">
        <v>956</v>
      </c>
      <c r="N349" s="1" t="str">
        <f t="array" ref="N349">XLOOKUP(A:A,'CategoriasSeções'!A:A,'CategoriasSeções'!B:B)</f>
        <v>Comunicados</v>
      </c>
      <c r="O349" s="1" t="s">
        <v>981</v>
      </c>
      <c r="P349" s="3">
        <v>44613.816666666666</v>
      </c>
      <c r="Q349" s="3">
        <v>45526.45486111111</v>
      </c>
      <c r="R349" s="1" t="s">
        <v>1818</v>
      </c>
      <c r="S349" s="1" t="s">
        <v>1818</v>
      </c>
      <c r="T349" s="1" t="s">
        <v>38</v>
      </c>
      <c r="U349" s="1" t="s">
        <v>38</v>
      </c>
      <c r="V349" s="1" t="s">
        <v>75</v>
      </c>
      <c r="W349" s="1" t="s">
        <v>69</v>
      </c>
      <c r="X349" s="1" t="s">
        <v>69</v>
      </c>
      <c r="Y349" s="3">
        <v>44613.816666666666</v>
      </c>
      <c r="AA349" s="1">
        <v>1666192.0</v>
      </c>
      <c r="AB349" s="1" t="s">
        <v>55</v>
      </c>
      <c r="AC349" s="1" t="s">
        <v>1819</v>
      </c>
      <c r="AD349" s="1" t="s">
        <v>1820</v>
      </c>
      <c r="AE349" s="1" t="s">
        <v>55</v>
      </c>
    </row>
    <row r="350" ht="56.25" customHeight="1">
      <c r="A350" s="1">
        <v>1.4178022837773E13</v>
      </c>
      <c r="B350" s="2" t="s">
        <v>1821</v>
      </c>
      <c r="C350" s="2" t="s">
        <v>1822</v>
      </c>
      <c r="D350" s="1">
        <v>2.6343329307E10</v>
      </c>
      <c r="E350" s="1" t="s">
        <v>1327</v>
      </c>
      <c r="F350" s="1" t="b">
        <v>0</v>
      </c>
      <c r="G350" s="1" t="s">
        <v>34</v>
      </c>
      <c r="H350" s="1" t="b">
        <v>0</v>
      </c>
      <c r="I350" s="1">
        <v>9.0</v>
      </c>
      <c r="J350" s="1">
        <v>0.0</v>
      </c>
      <c r="K350" s="1">
        <v>0.0</v>
      </c>
      <c r="L350" s="1">
        <v>3.60010221392E11</v>
      </c>
      <c r="M350" s="1" t="s">
        <v>956</v>
      </c>
      <c r="N350" s="1" t="str">
        <f t="array" ref="N350">XLOOKUP(A:A,'CategoriasSeções'!A:A,'CategoriasSeções'!B:B)</f>
        <v>Comunicados</v>
      </c>
      <c r="O350" s="1" t="s">
        <v>957</v>
      </c>
      <c r="P350" s="3">
        <v>45006.592361111114</v>
      </c>
      <c r="Q350" s="3">
        <v>45526.53888888889</v>
      </c>
      <c r="R350" s="1" t="s">
        <v>1823</v>
      </c>
      <c r="S350" s="1" t="s">
        <v>1823</v>
      </c>
      <c r="T350" s="1" t="s">
        <v>38</v>
      </c>
      <c r="U350" s="1" t="s">
        <v>38</v>
      </c>
      <c r="V350" s="1" t="s">
        <v>75</v>
      </c>
      <c r="W350" s="1" t="s">
        <v>69</v>
      </c>
      <c r="X350" s="1" t="s">
        <v>69</v>
      </c>
      <c r="Y350" s="3">
        <v>45006.592361111114</v>
      </c>
      <c r="AA350" s="1">
        <v>1666192.0</v>
      </c>
      <c r="AB350" s="1" t="s">
        <v>55</v>
      </c>
      <c r="AC350" s="1" t="s">
        <v>1824</v>
      </c>
      <c r="AD350" s="1" t="s">
        <v>1825</v>
      </c>
      <c r="AE350" s="1" t="s">
        <v>55</v>
      </c>
    </row>
    <row r="351" ht="56.25" customHeight="1">
      <c r="A351" s="1">
        <v>4.422723563405E12</v>
      </c>
      <c r="B351" s="2" t="s">
        <v>1826</v>
      </c>
      <c r="C351" s="2" t="s">
        <v>1827</v>
      </c>
      <c r="D351" s="1">
        <v>2.6343329307E10</v>
      </c>
      <c r="E351" s="1" t="s">
        <v>1327</v>
      </c>
      <c r="F351" s="1" t="b">
        <v>0</v>
      </c>
      <c r="G351" s="1" t="s">
        <v>34</v>
      </c>
      <c r="H351" s="1" t="b">
        <v>0</v>
      </c>
      <c r="I351" s="1">
        <v>9.0</v>
      </c>
      <c r="J351" s="1">
        <v>0.0</v>
      </c>
      <c r="K351" s="1">
        <v>0.0</v>
      </c>
      <c r="L351" s="1">
        <v>3.60010340731E11</v>
      </c>
      <c r="M351" s="1" t="s">
        <v>956</v>
      </c>
      <c r="N351" s="1" t="str">
        <f t="array" ref="N351">XLOOKUP(A:A,'CategoriasSeções'!A:A,'CategoriasSeções'!B:B)</f>
        <v>Comunicados</v>
      </c>
      <c r="O351" s="1" t="s">
        <v>981</v>
      </c>
      <c r="P351" s="3">
        <v>44585.52638888889</v>
      </c>
      <c r="Q351" s="3">
        <v>45526.46388888889</v>
      </c>
      <c r="R351" s="1" t="s">
        <v>1828</v>
      </c>
      <c r="S351" s="1" t="s">
        <v>1828</v>
      </c>
      <c r="T351" s="1" t="s">
        <v>38</v>
      </c>
      <c r="U351" s="1" t="s">
        <v>38</v>
      </c>
      <c r="V351" s="1" t="s">
        <v>75</v>
      </c>
      <c r="W351" s="1" t="s">
        <v>69</v>
      </c>
      <c r="X351" s="1" t="s">
        <v>69</v>
      </c>
      <c r="Y351" s="3">
        <v>44585.529861111114</v>
      </c>
      <c r="AA351" s="1">
        <v>1666192.0</v>
      </c>
      <c r="AB351" s="1" t="s">
        <v>55</v>
      </c>
      <c r="AC351" s="1" t="s">
        <v>1829</v>
      </c>
      <c r="AD351" s="1" t="s">
        <v>1830</v>
      </c>
      <c r="AE351" s="1" t="s">
        <v>55</v>
      </c>
    </row>
    <row r="352" ht="56.25" customHeight="1">
      <c r="A352" s="1">
        <v>1.8167986236301E13</v>
      </c>
      <c r="B352" s="2" t="s">
        <v>1831</v>
      </c>
      <c r="C352" s="2" t="s">
        <v>1832</v>
      </c>
      <c r="D352" s="1">
        <v>2.6605230167E10</v>
      </c>
      <c r="E352" s="1" t="s">
        <v>964</v>
      </c>
      <c r="F352" s="1" t="b">
        <v>0</v>
      </c>
      <c r="G352" s="1" t="s">
        <v>34</v>
      </c>
      <c r="H352" s="1" t="b">
        <v>0</v>
      </c>
      <c r="I352" s="1">
        <v>10.0</v>
      </c>
      <c r="J352" s="1">
        <v>0.0</v>
      </c>
      <c r="K352" s="1">
        <v>0.0</v>
      </c>
      <c r="L352" s="1">
        <v>3.60010221392E11</v>
      </c>
      <c r="M352" s="1" t="s">
        <v>956</v>
      </c>
      <c r="N352" s="1" t="str">
        <f t="array" ref="N352">XLOOKUP(A:A,'CategoriasSeções'!A:A,'CategoriasSeções'!B:B)</f>
        <v>Comunicados</v>
      </c>
      <c r="O352" s="1" t="s">
        <v>957</v>
      </c>
      <c r="P352" s="3">
        <v>45140.751388888886</v>
      </c>
      <c r="Q352" s="3">
        <v>45140.75208333333</v>
      </c>
      <c r="R352" s="1" t="s">
        <v>1833</v>
      </c>
      <c r="S352" s="1" t="s">
        <v>1833</v>
      </c>
      <c r="T352" s="1" t="s">
        <v>38</v>
      </c>
      <c r="U352" s="1" t="s">
        <v>38</v>
      </c>
      <c r="V352" s="1" t="s">
        <v>75</v>
      </c>
      <c r="W352" s="1" t="s">
        <v>69</v>
      </c>
      <c r="X352" s="1" t="s">
        <v>69</v>
      </c>
      <c r="Y352" s="3">
        <v>45140.751388888886</v>
      </c>
      <c r="AA352" s="1">
        <v>1666192.0</v>
      </c>
      <c r="AB352" s="1" t="s">
        <v>1834</v>
      </c>
      <c r="AC352" s="1" t="s">
        <v>1835</v>
      </c>
      <c r="AD352" s="1" t="s">
        <v>1836</v>
      </c>
      <c r="AE352" s="1" t="s">
        <v>55</v>
      </c>
    </row>
    <row r="353" ht="56.25" customHeight="1">
      <c r="A353" s="1">
        <v>4.415975176461E12</v>
      </c>
      <c r="B353" s="2" t="s">
        <v>1837</v>
      </c>
      <c r="C353" s="2" t="s">
        <v>1838</v>
      </c>
      <c r="D353" s="1">
        <v>2.6343329307E10</v>
      </c>
      <c r="E353" s="1" t="s">
        <v>1327</v>
      </c>
      <c r="F353" s="1" t="b">
        <v>0</v>
      </c>
      <c r="G353" s="1" t="s">
        <v>34</v>
      </c>
      <c r="H353" s="1" t="b">
        <v>0</v>
      </c>
      <c r="I353" s="1">
        <v>10.0</v>
      </c>
      <c r="J353" s="1">
        <v>0.0</v>
      </c>
      <c r="K353" s="1">
        <v>0.0</v>
      </c>
      <c r="L353" s="1">
        <v>3.60010340731E11</v>
      </c>
      <c r="M353" s="1" t="s">
        <v>956</v>
      </c>
      <c r="N353" s="1" t="str">
        <f t="array" ref="N353">XLOOKUP(A:A,'CategoriasSeções'!A:A,'CategoriasSeções'!B:B)</f>
        <v>Comunicados</v>
      </c>
      <c r="O353" s="1" t="s">
        <v>981</v>
      </c>
      <c r="P353" s="3">
        <v>44538.728472222225</v>
      </c>
      <c r="Q353" s="3">
        <v>45526.57638888889</v>
      </c>
      <c r="R353" s="1" t="s">
        <v>1839</v>
      </c>
      <c r="S353" s="1" t="s">
        <v>1839</v>
      </c>
      <c r="T353" s="1" t="s">
        <v>38</v>
      </c>
      <c r="U353" s="1" t="s">
        <v>38</v>
      </c>
      <c r="V353" s="1" t="s">
        <v>75</v>
      </c>
      <c r="W353" s="1" t="s">
        <v>69</v>
      </c>
      <c r="X353" s="1" t="s">
        <v>69</v>
      </c>
      <c r="Y353" s="3">
        <v>44538.729166666664</v>
      </c>
      <c r="AA353" s="1">
        <v>1666192.0</v>
      </c>
      <c r="AB353" s="1" t="s">
        <v>55</v>
      </c>
      <c r="AC353" s="1" t="s">
        <v>1840</v>
      </c>
      <c r="AD353" s="1" t="s">
        <v>1841</v>
      </c>
      <c r="AE353" s="1" t="s">
        <v>55</v>
      </c>
    </row>
    <row r="354" ht="56.25" customHeight="1">
      <c r="A354" s="1">
        <v>1.2664438646797E13</v>
      </c>
      <c r="B354" s="2" t="s">
        <v>1842</v>
      </c>
      <c r="C354" s="2" t="s">
        <v>1843</v>
      </c>
      <c r="D354" s="1">
        <v>2.6343329307E10</v>
      </c>
      <c r="E354" s="1" t="s">
        <v>1327</v>
      </c>
      <c r="F354" s="1" t="b">
        <v>0</v>
      </c>
      <c r="G354" s="1" t="s">
        <v>34</v>
      </c>
      <c r="H354" s="1" t="b">
        <v>0</v>
      </c>
      <c r="I354" s="1">
        <v>11.0</v>
      </c>
      <c r="J354" s="1">
        <v>0.0</v>
      </c>
      <c r="K354" s="1">
        <v>0.0</v>
      </c>
      <c r="L354" s="1">
        <v>3.60010221392E11</v>
      </c>
      <c r="M354" s="1" t="s">
        <v>956</v>
      </c>
      <c r="N354" s="1" t="str">
        <f t="array" ref="N354">XLOOKUP(A:A,'CategoriasSeções'!A:A,'CategoriasSeções'!B:B)</f>
        <v>Comunicados</v>
      </c>
      <c r="O354" s="1" t="s">
        <v>957</v>
      </c>
      <c r="P354" s="3">
        <v>44956.525</v>
      </c>
      <c r="Q354" s="3">
        <v>45526.42152777778</v>
      </c>
      <c r="R354" s="1" t="s">
        <v>1844</v>
      </c>
      <c r="S354" s="1" t="s">
        <v>1844</v>
      </c>
      <c r="T354" s="1" t="s">
        <v>38</v>
      </c>
      <c r="U354" s="1" t="s">
        <v>38</v>
      </c>
      <c r="V354" s="1" t="s">
        <v>75</v>
      </c>
      <c r="W354" s="1" t="s">
        <v>69</v>
      </c>
      <c r="X354" s="1" t="s">
        <v>69</v>
      </c>
      <c r="Y354" s="3">
        <v>44956.525</v>
      </c>
      <c r="AA354" s="1">
        <v>1666192.0</v>
      </c>
      <c r="AB354" s="1" t="s">
        <v>1845</v>
      </c>
      <c r="AC354" s="1" t="s">
        <v>1846</v>
      </c>
      <c r="AD354" s="1" t="s">
        <v>1847</v>
      </c>
      <c r="AE354" s="1" t="s">
        <v>55</v>
      </c>
    </row>
    <row r="355" ht="56.25" customHeight="1">
      <c r="A355" s="1">
        <v>4.412732747917E12</v>
      </c>
      <c r="B355" s="2" t="s">
        <v>1848</v>
      </c>
      <c r="C355" s="2" t="s">
        <v>1849</v>
      </c>
      <c r="D355" s="1">
        <v>2.6343329307E10</v>
      </c>
      <c r="E355" s="1" t="s">
        <v>1327</v>
      </c>
      <c r="F355" s="1" t="b">
        <v>0</v>
      </c>
      <c r="G355" s="1" t="s">
        <v>34</v>
      </c>
      <c r="H355" s="1" t="b">
        <v>0</v>
      </c>
      <c r="I355" s="1">
        <v>11.0</v>
      </c>
      <c r="J355" s="1">
        <v>0.0</v>
      </c>
      <c r="K355" s="1">
        <v>0.0</v>
      </c>
      <c r="L355" s="1">
        <v>3.60010340731E11</v>
      </c>
      <c r="M355" s="1" t="s">
        <v>956</v>
      </c>
      <c r="N355" s="1" t="str">
        <f t="array" ref="N355">XLOOKUP(A:A,'CategoriasSeções'!A:A,'CategoriasSeções'!B:B)</f>
        <v>Comunicados</v>
      </c>
      <c r="O355" s="1" t="s">
        <v>981</v>
      </c>
      <c r="P355" s="3">
        <v>44504.75625</v>
      </c>
      <c r="Q355" s="3">
        <v>45526.455555555556</v>
      </c>
      <c r="R355" s="1" t="s">
        <v>1850</v>
      </c>
      <c r="S355" s="1" t="s">
        <v>1850</v>
      </c>
      <c r="T355" s="1" t="s">
        <v>38</v>
      </c>
      <c r="U355" s="1" t="s">
        <v>38</v>
      </c>
      <c r="V355" s="1" t="s">
        <v>75</v>
      </c>
      <c r="W355" s="1" t="s">
        <v>69</v>
      </c>
      <c r="X355" s="1" t="s">
        <v>69</v>
      </c>
      <c r="Y355" s="3">
        <v>44504.75625</v>
      </c>
      <c r="AA355" s="1">
        <v>1666192.0</v>
      </c>
      <c r="AB355" s="1" t="s">
        <v>55</v>
      </c>
      <c r="AC355" s="1" t="s">
        <v>1851</v>
      </c>
      <c r="AD355" s="1" t="s">
        <v>1852</v>
      </c>
      <c r="AE355" s="1" t="s">
        <v>55</v>
      </c>
    </row>
    <row r="356" ht="56.25" customHeight="1">
      <c r="A356" s="1">
        <v>1.2296696702221E13</v>
      </c>
      <c r="B356" s="2" t="s">
        <v>1853</v>
      </c>
      <c r="C356" s="2" t="s">
        <v>1854</v>
      </c>
      <c r="D356" s="1">
        <v>2.6343329307E10</v>
      </c>
      <c r="E356" s="1" t="s">
        <v>1327</v>
      </c>
      <c r="F356" s="1" t="b">
        <v>0</v>
      </c>
      <c r="G356" s="1" t="s">
        <v>34</v>
      </c>
      <c r="H356" s="1" t="b">
        <v>0</v>
      </c>
      <c r="I356" s="1">
        <v>12.0</v>
      </c>
      <c r="J356" s="1">
        <v>0.0</v>
      </c>
      <c r="K356" s="1">
        <v>0.0</v>
      </c>
      <c r="L356" s="1">
        <v>3.60010221392E11</v>
      </c>
      <c r="M356" s="1" t="s">
        <v>956</v>
      </c>
      <c r="N356" s="1" t="str">
        <f t="array" ref="N356">XLOOKUP(A:A,'CategoriasSeções'!A:A,'CategoriasSeções'!B:B)</f>
        <v>Comunicados</v>
      </c>
      <c r="O356" s="1" t="s">
        <v>957</v>
      </c>
      <c r="P356" s="3">
        <v>44942.82638888889</v>
      </c>
      <c r="Q356" s="3">
        <v>45526.42152777778</v>
      </c>
      <c r="R356" s="1" t="s">
        <v>1855</v>
      </c>
      <c r="S356" s="1" t="s">
        <v>1855</v>
      </c>
      <c r="T356" s="1" t="s">
        <v>38</v>
      </c>
      <c r="U356" s="1" t="s">
        <v>38</v>
      </c>
      <c r="V356" s="1" t="s">
        <v>75</v>
      </c>
      <c r="W356" s="1" t="s">
        <v>69</v>
      </c>
      <c r="X356" s="1" t="s">
        <v>69</v>
      </c>
      <c r="Y356" s="3">
        <v>44942.82638888889</v>
      </c>
      <c r="AA356" s="1">
        <v>1666192.0</v>
      </c>
      <c r="AB356" s="1" t="s">
        <v>1856</v>
      </c>
      <c r="AC356" s="1" t="s">
        <v>1857</v>
      </c>
      <c r="AD356" s="1" t="s">
        <v>1858</v>
      </c>
      <c r="AE356" s="1" t="s">
        <v>55</v>
      </c>
    </row>
    <row r="357" ht="56.25" customHeight="1">
      <c r="A357" s="1">
        <v>4.411841376909E12</v>
      </c>
      <c r="B357" s="2" t="s">
        <v>1859</v>
      </c>
      <c r="C357" s="2" t="s">
        <v>1860</v>
      </c>
      <c r="D357" s="1">
        <v>2.6343329307E10</v>
      </c>
      <c r="E357" s="1" t="s">
        <v>1327</v>
      </c>
      <c r="F357" s="1" t="b">
        <v>0</v>
      </c>
      <c r="G357" s="1" t="s">
        <v>34</v>
      </c>
      <c r="H357" s="1" t="b">
        <v>0</v>
      </c>
      <c r="I357" s="1">
        <v>12.0</v>
      </c>
      <c r="J357" s="1">
        <v>0.0</v>
      </c>
      <c r="K357" s="1">
        <v>0.0</v>
      </c>
      <c r="L357" s="1">
        <v>3.60010340731E11</v>
      </c>
      <c r="M357" s="1" t="s">
        <v>956</v>
      </c>
      <c r="N357" s="1" t="str">
        <f t="array" ref="N357">XLOOKUP(A:A,'CategoriasSeções'!A:A,'CategoriasSeções'!B:B)</f>
        <v>Comunicados</v>
      </c>
      <c r="O357" s="1" t="s">
        <v>981</v>
      </c>
      <c r="P357" s="12">
        <v>44491.53472222222</v>
      </c>
      <c r="Q357" s="3">
        <v>45526.51388888889</v>
      </c>
      <c r="R357" s="1" t="s">
        <v>1861</v>
      </c>
      <c r="S357" s="1" t="s">
        <v>1861</v>
      </c>
      <c r="T357" s="1" t="s">
        <v>38</v>
      </c>
      <c r="U357" s="1" t="s">
        <v>38</v>
      </c>
      <c r="V357" s="1" t="s">
        <v>75</v>
      </c>
      <c r="W357" s="1" t="s">
        <v>69</v>
      </c>
      <c r="X357" s="1" t="s">
        <v>69</v>
      </c>
      <c r="Y357" s="12">
        <v>44491.53472222222</v>
      </c>
      <c r="AA357" s="1">
        <v>1666192.0</v>
      </c>
      <c r="AB357" s="1" t="s">
        <v>55</v>
      </c>
      <c r="AC357" s="1" t="s">
        <v>1862</v>
      </c>
      <c r="AD357" s="1" t="s">
        <v>1863</v>
      </c>
      <c r="AE357" s="1" t="s">
        <v>55</v>
      </c>
    </row>
    <row r="358" ht="56.25" customHeight="1">
      <c r="A358" s="1">
        <v>1.1817143199245E13</v>
      </c>
      <c r="B358" s="2" t="s">
        <v>1864</v>
      </c>
      <c r="C358" s="2" t="s">
        <v>1865</v>
      </c>
      <c r="D358" s="1">
        <v>2.6343329307E10</v>
      </c>
      <c r="E358" s="1" t="s">
        <v>1327</v>
      </c>
      <c r="F358" s="1" t="b">
        <v>0</v>
      </c>
      <c r="G358" s="1" t="s">
        <v>34</v>
      </c>
      <c r="H358" s="1" t="b">
        <v>0</v>
      </c>
      <c r="I358" s="1">
        <v>13.0</v>
      </c>
      <c r="J358" s="1">
        <v>0.0</v>
      </c>
      <c r="K358" s="1">
        <v>0.0</v>
      </c>
      <c r="L358" s="1">
        <v>3.60010221392E11</v>
      </c>
      <c r="M358" s="1" t="s">
        <v>956</v>
      </c>
      <c r="N358" s="1" t="str">
        <f t="array" ref="N358">XLOOKUP(A:A,'CategoriasSeções'!A:A,'CategoriasSeções'!B:B)</f>
        <v>Comunicados</v>
      </c>
      <c r="O358" s="1" t="s">
        <v>957</v>
      </c>
      <c r="P358" s="12">
        <v>44924.57638888889</v>
      </c>
      <c r="Q358" s="3">
        <v>45526.35555555556</v>
      </c>
      <c r="R358" s="1" t="s">
        <v>1866</v>
      </c>
      <c r="S358" s="1" t="s">
        <v>1866</v>
      </c>
      <c r="T358" s="1" t="s">
        <v>38</v>
      </c>
      <c r="U358" s="1" t="s">
        <v>38</v>
      </c>
      <c r="V358" s="1" t="s">
        <v>75</v>
      </c>
      <c r="W358" s="1" t="s">
        <v>69</v>
      </c>
      <c r="X358" s="1" t="s">
        <v>69</v>
      </c>
      <c r="Y358" s="12">
        <v>44924.57708333333</v>
      </c>
      <c r="AA358" s="1">
        <v>1666192.0</v>
      </c>
      <c r="AB358" s="1" t="s">
        <v>55</v>
      </c>
      <c r="AC358" s="1" t="s">
        <v>1867</v>
      </c>
      <c r="AD358" s="1" t="s">
        <v>1868</v>
      </c>
      <c r="AE358" s="1" t="s">
        <v>55</v>
      </c>
    </row>
    <row r="359" ht="56.25" customHeight="1">
      <c r="A359" s="1">
        <v>4.410747132941E12</v>
      </c>
      <c r="B359" s="2" t="s">
        <v>1869</v>
      </c>
      <c r="C359" s="2" t="s">
        <v>1870</v>
      </c>
      <c r="D359" s="1">
        <v>2.6343329307E10</v>
      </c>
      <c r="E359" s="1" t="s">
        <v>1327</v>
      </c>
      <c r="F359" s="1" t="b">
        <v>0</v>
      </c>
      <c r="G359" s="1" t="s">
        <v>34</v>
      </c>
      <c r="H359" s="1" t="b">
        <v>0</v>
      </c>
      <c r="I359" s="1">
        <v>13.0</v>
      </c>
      <c r="J359" s="1">
        <v>0.0</v>
      </c>
      <c r="K359" s="1">
        <v>0.0</v>
      </c>
      <c r="L359" s="1">
        <v>3.60010340731E11</v>
      </c>
      <c r="M359" s="1" t="s">
        <v>956</v>
      </c>
      <c r="N359" s="1" t="str">
        <f t="array" ref="N359">XLOOKUP(A:A,'CategoriasSeções'!A:A,'CategoriasSeções'!B:B)</f>
        <v>Comunicados</v>
      </c>
      <c r="O359" s="1" t="s">
        <v>981</v>
      </c>
      <c r="P359" s="3">
        <v>44475.470138888886</v>
      </c>
      <c r="Q359" s="3">
        <v>45526.611805555556</v>
      </c>
      <c r="R359" s="1" t="s">
        <v>1871</v>
      </c>
      <c r="S359" s="1" t="s">
        <v>1871</v>
      </c>
      <c r="T359" s="1" t="s">
        <v>38</v>
      </c>
      <c r="U359" s="1" t="s">
        <v>38</v>
      </c>
      <c r="V359" s="1" t="s">
        <v>75</v>
      </c>
      <c r="W359" s="1" t="s">
        <v>69</v>
      </c>
      <c r="X359" s="1" t="s">
        <v>69</v>
      </c>
      <c r="Y359" s="3">
        <v>44475.47083333333</v>
      </c>
      <c r="AA359" s="1">
        <v>1666192.0</v>
      </c>
      <c r="AB359" s="1" t="s">
        <v>55</v>
      </c>
      <c r="AC359" s="1" t="s">
        <v>1872</v>
      </c>
      <c r="AD359" s="1" t="s">
        <v>1873</v>
      </c>
      <c r="AE359" s="1" t="s">
        <v>55</v>
      </c>
    </row>
    <row r="360" ht="56.25" customHeight="1">
      <c r="A360" s="1">
        <v>1.1615891740941E13</v>
      </c>
      <c r="B360" s="2" t="s">
        <v>1874</v>
      </c>
      <c r="C360" s="2" t="s">
        <v>1875</v>
      </c>
      <c r="D360" s="1">
        <v>2.6343329307E10</v>
      </c>
      <c r="E360" s="1" t="s">
        <v>1327</v>
      </c>
      <c r="F360" s="1" t="b">
        <v>0</v>
      </c>
      <c r="G360" s="1" t="s">
        <v>34</v>
      </c>
      <c r="H360" s="1" t="b">
        <v>0</v>
      </c>
      <c r="I360" s="1">
        <v>14.0</v>
      </c>
      <c r="J360" s="1">
        <v>0.0</v>
      </c>
      <c r="K360" s="1">
        <v>0.0</v>
      </c>
      <c r="L360" s="1">
        <v>3.60010221392E11</v>
      </c>
      <c r="M360" s="1" t="s">
        <v>956</v>
      </c>
      <c r="N360" s="1" t="str">
        <f t="array" ref="N360">XLOOKUP(A:A,'CategoriasSeções'!A:A,'CategoriasSeções'!B:B)</f>
        <v>Comunicados</v>
      </c>
      <c r="O360" s="1" t="s">
        <v>957</v>
      </c>
      <c r="P360" s="12">
        <v>44915.78194444445</v>
      </c>
      <c r="Q360" s="3">
        <v>45526.603472222225</v>
      </c>
      <c r="R360" s="1" t="s">
        <v>1876</v>
      </c>
      <c r="S360" s="1" t="s">
        <v>1876</v>
      </c>
      <c r="T360" s="1" t="s">
        <v>38</v>
      </c>
      <c r="U360" s="1" t="s">
        <v>38</v>
      </c>
      <c r="V360" s="1" t="s">
        <v>75</v>
      </c>
      <c r="W360" s="1" t="s">
        <v>69</v>
      </c>
      <c r="X360" s="1" t="s">
        <v>69</v>
      </c>
      <c r="Y360" s="12">
        <v>44915.78194444445</v>
      </c>
      <c r="AA360" s="1">
        <v>1666192.0</v>
      </c>
      <c r="AB360" s="1" t="s">
        <v>55</v>
      </c>
      <c r="AC360" s="1" t="s">
        <v>1877</v>
      </c>
      <c r="AD360" s="1" t="s">
        <v>1878</v>
      </c>
      <c r="AE360" s="1" t="s">
        <v>55</v>
      </c>
    </row>
    <row r="361" ht="56.25" customHeight="1">
      <c r="A361" s="1">
        <v>4.408935937165E12</v>
      </c>
      <c r="B361" s="2" t="s">
        <v>1879</v>
      </c>
      <c r="C361" s="2" t="s">
        <v>1880</v>
      </c>
      <c r="D361" s="1">
        <v>2.6343329307E10</v>
      </c>
      <c r="E361" s="1" t="s">
        <v>1327</v>
      </c>
      <c r="F361" s="1" t="b">
        <v>0</v>
      </c>
      <c r="G361" s="1" t="s">
        <v>34</v>
      </c>
      <c r="H361" s="1" t="b">
        <v>0</v>
      </c>
      <c r="I361" s="1">
        <v>14.0</v>
      </c>
      <c r="J361" s="1">
        <v>0.0</v>
      </c>
      <c r="K361" s="1">
        <v>0.0</v>
      </c>
      <c r="L361" s="1">
        <v>3.60010340731E11</v>
      </c>
      <c r="M361" s="1" t="s">
        <v>956</v>
      </c>
      <c r="N361" s="1" t="str">
        <f t="array" ref="N361">XLOOKUP(A:A,'CategoriasSeções'!A:A,'CategoriasSeções'!B:B)</f>
        <v>Comunicados</v>
      </c>
      <c r="O361" s="1" t="s">
        <v>981</v>
      </c>
      <c r="P361" s="3">
        <v>44449.69652777778</v>
      </c>
      <c r="Q361" s="3">
        <v>45526.57638888889</v>
      </c>
      <c r="R361" s="1" t="s">
        <v>1881</v>
      </c>
      <c r="S361" s="1" t="s">
        <v>1881</v>
      </c>
      <c r="T361" s="1" t="s">
        <v>38</v>
      </c>
      <c r="U361" s="1" t="s">
        <v>38</v>
      </c>
      <c r="V361" s="1" t="s">
        <v>75</v>
      </c>
      <c r="W361" s="1" t="s">
        <v>69</v>
      </c>
      <c r="X361" s="1" t="s">
        <v>69</v>
      </c>
      <c r="Y361" s="3">
        <v>44449.697222222225</v>
      </c>
      <c r="AA361" s="1">
        <v>1666192.0</v>
      </c>
      <c r="AB361" s="1" t="s">
        <v>55</v>
      </c>
      <c r="AC361" s="1" t="s">
        <v>1882</v>
      </c>
      <c r="AD361" s="1" t="s">
        <v>1883</v>
      </c>
      <c r="AE361" s="1" t="s">
        <v>55</v>
      </c>
    </row>
    <row r="362" ht="56.25" customHeight="1">
      <c r="A362" s="1">
        <v>1.1427775089933E13</v>
      </c>
      <c r="B362" s="2" t="s">
        <v>1884</v>
      </c>
      <c r="C362" s="2" t="s">
        <v>1885</v>
      </c>
      <c r="D362" s="1">
        <v>2.6343329307E10</v>
      </c>
      <c r="E362" s="1" t="s">
        <v>1327</v>
      </c>
      <c r="F362" s="1" t="b">
        <v>0</v>
      </c>
      <c r="G362" s="1" t="s">
        <v>34</v>
      </c>
      <c r="H362" s="1" t="b">
        <v>0</v>
      </c>
      <c r="I362" s="1">
        <v>15.0</v>
      </c>
      <c r="J362" s="1">
        <v>0.0</v>
      </c>
      <c r="K362" s="1">
        <v>0.0</v>
      </c>
      <c r="L362" s="1">
        <v>3.60010221392E11</v>
      </c>
      <c r="M362" s="1" t="s">
        <v>956</v>
      </c>
      <c r="N362" s="1" t="str">
        <f t="array" ref="N362">XLOOKUP(A:A,'CategoriasSeções'!A:A,'CategoriasSeções'!B:B)</f>
        <v>Comunicados</v>
      </c>
      <c r="O362" s="1" t="s">
        <v>957</v>
      </c>
      <c r="P362" s="12">
        <v>44908.87569444445</v>
      </c>
      <c r="Q362" s="3">
        <v>45526.620833333334</v>
      </c>
      <c r="R362" s="1" t="s">
        <v>1886</v>
      </c>
      <c r="S362" s="1" t="s">
        <v>1886</v>
      </c>
      <c r="T362" s="1" t="s">
        <v>38</v>
      </c>
      <c r="U362" s="1" t="s">
        <v>38</v>
      </c>
      <c r="V362" s="1" t="s">
        <v>75</v>
      </c>
      <c r="W362" s="1" t="s">
        <v>69</v>
      </c>
      <c r="X362" s="1" t="s">
        <v>69</v>
      </c>
      <c r="Y362" s="12">
        <v>44908.87569444445</v>
      </c>
      <c r="AA362" s="1">
        <v>1666192.0</v>
      </c>
      <c r="AB362" s="1" t="s">
        <v>55</v>
      </c>
      <c r="AC362" s="1" t="s">
        <v>1887</v>
      </c>
      <c r="AD362" s="1" t="s">
        <v>1888</v>
      </c>
      <c r="AE362" s="1" t="s">
        <v>55</v>
      </c>
    </row>
    <row r="363" ht="56.25" customHeight="1">
      <c r="A363" s="1">
        <v>4.408192338701E12</v>
      </c>
      <c r="B363" s="2" t="s">
        <v>1889</v>
      </c>
      <c r="C363" s="2" t="s">
        <v>1890</v>
      </c>
      <c r="D363" s="1">
        <v>2.6343329307E10</v>
      </c>
      <c r="E363" s="1" t="s">
        <v>1327</v>
      </c>
      <c r="F363" s="1" t="b">
        <v>0</v>
      </c>
      <c r="G363" s="1" t="s">
        <v>34</v>
      </c>
      <c r="H363" s="1" t="b">
        <v>0</v>
      </c>
      <c r="I363" s="1">
        <v>15.0</v>
      </c>
      <c r="J363" s="1">
        <v>0.0</v>
      </c>
      <c r="K363" s="1">
        <v>0.0</v>
      </c>
      <c r="L363" s="1">
        <v>3.60010340731E11</v>
      </c>
      <c r="M363" s="1" t="s">
        <v>956</v>
      </c>
      <c r="N363" s="1" t="str">
        <f t="array" ref="N363">XLOOKUP(A:A,'CategoriasSeções'!A:A,'CategoriasSeções'!B:B)</f>
        <v>Comunicados</v>
      </c>
      <c r="O363" s="1" t="s">
        <v>981</v>
      </c>
      <c r="P363" s="3">
        <v>44438.61736111111</v>
      </c>
      <c r="Q363" s="3">
        <v>45526.59027777778</v>
      </c>
      <c r="R363" s="1" t="s">
        <v>1891</v>
      </c>
      <c r="S363" s="1" t="s">
        <v>1891</v>
      </c>
      <c r="T363" s="1" t="s">
        <v>38</v>
      </c>
      <c r="U363" s="1" t="s">
        <v>38</v>
      </c>
      <c r="V363" s="1" t="s">
        <v>75</v>
      </c>
      <c r="W363" s="1" t="s">
        <v>69</v>
      </c>
      <c r="X363" s="1" t="s">
        <v>69</v>
      </c>
      <c r="Y363" s="3">
        <v>44438.61736111111</v>
      </c>
      <c r="AA363" s="1">
        <v>1666192.0</v>
      </c>
      <c r="AB363" s="1" t="s">
        <v>55</v>
      </c>
      <c r="AC363" s="1" t="s">
        <v>1892</v>
      </c>
      <c r="AD363" s="1" t="s">
        <v>1893</v>
      </c>
      <c r="AE363" s="1" t="s">
        <v>55</v>
      </c>
    </row>
    <row r="364" ht="56.25" customHeight="1">
      <c r="A364" s="1">
        <v>1.1184405951885E13</v>
      </c>
      <c r="B364" s="2" t="s">
        <v>1894</v>
      </c>
      <c r="C364" s="2" t="s">
        <v>1895</v>
      </c>
      <c r="D364" s="1">
        <v>2.6343329307E10</v>
      </c>
      <c r="E364" s="1" t="s">
        <v>1327</v>
      </c>
      <c r="F364" s="1" t="b">
        <v>0</v>
      </c>
      <c r="G364" s="1" t="s">
        <v>34</v>
      </c>
      <c r="H364" s="1" t="b">
        <v>0</v>
      </c>
      <c r="I364" s="1">
        <v>16.0</v>
      </c>
      <c r="J364" s="1">
        <v>0.0</v>
      </c>
      <c r="K364" s="1">
        <v>0.0</v>
      </c>
      <c r="L364" s="1">
        <v>3.60010221392E11</v>
      </c>
      <c r="M364" s="1" t="s">
        <v>956</v>
      </c>
      <c r="N364" s="1" t="str">
        <f t="array" ref="N364">XLOOKUP(A:A,'CategoriasSeções'!A:A,'CategoriasSeções'!B:B)</f>
        <v>Comunicados</v>
      </c>
      <c r="O364" s="1" t="s">
        <v>957</v>
      </c>
      <c r="P364" s="3">
        <v>44900.57708333333</v>
      </c>
      <c r="Q364" s="3">
        <v>45526.455555555556</v>
      </c>
      <c r="R364" s="1" t="s">
        <v>1896</v>
      </c>
      <c r="S364" s="1" t="s">
        <v>1896</v>
      </c>
      <c r="T364" s="1" t="s">
        <v>38</v>
      </c>
      <c r="U364" s="1" t="s">
        <v>38</v>
      </c>
      <c r="V364" s="1" t="s">
        <v>75</v>
      </c>
      <c r="W364" s="1" t="s">
        <v>69</v>
      </c>
      <c r="X364" s="1" t="s">
        <v>69</v>
      </c>
      <c r="Y364" s="3">
        <v>44900.57708333333</v>
      </c>
      <c r="AA364" s="1">
        <v>1666192.0</v>
      </c>
      <c r="AB364" s="1" t="s">
        <v>55</v>
      </c>
      <c r="AC364" s="1" t="s">
        <v>1897</v>
      </c>
      <c r="AD364" s="1" t="s">
        <v>1898</v>
      </c>
      <c r="AE364" s="1" t="s">
        <v>55</v>
      </c>
    </row>
    <row r="365" ht="56.25" customHeight="1">
      <c r="A365" s="1">
        <v>4.402788262541E12</v>
      </c>
      <c r="B365" s="2" t="s">
        <v>1899</v>
      </c>
      <c r="C365" s="2" t="s">
        <v>1900</v>
      </c>
      <c r="D365" s="1">
        <v>2.6343329307E10</v>
      </c>
      <c r="E365" s="1" t="s">
        <v>1327</v>
      </c>
      <c r="F365" s="1" t="b">
        <v>0</v>
      </c>
      <c r="G365" s="1" t="s">
        <v>34</v>
      </c>
      <c r="H365" s="1" t="b">
        <v>0</v>
      </c>
      <c r="I365" s="1">
        <v>16.0</v>
      </c>
      <c r="J365" s="1">
        <v>0.0</v>
      </c>
      <c r="K365" s="1">
        <v>0.0</v>
      </c>
      <c r="L365" s="1">
        <v>3.60010340731E11</v>
      </c>
      <c r="M365" s="1" t="s">
        <v>956</v>
      </c>
      <c r="N365" s="1" t="str">
        <f t="array" ref="N365">XLOOKUP(A:A,'CategoriasSeções'!A:A,'CategoriasSeções'!B:B)</f>
        <v>Comunicados</v>
      </c>
      <c r="O365" s="1" t="s">
        <v>981</v>
      </c>
      <c r="P365" s="3">
        <v>44357.629166666666</v>
      </c>
      <c r="Q365" s="3">
        <v>45526.55972222222</v>
      </c>
      <c r="R365" s="1" t="s">
        <v>1901</v>
      </c>
      <c r="S365" s="1" t="s">
        <v>1901</v>
      </c>
      <c r="T365" s="1" t="s">
        <v>38</v>
      </c>
      <c r="U365" s="1" t="s">
        <v>38</v>
      </c>
      <c r="V365" s="1" t="s">
        <v>75</v>
      </c>
      <c r="W365" s="1" t="s">
        <v>69</v>
      </c>
      <c r="X365" s="1" t="s">
        <v>69</v>
      </c>
      <c r="Y365" s="3">
        <v>44369.45972222222</v>
      </c>
      <c r="AA365" s="1">
        <v>1666192.0</v>
      </c>
      <c r="AB365" s="1" t="s">
        <v>55</v>
      </c>
      <c r="AC365" s="1" t="s">
        <v>1902</v>
      </c>
      <c r="AD365" s="1" t="s">
        <v>1903</v>
      </c>
      <c r="AE365" s="1" t="s">
        <v>55</v>
      </c>
    </row>
    <row r="366" ht="56.25" customHeight="1">
      <c r="A366" s="1">
        <v>1.1032670727821E13</v>
      </c>
      <c r="B366" s="2" t="s">
        <v>1904</v>
      </c>
      <c r="C366" s="2" t="s">
        <v>1905</v>
      </c>
      <c r="D366" s="1">
        <v>2.6343329307E10</v>
      </c>
      <c r="E366" s="1" t="s">
        <v>1327</v>
      </c>
      <c r="F366" s="1" t="b">
        <v>0</v>
      </c>
      <c r="G366" s="1" t="s">
        <v>34</v>
      </c>
      <c r="H366" s="1" t="b">
        <v>0</v>
      </c>
      <c r="I366" s="1">
        <v>17.0</v>
      </c>
      <c r="J366" s="1">
        <v>0.0</v>
      </c>
      <c r="K366" s="1">
        <v>0.0</v>
      </c>
      <c r="L366" s="1">
        <v>3.60010221392E11</v>
      </c>
      <c r="M366" s="1" t="s">
        <v>956</v>
      </c>
      <c r="N366" s="1" t="str">
        <f t="array" ref="N366">XLOOKUP(A:A,'CategoriasSeções'!A:A,'CategoriasSeções'!B:B)</f>
        <v>Comunicados</v>
      </c>
      <c r="O366" s="1" t="s">
        <v>957</v>
      </c>
      <c r="P366" s="12">
        <v>44895.71388888889</v>
      </c>
      <c r="Q366" s="3">
        <v>45526.51875</v>
      </c>
      <c r="R366" s="1" t="s">
        <v>1906</v>
      </c>
      <c r="S366" s="1" t="s">
        <v>1906</v>
      </c>
      <c r="T366" s="1" t="s">
        <v>38</v>
      </c>
      <c r="U366" s="1" t="s">
        <v>38</v>
      </c>
      <c r="V366" s="1" t="s">
        <v>75</v>
      </c>
      <c r="W366" s="1" t="s">
        <v>69</v>
      </c>
      <c r="X366" s="1" t="s">
        <v>69</v>
      </c>
      <c r="Y366" s="12">
        <v>44895.71388888889</v>
      </c>
      <c r="AA366" s="1">
        <v>1666192.0</v>
      </c>
      <c r="AB366" s="1" t="s">
        <v>55</v>
      </c>
      <c r="AC366" s="1" t="s">
        <v>1907</v>
      </c>
      <c r="AD366" s="1" t="s">
        <v>1908</v>
      </c>
      <c r="AE366" s="1" t="s">
        <v>55</v>
      </c>
    </row>
    <row r="367" ht="56.25" customHeight="1">
      <c r="A367" s="1">
        <v>3.60061589751E11</v>
      </c>
      <c r="B367" s="2" t="s">
        <v>1909</v>
      </c>
      <c r="C367" s="2" t="s">
        <v>1910</v>
      </c>
      <c r="D367" s="1">
        <v>2.6343329307E10</v>
      </c>
      <c r="E367" s="1" t="s">
        <v>1327</v>
      </c>
      <c r="F367" s="1" t="b">
        <v>0</v>
      </c>
      <c r="G367" s="1" t="s">
        <v>34</v>
      </c>
      <c r="H367" s="1" t="b">
        <v>0</v>
      </c>
      <c r="I367" s="1">
        <v>17.0</v>
      </c>
      <c r="J367" s="1">
        <v>0.0</v>
      </c>
      <c r="K367" s="1">
        <v>0.0</v>
      </c>
      <c r="L367" s="1">
        <v>3.60010340731E11</v>
      </c>
      <c r="M367" s="1" t="s">
        <v>956</v>
      </c>
      <c r="N367" s="1" t="str">
        <f t="array" ref="N367">XLOOKUP(A:A,'CategoriasSeções'!A:A,'CategoriasSeções'!B:B)</f>
        <v>Comunicados</v>
      </c>
      <c r="O367" s="1" t="s">
        <v>981</v>
      </c>
      <c r="P367" s="3">
        <v>44337.57916666667</v>
      </c>
      <c r="Q367" s="3">
        <v>45526.603472222225</v>
      </c>
      <c r="R367" s="1" t="s">
        <v>1911</v>
      </c>
      <c r="S367" s="1" t="s">
        <v>1911</v>
      </c>
      <c r="T367" s="1" t="s">
        <v>38</v>
      </c>
      <c r="U367" s="1" t="s">
        <v>38</v>
      </c>
      <c r="V367" s="1" t="s">
        <v>75</v>
      </c>
      <c r="W367" s="1" t="s">
        <v>69</v>
      </c>
      <c r="X367" s="1" t="s">
        <v>69</v>
      </c>
      <c r="Y367" s="3">
        <v>44340.50347222222</v>
      </c>
      <c r="AA367" s="1">
        <v>1666192.0</v>
      </c>
      <c r="AB367" s="1" t="s">
        <v>55</v>
      </c>
      <c r="AC367" s="1" t="s">
        <v>1912</v>
      </c>
      <c r="AD367" s="1" t="s">
        <v>1913</v>
      </c>
      <c r="AE367" s="1" t="s">
        <v>55</v>
      </c>
    </row>
    <row r="368" ht="56.25" customHeight="1">
      <c r="A368" s="1">
        <v>1.0474798909965E13</v>
      </c>
      <c r="B368" s="2" t="s">
        <v>1914</v>
      </c>
      <c r="C368" s="2" t="s">
        <v>1915</v>
      </c>
      <c r="D368" s="1">
        <v>2.6343329307E10</v>
      </c>
      <c r="E368" s="1" t="s">
        <v>1327</v>
      </c>
      <c r="F368" s="1" t="b">
        <v>0</v>
      </c>
      <c r="G368" s="1" t="s">
        <v>34</v>
      </c>
      <c r="H368" s="1" t="b">
        <v>0</v>
      </c>
      <c r="I368" s="1">
        <v>18.0</v>
      </c>
      <c r="J368" s="1">
        <v>0.0</v>
      </c>
      <c r="K368" s="1">
        <v>0.0</v>
      </c>
      <c r="L368" s="1">
        <v>3.60010221392E11</v>
      </c>
      <c r="M368" s="1" t="s">
        <v>956</v>
      </c>
      <c r="N368" s="1" t="str">
        <f t="array" ref="N368">XLOOKUP(A:A,'CategoriasSeções'!A:A,'CategoriasSeções'!B:B)</f>
        <v>Comunicados</v>
      </c>
      <c r="O368" s="1" t="s">
        <v>957</v>
      </c>
      <c r="P368" s="3">
        <v>44873.6</v>
      </c>
      <c r="Q368" s="3">
        <v>45526.51875</v>
      </c>
      <c r="R368" s="1" t="s">
        <v>1916</v>
      </c>
      <c r="S368" s="1" t="s">
        <v>1916</v>
      </c>
      <c r="T368" s="1" t="s">
        <v>38</v>
      </c>
      <c r="U368" s="1" t="s">
        <v>38</v>
      </c>
      <c r="V368" s="1" t="s">
        <v>75</v>
      </c>
      <c r="W368" s="1" t="s">
        <v>69</v>
      </c>
      <c r="X368" s="1" t="s">
        <v>69</v>
      </c>
      <c r="Y368" s="3">
        <v>44873.60138888889</v>
      </c>
      <c r="AA368" s="1">
        <v>1666192.0</v>
      </c>
      <c r="AB368" s="1" t="s">
        <v>55</v>
      </c>
      <c r="AC368" s="1" t="s">
        <v>1917</v>
      </c>
      <c r="AD368" s="1" t="s">
        <v>1918</v>
      </c>
      <c r="AE368" s="1" t="s">
        <v>55</v>
      </c>
    </row>
    <row r="369" ht="56.25" customHeight="1">
      <c r="A369" s="1">
        <v>3.60060393971E11</v>
      </c>
      <c r="B369" s="2" t="s">
        <v>1919</v>
      </c>
      <c r="C369" s="2" t="s">
        <v>1920</v>
      </c>
      <c r="D369" s="1">
        <v>2.6343329307E10</v>
      </c>
      <c r="E369" s="1" t="s">
        <v>1327</v>
      </c>
      <c r="F369" s="1" t="b">
        <v>0</v>
      </c>
      <c r="G369" s="1" t="s">
        <v>34</v>
      </c>
      <c r="H369" s="1" t="b">
        <v>0</v>
      </c>
      <c r="I369" s="1">
        <v>18.0</v>
      </c>
      <c r="J369" s="1">
        <v>0.0</v>
      </c>
      <c r="K369" s="1">
        <v>0.0</v>
      </c>
      <c r="L369" s="1">
        <v>3.60010340731E11</v>
      </c>
      <c r="M369" s="1" t="s">
        <v>956</v>
      </c>
      <c r="N369" s="1" t="str">
        <f t="array" ref="N369">XLOOKUP(A:A,'CategoriasSeções'!A:A,'CategoriasSeções'!B:B)</f>
        <v>Comunicados</v>
      </c>
      <c r="O369" s="1" t="s">
        <v>981</v>
      </c>
      <c r="P369" s="3">
        <v>44312.57013888889</v>
      </c>
      <c r="Q369" s="3">
        <v>45526.53888888889</v>
      </c>
      <c r="R369" s="1" t="s">
        <v>1921</v>
      </c>
      <c r="S369" s="1" t="s">
        <v>1921</v>
      </c>
      <c r="T369" s="1" t="s">
        <v>38</v>
      </c>
      <c r="U369" s="1" t="s">
        <v>38</v>
      </c>
      <c r="V369" s="1" t="s">
        <v>75</v>
      </c>
      <c r="W369" s="1" t="s">
        <v>69</v>
      </c>
      <c r="X369" s="1" t="s">
        <v>69</v>
      </c>
      <c r="Y369" s="3">
        <v>44312.57013888889</v>
      </c>
      <c r="AA369" s="1">
        <v>1666192.0</v>
      </c>
      <c r="AB369" s="1" t="s">
        <v>55</v>
      </c>
      <c r="AC369" s="1" t="s">
        <v>1922</v>
      </c>
      <c r="AD369" s="1" t="s">
        <v>1923</v>
      </c>
      <c r="AE369" s="1" t="s">
        <v>55</v>
      </c>
    </row>
    <row r="370" ht="56.25" customHeight="1">
      <c r="A370" s="1">
        <v>1.0281175928077E13</v>
      </c>
      <c r="B370" s="2" t="s">
        <v>1924</v>
      </c>
      <c r="C370" s="2" t="s">
        <v>1925</v>
      </c>
      <c r="D370" s="1">
        <v>2.6343329307E10</v>
      </c>
      <c r="E370" s="1" t="s">
        <v>1327</v>
      </c>
      <c r="F370" s="1" t="b">
        <v>0</v>
      </c>
      <c r="G370" s="1" t="s">
        <v>34</v>
      </c>
      <c r="H370" s="1" t="b">
        <v>0</v>
      </c>
      <c r="I370" s="1">
        <v>19.0</v>
      </c>
      <c r="J370" s="1">
        <v>0.0</v>
      </c>
      <c r="K370" s="1">
        <v>0.0</v>
      </c>
      <c r="L370" s="1">
        <v>3.60010221392E11</v>
      </c>
      <c r="M370" s="1" t="s">
        <v>956</v>
      </c>
      <c r="N370" s="1" t="str">
        <f t="array" ref="N370">XLOOKUP(A:A,'CategoriasSeções'!A:A,'CategoriasSeções'!B:B)</f>
        <v>Comunicados</v>
      </c>
      <c r="O370" s="1" t="s">
        <v>957</v>
      </c>
      <c r="P370" s="12">
        <v>44865.745833333334</v>
      </c>
      <c r="Q370" s="3">
        <v>45526.57638888889</v>
      </c>
      <c r="R370" s="1" t="s">
        <v>1926</v>
      </c>
      <c r="S370" s="1" t="s">
        <v>1926</v>
      </c>
      <c r="T370" s="1" t="s">
        <v>38</v>
      </c>
      <c r="U370" s="1" t="s">
        <v>38</v>
      </c>
      <c r="V370" s="1" t="s">
        <v>75</v>
      </c>
      <c r="W370" s="1" t="s">
        <v>69</v>
      </c>
      <c r="X370" s="1" t="s">
        <v>69</v>
      </c>
      <c r="Y370" s="12">
        <v>44865.74652777778</v>
      </c>
      <c r="AA370" s="1">
        <v>1666192.0</v>
      </c>
      <c r="AB370" s="1" t="s">
        <v>55</v>
      </c>
      <c r="AC370" s="1" t="s">
        <v>1927</v>
      </c>
      <c r="AD370" s="1" t="s">
        <v>1928</v>
      </c>
      <c r="AE370" s="1" t="s">
        <v>55</v>
      </c>
    </row>
    <row r="371" ht="56.25" customHeight="1">
      <c r="A371" s="1">
        <v>3.60059102152E11</v>
      </c>
      <c r="B371" s="2" t="s">
        <v>1929</v>
      </c>
      <c r="C371" s="2" t="s">
        <v>1930</v>
      </c>
      <c r="D371" s="1">
        <v>2.6343329307E10</v>
      </c>
      <c r="E371" s="1" t="s">
        <v>1327</v>
      </c>
      <c r="F371" s="1" t="b">
        <v>0</v>
      </c>
      <c r="G371" s="1" t="s">
        <v>34</v>
      </c>
      <c r="H371" s="1" t="b">
        <v>0</v>
      </c>
      <c r="I371" s="1">
        <v>19.0</v>
      </c>
      <c r="J371" s="1">
        <v>0.0</v>
      </c>
      <c r="K371" s="1">
        <v>0.0</v>
      </c>
      <c r="L371" s="1">
        <v>3.60010340731E11</v>
      </c>
      <c r="M371" s="1" t="s">
        <v>956</v>
      </c>
      <c r="N371" s="1" t="str">
        <f t="array" ref="N371">XLOOKUP(A:A,'CategoriasSeções'!A:A,'CategoriasSeções'!B:B)</f>
        <v>Comunicados</v>
      </c>
      <c r="O371" s="1" t="s">
        <v>981</v>
      </c>
      <c r="P371" s="3">
        <v>44293.56805555556</v>
      </c>
      <c r="Q371" s="3">
        <v>45526.59027777778</v>
      </c>
      <c r="R371" s="1" t="s">
        <v>1931</v>
      </c>
      <c r="S371" s="1" t="s">
        <v>1931</v>
      </c>
      <c r="T371" s="1" t="s">
        <v>38</v>
      </c>
      <c r="U371" s="1" t="s">
        <v>38</v>
      </c>
      <c r="V371" s="1" t="s">
        <v>75</v>
      </c>
      <c r="W371" s="1" t="s">
        <v>69</v>
      </c>
      <c r="X371" s="1" t="s">
        <v>69</v>
      </c>
      <c r="Y371" s="3">
        <v>44293.56875</v>
      </c>
      <c r="AA371" s="1">
        <v>1666192.0</v>
      </c>
      <c r="AB371" s="1" t="s">
        <v>55</v>
      </c>
      <c r="AC371" s="1" t="s">
        <v>1932</v>
      </c>
      <c r="AD371" s="1" t="s">
        <v>1933</v>
      </c>
      <c r="AE371" s="1" t="s">
        <v>55</v>
      </c>
    </row>
    <row r="372" ht="56.25" customHeight="1">
      <c r="A372" s="1">
        <v>1.0106414825613E13</v>
      </c>
      <c r="B372" s="2" t="s">
        <v>1934</v>
      </c>
      <c r="C372" s="2" t="s">
        <v>1935</v>
      </c>
      <c r="D372" s="1">
        <v>2.6343329307E10</v>
      </c>
      <c r="E372" s="1" t="s">
        <v>1327</v>
      </c>
      <c r="F372" s="1" t="b">
        <v>0</v>
      </c>
      <c r="G372" s="1" t="s">
        <v>34</v>
      </c>
      <c r="H372" s="1" t="b">
        <v>0</v>
      </c>
      <c r="I372" s="1">
        <v>20.0</v>
      </c>
      <c r="J372" s="1">
        <v>0.0</v>
      </c>
      <c r="K372" s="1">
        <v>0.0</v>
      </c>
      <c r="L372" s="1">
        <v>3.60010221392E11</v>
      </c>
      <c r="M372" s="1" t="s">
        <v>956</v>
      </c>
      <c r="N372" s="1" t="str">
        <f t="array" ref="N372">XLOOKUP(A:A,'CategoriasSeções'!A:A,'CategoriasSeções'!B:B)</f>
        <v>Comunicados</v>
      </c>
      <c r="O372" s="1" t="s">
        <v>957</v>
      </c>
      <c r="P372" s="12">
        <v>44858.629166666666</v>
      </c>
      <c r="Q372" s="3">
        <v>45526.51388888889</v>
      </c>
      <c r="R372" s="1" t="s">
        <v>1936</v>
      </c>
      <c r="S372" s="1" t="s">
        <v>1936</v>
      </c>
      <c r="T372" s="1" t="s">
        <v>38</v>
      </c>
      <c r="U372" s="1" t="s">
        <v>38</v>
      </c>
      <c r="V372" s="1" t="s">
        <v>75</v>
      </c>
      <c r="W372" s="1" t="s">
        <v>69</v>
      </c>
      <c r="X372" s="1" t="s">
        <v>69</v>
      </c>
      <c r="Y372" s="12">
        <v>44858.629166666666</v>
      </c>
      <c r="AA372" s="1">
        <v>1666192.0</v>
      </c>
      <c r="AB372" s="1" t="s">
        <v>55</v>
      </c>
      <c r="AC372" s="1" t="s">
        <v>1937</v>
      </c>
      <c r="AD372" s="1" t="s">
        <v>1938</v>
      </c>
      <c r="AE372" s="1" t="s">
        <v>55</v>
      </c>
    </row>
    <row r="373" ht="56.25" customHeight="1">
      <c r="A373" s="1">
        <v>3.60058953071E11</v>
      </c>
      <c r="B373" s="2" t="s">
        <v>1939</v>
      </c>
      <c r="C373" s="2" t="s">
        <v>1940</v>
      </c>
      <c r="D373" s="1">
        <v>2.6343329307E10</v>
      </c>
      <c r="E373" s="1" t="s">
        <v>1327</v>
      </c>
      <c r="F373" s="1" t="b">
        <v>0</v>
      </c>
      <c r="G373" s="1" t="s">
        <v>34</v>
      </c>
      <c r="H373" s="1" t="b">
        <v>0</v>
      </c>
      <c r="I373" s="1">
        <v>20.0</v>
      </c>
      <c r="J373" s="1">
        <v>0.0</v>
      </c>
      <c r="K373" s="1">
        <v>0.0</v>
      </c>
      <c r="L373" s="1">
        <v>3.60010340731E11</v>
      </c>
      <c r="M373" s="1" t="s">
        <v>956</v>
      </c>
      <c r="N373" s="1" t="str">
        <f t="array" ref="N373">XLOOKUP(A:A,'CategoriasSeções'!A:A,'CategoriasSeções'!B:B)</f>
        <v>Comunicados</v>
      </c>
      <c r="O373" s="1" t="s">
        <v>981</v>
      </c>
      <c r="P373" s="3">
        <v>44279.73472222222</v>
      </c>
      <c r="Q373" s="3">
        <v>45526.57638888889</v>
      </c>
      <c r="R373" s="1" t="s">
        <v>1941</v>
      </c>
      <c r="S373" s="1" t="s">
        <v>1941</v>
      </c>
      <c r="T373" s="1" t="s">
        <v>38</v>
      </c>
      <c r="U373" s="1" t="s">
        <v>38</v>
      </c>
      <c r="V373" s="1" t="s">
        <v>75</v>
      </c>
      <c r="W373" s="1" t="s">
        <v>69</v>
      </c>
      <c r="X373" s="1" t="s">
        <v>69</v>
      </c>
      <c r="Y373" s="3">
        <v>44279.73472222222</v>
      </c>
      <c r="AA373" s="1">
        <v>1666192.0</v>
      </c>
      <c r="AB373" s="1" t="s">
        <v>55</v>
      </c>
      <c r="AC373" s="1" t="s">
        <v>1942</v>
      </c>
      <c r="AD373" s="1" t="s">
        <v>1943</v>
      </c>
      <c r="AE373" s="1" t="s">
        <v>55</v>
      </c>
    </row>
    <row r="374" ht="56.25" customHeight="1">
      <c r="A374" s="1">
        <v>9.717845832205E12</v>
      </c>
      <c r="B374" s="2" t="s">
        <v>1944</v>
      </c>
      <c r="C374" s="2" t="s">
        <v>1945</v>
      </c>
      <c r="D374" s="1">
        <v>2.6343329307E10</v>
      </c>
      <c r="E374" s="1" t="s">
        <v>1327</v>
      </c>
      <c r="F374" s="1" t="b">
        <v>0</v>
      </c>
      <c r="G374" s="1" t="s">
        <v>34</v>
      </c>
      <c r="H374" s="1" t="b">
        <v>0</v>
      </c>
      <c r="I374" s="1">
        <v>21.0</v>
      </c>
      <c r="J374" s="1">
        <v>0.0</v>
      </c>
      <c r="K374" s="1">
        <v>0.0</v>
      </c>
      <c r="L374" s="1">
        <v>3.60010221392E11</v>
      </c>
      <c r="M374" s="1" t="s">
        <v>956</v>
      </c>
      <c r="N374" s="1" t="str">
        <f t="array" ref="N374">XLOOKUP(A:A,'CategoriasSeções'!A:A,'CategoriasSeções'!B:B)</f>
        <v>Comunicados</v>
      </c>
      <c r="O374" s="1" t="s">
        <v>957</v>
      </c>
      <c r="P374" s="3">
        <v>44841.575694444444</v>
      </c>
      <c r="Q374" s="3">
        <v>45526.45486111111</v>
      </c>
      <c r="R374" s="1" t="s">
        <v>1946</v>
      </c>
      <c r="S374" s="1" t="s">
        <v>1946</v>
      </c>
      <c r="T374" s="1" t="s">
        <v>38</v>
      </c>
      <c r="U374" s="1" t="s">
        <v>38</v>
      </c>
      <c r="V374" s="1" t="s">
        <v>75</v>
      </c>
      <c r="W374" s="1" t="s">
        <v>69</v>
      </c>
      <c r="X374" s="1" t="s">
        <v>69</v>
      </c>
      <c r="Y374" s="3">
        <v>44841.57638888889</v>
      </c>
      <c r="AA374" s="1">
        <v>1666192.0</v>
      </c>
      <c r="AB374" s="1" t="s">
        <v>55</v>
      </c>
      <c r="AC374" s="1" t="s">
        <v>1947</v>
      </c>
      <c r="AD374" s="1" t="s">
        <v>1948</v>
      </c>
      <c r="AE374" s="1" t="s">
        <v>55</v>
      </c>
    </row>
    <row r="375" ht="56.25" customHeight="1">
      <c r="A375" s="1">
        <v>3.60056022232E11</v>
      </c>
      <c r="B375" s="2" t="s">
        <v>1949</v>
      </c>
      <c r="C375" s="2" t="s">
        <v>1950</v>
      </c>
      <c r="D375" s="1">
        <v>2.6343329307E10</v>
      </c>
      <c r="E375" s="1" t="s">
        <v>1327</v>
      </c>
      <c r="F375" s="1" t="b">
        <v>0</v>
      </c>
      <c r="G375" s="1" t="s">
        <v>34</v>
      </c>
      <c r="H375" s="1" t="b">
        <v>0</v>
      </c>
      <c r="I375" s="1">
        <v>21.0</v>
      </c>
      <c r="J375" s="1">
        <v>0.0</v>
      </c>
      <c r="K375" s="1">
        <v>0.0</v>
      </c>
      <c r="L375" s="1">
        <v>3.60010340731E11</v>
      </c>
      <c r="M375" s="1" t="s">
        <v>956</v>
      </c>
      <c r="N375" s="1" t="str">
        <f t="array" ref="N375">XLOOKUP(A:A,'CategoriasSeções'!A:A,'CategoriasSeções'!B:B)</f>
        <v>Comunicados</v>
      </c>
      <c r="O375" s="1" t="s">
        <v>981</v>
      </c>
      <c r="P375" s="3">
        <v>44230.61666666667</v>
      </c>
      <c r="Q375" s="3">
        <v>45526.57638888889</v>
      </c>
      <c r="R375" s="1" t="s">
        <v>1951</v>
      </c>
      <c r="S375" s="1" t="s">
        <v>1951</v>
      </c>
      <c r="T375" s="1" t="s">
        <v>38</v>
      </c>
      <c r="U375" s="1" t="s">
        <v>38</v>
      </c>
      <c r="V375" s="1" t="s">
        <v>75</v>
      </c>
      <c r="W375" s="1" t="s">
        <v>69</v>
      </c>
      <c r="X375" s="1" t="s">
        <v>69</v>
      </c>
      <c r="Y375" s="3">
        <v>44238.51875</v>
      </c>
      <c r="AA375" s="1">
        <v>1666192.0</v>
      </c>
      <c r="AB375" s="1" t="s">
        <v>55</v>
      </c>
      <c r="AC375" s="1" t="s">
        <v>1952</v>
      </c>
      <c r="AD375" s="1" t="s">
        <v>1953</v>
      </c>
      <c r="AE375" s="1" t="s">
        <v>55</v>
      </c>
    </row>
    <row r="376" ht="56.25" customHeight="1">
      <c r="A376" s="1">
        <v>9.467579676941E12</v>
      </c>
      <c r="B376" s="2" t="s">
        <v>1954</v>
      </c>
      <c r="C376" s="2" t="s">
        <v>1955</v>
      </c>
      <c r="D376" s="1">
        <v>2.6343329307E10</v>
      </c>
      <c r="E376" s="1" t="s">
        <v>1327</v>
      </c>
      <c r="F376" s="1" t="b">
        <v>0</v>
      </c>
      <c r="G376" s="1" t="s">
        <v>34</v>
      </c>
      <c r="H376" s="1" t="b">
        <v>0</v>
      </c>
      <c r="I376" s="1">
        <v>22.0</v>
      </c>
      <c r="J376" s="1">
        <v>0.0</v>
      </c>
      <c r="K376" s="1">
        <v>0.0</v>
      </c>
      <c r="L376" s="1">
        <v>3.60010221392E11</v>
      </c>
      <c r="M376" s="1" t="s">
        <v>956</v>
      </c>
      <c r="N376" s="1" t="str">
        <f t="array" ref="N376">XLOOKUP(A:A,'CategoriasSeções'!A:A,'CategoriasSeções'!B:B)</f>
        <v>Comunicados</v>
      </c>
      <c r="O376" s="1" t="s">
        <v>957</v>
      </c>
      <c r="P376" s="3">
        <v>44831.55972222222</v>
      </c>
      <c r="Q376" s="3">
        <v>45526.603472222225</v>
      </c>
      <c r="R376" s="1" t="s">
        <v>1956</v>
      </c>
      <c r="S376" s="1" t="s">
        <v>1956</v>
      </c>
      <c r="T376" s="1" t="s">
        <v>38</v>
      </c>
      <c r="U376" s="1" t="s">
        <v>38</v>
      </c>
      <c r="V376" s="1" t="s">
        <v>75</v>
      </c>
      <c r="W376" s="1" t="s">
        <v>69</v>
      </c>
      <c r="X376" s="1" t="s">
        <v>69</v>
      </c>
      <c r="Y376" s="3">
        <v>44831.55972222222</v>
      </c>
      <c r="AA376" s="1">
        <v>1666192.0</v>
      </c>
      <c r="AB376" s="1" t="s">
        <v>55</v>
      </c>
      <c r="AC376" s="1" t="s">
        <v>1957</v>
      </c>
      <c r="AD376" s="1" t="s">
        <v>1958</v>
      </c>
      <c r="AE376" s="1" t="s">
        <v>55</v>
      </c>
    </row>
    <row r="377" ht="56.25" customHeight="1">
      <c r="A377" s="1">
        <v>3.60055863831E11</v>
      </c>
      <c r="B377" s="2" t="s">
        <v>1959</v>
      </c>
      <c r="C377" s="2" t="s">
        <v>1960</v>
      </c>
      <c r="D377" s="1">
        <v>2.6343329307E10</v>
      </c>
      <c r="E377" s="1" t="s">
        <v>1327</v>
      </c>
      <c r="F377" s="1" t="b">
        <v>0</v>
      </c>
      <c r="G377" s="1" t="s">
        <v>34</v>
      </c>
      <c r="H377" s="1" t="b">
        <v>0</v>
      </c>
      <c r="I377" s="1">
        <v>22.0</v>
      </c>
      <c r="J377" s="1">
        <v>0.0</v>
      </c>
      <c r="K377" s="1">
        <v>0.0</v>
      </c>
      <c r="L377" s="1">
        <v>3.60010340731E11</v>
      </c>
      <c r="M377" s="1" t="s">
        <v>956</v>
      </c>
      <c r="N377" s="1" t="str">
        <f t="array" ref="N377">XLOOKUP(A:A,'CategoriasSeções'!A:A,'CategoriasSeções'!B:B)</f>
        <v>Comunicados</v>
      </c>
      <c r="O377" s="1" t="s">
        <v>981</v>
      </c>
      <c r="P377" s="3">
        <v>44218.63402777778</v>
      </c>
      <c r="Q377" s="3">
        <v>45526.603472222225</v>
      </c>
      <c r="R377" s="1" t="s">
        <v>1961</v>
      </c>
      <c r="S377" s="1" t="s">
        <v>1961</v>
      </c>
      <c r="T377" s="1" t="s">
        <v>38</v>
      </c>
      <c r="U377" s="1" t="s">
        <v>38</v>
      </c>
      <c r="V377" s="1" t="s">
        <v>75</v>
      </c>
      <c r="W377" s="1" t="s">
        <v>69</v>
      </c>
      <c r="X377" s="1" t="s">
        <v>69</v>
      </c>
      <c r="Y377" s="3">
        <v>44218.63402777778</v>
      </c>
      <c r="AA377" s="1">
        <v>1666192.0</v>
      </c>
      <c r="AB377" s="1" t="s">
        <v>55</v>
      </c>
      <c r="AC377" s="1" t="s">
        <v>1962</v>
      </c>
      <c r="AD377" s="1" t="s">
        <v>1963</v>
      </c>
      <c r="AE377" s="1" t="s">
        <v>55</v>
      </c>
    </row>
    <row r="378" ht="56.25" customHeight="1">
      <c r="A378" s="1">
        <v>9.185581677197E12</v>
      </c>
      <c r="B378" s="2" t="s">
        <v>1964</v>
      </c>
      <c r="C378" s="2" t="s">
        <v>1965</v>
      </c>
      <c r="D378" s="1">
        <v>2.6343329307E10</v>
      </c>
      <c r="E378" s="1" t="s">
        <v>1327</v>
      </c>
      <c r="F378" s="1" t="b">
        <v>0</v>
      </c>
      <c r="G378" s="1" t="s">
        <v>34</v>
      </c>
      <c r="H378" s="1" t="b">
        <v>0</v>
      </c>
      <c r="I378" s="1">
        <v>23.0</v>
      </c>
      <c r="J378" s="1">
        <v>0.0</v>
      </c>
      <c r="K378" s="1">
        <v>0.0</v>
      </c>
      <c r="L378" s="1">
        <v>3.60010221392E11</v>
      </c>
      <c r="M378" s="1" t="s">
        <v>956</v>
      </c>
      <c r="N378" s="1" t="str">
        <f t="array" ref="N378">XLOOKUP(A:A,'CategoriasSeções'!A:A,'CategoriasSeções'!B:B)</f>
        <v>Comunicados</v>
      </c>
      <c r="O378" s="1" t="s">
        <v>957</v>
      </c>
      <c r="P378" s="3">
        <v>44819.55763888889</v>
      </c>
      <c r="Q378" s="3">
        <v>45526.53888888889</v>
      </c>
      <c r="R378" s="1" t="s">
        <v>1966</v>
      </c>
      <c r="S378" s="1" t="s">
        <v>1966</v>
      </c>
      <c r="T378" s="1" t="s">
        <v>38</v>
      </c>
      <c r="U378" s="1" t="s">
        <v>38</v>
      </c>
      <c r="V378" s="1" t="s">
        <v>75</v>
      </c>
      <c r="W378" s="1" t="s">
        <v>69</v>
      </c>
      <c r="X378" s="1" t="s">
        <v>69</v>
      </c>
      <c r="Y378" s="3">
        <v>44819.55763888889</v>
      </c>
      <c r="AA378" s="1">
        <v>1666192.0</v>
      </c>
      <c r="AB378" s="1" t="s">
        <v>55</v>
      </c>
      <c r="AC378" s="1" t="s">
        <v>1967</v>
      </c>
      <c r="AD378" s="1" t="s">
        <v>1968</v>
      </c>
      <c r="AE378" s="1" t="s">
        <v>55</v>
      </c>
    </row>
    <row r="379" ht="56.25" customHeight="1">
      <c r="A379" s="1">
        <v>3.60053518051E11</v>
      </c>
      <c r="B379" s="2" t="s">
        <v>1969</v>
      </c>
      <c r="C379" s="2" t="s">
        <v>1970</v>
      </c>
      <c r="D379" s="1">
        <v>2.6343329307E10</v>
      </c>
      <c r="E379" s="1" t="s">
        <v>1327</v>
      </c>
      <c r="F379" s="1" t="b">
        <v>0</v>
      </c>
      <c r="G379" s="1" t="s">
        <v>34</v>
      </c>
      <c r="H379" s="1" t="b">
        <v>0</v>
      </c>
      <c r="I379" s="1">
        <v>23.0</v>
      </c>
      <c r="J379" s="1">
        <v>0.0</v>
      </c>
      <c r="K379" s="1">
        <v>0.0</v>
      </c>
      <c r="L379" s="1">
        <v>3.60010340731E11</v>
      </c>
      <c r="M379" s="1" t="s">
        <v>956</v>
      </c>
      <c r="N379" s="1" t="str">
        <f t="array" ref="N379">XLOOKUP(A:A,'CategoriasSeções'!A:A,'CategoriasSeções'!B:B)</f>
        <v>Comunicados</v>
      </c>
      <c r="O379" s="1" t="s">
        <v>981</v>
      </c>
      <c r="P379" s="3">
        <v>44174.44930555556</v>
      </c>
      <c r="Q379" s="3">
        <v>45526.620833333334</v>
      </c>
      <c r="R379" s="1" t="s">
        <v>1971</v>
      </c>
      <c r="S379" s="1" t="s">
        <v>1971</v>
      </c>
      <c r="T379" s="1" t="s">
        <v>38</v>
      </c>
      <c r="U379" s="1" t="s">
        <v>38</v>
      </c>
      <c r="V379" s="1" t="s">
        <v>75</v>
      </c>
      <c r="W379" s="1" t="s">
        <v>69</v>
      </c>
      <c r="X379" s="1" t="s">
        <v>69</v>
      </c>
      <c r="Y379" s="3">
        <v>44174.45</v>
      </c>
      <c r="AA379" s="1">
        <v>1666192.0</v>
      </c>
      <c r="AB379" s="1" t="s">
        <v>55</v>
      </c>
      <c r="AC379" s="1" t="s">
        <v>1972</v>
      </c>
      <c r="AD379" s="1" t="s">
        <v>1973</v>
      </c>
      <c r="AE379" s="1" t="s">
        <v>55</v>
      </c>
    </row>
    <row r="380" ht="56.25" customHeight="1">
      <c r="A380" s="1">
        <v>8.705793155469E12</v>
      </c>
      <c r="B380" s="2" t="s">
        <v>1974</v>
      </c>
      <c r="C380" s="2" t="s">
        <v>1975</v>
      </c>
      <c r="D380" s="1">
        <v>2.6343329307E10</v>
      </c>
      <c r="E380" s="1" t="s">
        <v>1327</v>
      </c>
      <c r="F380" s="1" t="b">
        <v>0</v>
      </c>
      <c r="G380" s="1" t="s">
        <v>34</v>
      </c>
      <c r="H380" s="1" t="b">
        <v>0</v>
      </c>
      <c r="I380" s="1">
        <v>24.0</v>
      </c>
      <c r="J380" s="1">
        <v>0.0</v>
      </c>
      <c r="K380" s="1">
        <v>0.0</v>
      </c>
      <c r="L380" s="1">
        <v>3.60010221392E11</v>
      </c>
      <c r="M380" s="1" t="s">
        <v>956</v>
      </c>
      <c r="N380" s="1" t="str">
        <f t="array" ref="N380">XLOOKUP(A:A,'CategoriasSeções'!A:A,'CategoriasSeções'!B:B)</f>
        <v>Comunicados</v>
      </c>
      <c r="O380" s="1" t="s">
        <v>957</v>
      </c>
      <c r="P380" s="3">
        <v>44799.47430555556</v>
      </c>
      <c r="Q380" s="3">
        <v>45526.51875</v>
      </c>
      <c r="R380" s="1" t="s">
        <v>1976</v>
      </c>
      <c r="S380" s="1" t="s">
        <v>1976</v>
      </c>
      <c r="T380" s="1" t="s">
        <v>38</v>
      </c>
      <c r="U380" s="1" t="s">
        <v>38</v>
      </c>
      <c r="V380" s="1" t="s">
        <v>75</v>
      </c>
      <c r="W380" s="1" t="s">
        <v>69</v>
      </c>
      <c r="X380" s="1" t="s">
        <v>69</v>
      </c>
      <c r="Y380" s="3">
        <v>44799.47430555556</v>
      </c>
      <c r="AA380" s="1">
        <v>1666192.0</v>
      </c>
      <c r="AB380" s="1" t="s">
        <v>55</v>
      </c>
      <c r="AC380" s="1" t="s">
        <v>1977</v>
      </c>
      <c r="AD380" s="1" t="s">
        <v>1978</v>
      </c>
      <c r="AE380" s="1" t="s">
        <v>55</v>
      </c>
    </row>
    <row r="381" ht="56.25" customHeight="1">
      <c r="A381" s="1">
        <v>3.60050927732E11</v>
      </c>
      <c r="B381" s="2" t="s">
        <v>1979</v>
      </c>
      <c r="C381" s="2" t="s">
        <v>1980</v>
      </c>
      <c r="D381" s="1">
        <v>2.6343329307E10</v>
      </c>
      <c r="E381" s="1" t="s">
        <v>1327</v>
      </c>
      <c r="F381" s="1" t="b">
        <v>0</v>
      </c>
      <c r="G381" s="1" t="s">
        <v>34</v>
      </c>
      <c r="H381" s="1" t="b">
        <v>0</v>
      </c>
      <c r="I381" s="1">
        <v>24.0</v>
      </c>
      <c r="J381" s="1">
        <v>0.0</v>
      </c>
      <c r="K381" s="1">
        <v>0.0</v>
      </c>
      <c r="L381" s="1">
        <v>3.60010340731E11</v>
      </c>
      <c r="M381" s="1" t="s">
        <v>956</v>
      </c>
      <c r="N381" s="1" t="str">
        <f t="array" ref="N381">XLOOKUP(A:A,'CategoriasSeções'!A:A,'CategoriasSeções'!B:B)</f>
        <v>Comunicados</v>
      </c>
      <c r="O381" s="1" t="s">
        <v>981</v>
      </c>
      <c r="P381" s="12">
        <v>44126.46875</v>
      </c>
      <c r="Q381" s="3">
        <v>45526.55972222222</v>
      </c>
      <c r="R381" s="1" t="s">
        <v>1981</v>
      </c>
      <c r="S381" s="1" t="s">
        <v>1981</v>
      </c>
      <c r="T381" s="1" t="s">
        <v>38</v>
      </c>
      <c r="U381" s="1" t="s">
        <v>38</v>
      </c>
      <c r="V381" s="1" t="s">
        <v>75</v>
      </c>
      <c r="W381" s="1" t="s">
        <v>69</v>
      </c>
      <c r="X381" s="1" t="s">
        <v>69</v>
      </c>
      <c r="Y381" s="12">
        <v>44126.46944444445</v>
      </c>
      <c r="AA381" s="1">
        <v>1666192.0</v>
      </c>
      <c r="AB381" s="1" t="s">
        <v>55</v>
      </c>
      <c r="AC381" s="1" t="s">
        <v>1982</v>
      </c>
      <c r="AD381" s="1" t="s">
        <v>1983</v>
      </c>
      <c r="AE381" s="1" t="s">
        <v>55</v>
      </c>
    </row>
    <row r="382" ht="56.25" customHeight="1">
      <c r="A382" s="1">
        <v>8.466998498957E12</v>
      </c>
      <c r="B382" s="2" t="s">
        <v>1984</v>
      </c>
      <c r="C382" s="2" t="s">
        <v>1985</v>
      </c>
      <c r="D382" s="1">
        <v>2.6343329307E10</v>
      </c>
      <c r="E382" s="1" t="s">
        <v>1327</v>
      </c>
      <c r="F382" s="1" t="b">
        <v>0</v>
      </c>
      <c r="G382" s="1" t="s">
        <v>34</v>
      </c>
      <c r="H382" s="1" t="b">
        <v>0</v>
      </c>
      <c r="I382" s="1">
        <v>25.0</v>
      </c>
      <c r="J382" s="1">
        <v>0.0</v>
      </c>
      <c r="K382" s="1">
        <v>0.0</v>
      </c>
      <c r="L382" s="1">
        <v>3.60010221392E11</v>
      </c>
      <c r="M382" s="1" t="s">
        <v>956</v>
      </c>
      <c r="N382" s="1" t="str">
        <f t="array" ref="N382">XLOOKUP(A:A,'CategoriasSeções'!A:A,'CategoriasSeções'!B:B)</f>
        <v>Comunicados</v>
      </c>
      <c r="O382" s="1" t="s">
        <v>957</v>
      </c>
      <c r="P382" s="3">
        <v>44789.836805555555</v>
      </c>
      <c r="Q382" s="3">
        <v>45526.51875</v>
      </c>
      <c r="R382" s="1" t="s">
        <v>1986</v>
      </c>
      <c r="S382" s="1" t="s">
        <v>1986</v>
      </c>
      <c r="T382" s="1" t="s">
        <v>38</v>
      </c>
      <c r="U382" s="1" t="s">
        <v>38</v>
      </c>
      <c r="V382" s="1" t="s">
        <v>75</v>
      </c>
      <c r="W382" s="1" t="s">
        <v>69</v>
      </c>
      <c r="X382" s="1" t="s">
        <v>69</v>
      </c>
      <c r="Y382" s="3">
        <v>44789.836805555555</v>
      </c>
      <c r="AA382" s="1">
        <v>1666192.0</v>
      </c>
      <c r="AB382" s="1" t="s">
        <v>55</v>
      </c>
      <c r="AC382" s="1" t="s">
        <v>1987</v>
      </c>
      <c r="AD382" s="1" t="s">
        <v>1988</v>
      </c>
      <c r="AE382" s="1" t="s">
        <v>55</v>
      </c>
    </row>
    <row r="383" ht="56.25" customHeight="1">
      <c r="A383" s="1">
        <v>3.60050291092E11</v>
      </c>
      <c r="B383" s="2" t="s">
        <v>1989</v>
      </c>
      <c r="C383" s="2" t="s">
        <v>1990</v>
      </c>
      <c r="D383" s="1">
        <v>2.6343329307E10</v>
      </c>
      <c r="E383" s="1" t="s">
        <v>1327</v>
      </c>
      <c r="F383" s="1" t="b">
        <v>0</v>
      </c>
      <c r="G383" s="1" t="s">
        <v>34</v>
      </c>
      <c r="H383" s="1" t="b">
        <v>0</v>
      </c>
      <c r="I383" s="1">
        <v>25.0</v>
      </c>
      <c r="J383" s="1">
        <v>0.0</v>
      </c>
      <c r="K383" s="1">
        <v>0.0</v>
      </c>
      <c r="L383" s="1">
        <v>3.60010340731E11</v>
      </c>
      <c r="M383" s="1" t="s">
        <v>956</v>
      </c>
      <c r="N383" s="1" t="str">
        <f t="array" ref="N383">XLOOKUP(A:A,'CategoriasSeções'!A:A,'CategoriasSeções'!B:B)</f>
        <v>Comunicados</v>
      </c>
      <c r="O383" s="1" t="s">
        <v>981</v>
      </c>
      <c r="P383" s="3">
        <v>44112.58541666667</v>
      </c>
      <c r="Q383" s="3">
        <v>45526.611805555556</v>
      </c>
      <c r="R383" s="1" t="s">
        <v>1991</v>
      </c>
      <c r="S383" s="1" t="s">
        <v>1991</v>
      </c>
      <c r="T383" s="1" t="s">
        <v>38</v>
      </c>
      <c r="U383" s="1" t="s">
        <v>38</v>
      </c>
      <c r="V383" s="1" t="s">
        <v>75</v>
      </c>
      <c r="W383" s="1" t="s">
        <v>69</v>
      </c>
      <c r="X383" s="1" t="s">
        <v>69</v>
      </c>
      <c r="Y383" s="3">
        <v>44112.58541666667</v>
      </c>
      <c r="AA383" s="1">
        <v>1666192.0</v>
      </c>
      <c r="AB383" s="1" t="s">
        <v>55</v>
      </c>
      <c r="AC383" s="1" t="s">
        <v>1992</v>
      </c>
      <c r="AD383" s="1" t="s">
        <v>1993</v>
      </c>
      <c r="AE383" s="1" t="s">
        <v>55</v>
      </c>
    </row>
    <row r="384" ht="56.25" customHeight="1">
      <c r="A384" s="1">
        <v>9.143835844749E12</v>
      </c>
      <c r="B384" s="2" t="s">
        <v>1994</v>
      </c>
      <c r="C384" s="2" t="s">
        <v>1995</v>
      </c>
      <c r="D384" s="1">
        <v>2.6343329307E10</v>
      </c>
      <c r="E384" s="1" t="s">
        <v>1327</v>
      </c>
      <c r="F384" s="1" t="b">
        <v>0</v>
      </c>
      <c r="G384" s="1" t="s">
        <v>34</v>
      </c>
      <c r="H384" s="1" t="b">
        <v>0</v>
      </c>
      <c r="I384" s="1">
        <v>26.0</v>
      </c>
      <c r="J384" s="1">
        <v>0.0</v>
      </c>
      <c r="K384" s="1">
        <v>0.0</v>
      </c>
      <c r="L384" s="1">
        <v>3.60010221392E11</v>
      </c>
      <c r="M384" s="1" t="s">
        <v>956</v>
      </c>
      <c r="N384" s="1" t="str">
        <f t="array" ref="N384">XLOOKUP(A:A,'CategoriasSeções'!A:A,'CategoriasSeções'!B:B)</f>
        <v>Comunicados</v>
      </c>
      <c r="O384" s="1" t="s">
        <v>957</v>
      </c>
      <c r="P384" s="3">
        <v>44817.873611111114</v>
      </c>
      <c r="Q384" s="3">
        <v>45526.52222222222</v>
      </c>
      <c r="R384" s="1" t="s">
        <v>1996</v>
      </c>
      <c r="S384" s="1" t="s">
        <v>1996</v>
      </c>
      <c r="T384" s="1" t="s">
        <v>38</v>
      </c>
      <c r="U384" s="1" t="s">
        <v>38</v>
      </c>
      <c r="V384" s="1" t="s">
        <v>75</v>
      </c>
      <c r="W384" s="1" t="s">
        <v>69</v>
      </c>
      <c r="X384" s="1" t="s">
        <v>69</v>
      </c>
      <c r="Y384" s="3">
        <v>44817.873611111114</v>
      </c>
      <c r="AA384" s="1">
        <v>1666192.0</v>
      </c>
      <c r="AB384" s="1" t="s">
        <v>55</v>
      </c>
      <c r="AC384" s="1" t="s">
        <v>1997</v>
      </c>
      <c r="AD384" s="1" t="s">
        <v>1998</v>
      </c>
      <c r="AE384" s="1" t="s">
        <v>55</v>
      </c>
    </row>
    <row r="385" ht="56.25" customHeight="1">
      <c r="A385" s="1">
        <v>3.60049012551E11</v>
      </c>
      <c r="B385" s="2" t="s">
        <v>1999</v>
      </c>
      <c r="C385" s="2" t="s">
        <v>2000</v>
      </c>
      <c r="D385" s="1">
        <v>2.6343329307E10</v>
      </c>
      <c r="E385" s="1" t="s">
        <v>1327</v>
      </c>
      <c r="F385" s="1" t="b">
        <v>0</v>
      </c>
      <c r="G385" s="1" t="s">
        <v>34</v>
      </c>
      <c r="H385" s="1" t="b">
        <v>0</v>
      </c>
      <c r="I385" s="1">
        <v>26.0</v>
      </c>
      <c r="J385" s="1">
        <v>0.0</v>
      </c>
      <c r="K385" s="1">
        <v>0.0</v>
      </c>
      <c r="L385" s="1">
        <v>3.60010340731E11</v>
      </c>
      <c r="M385" s="1" t="s">
        <v>956</v>
      </c>
      <c r="N385" s="1" t="str">
        <f t="array" ref="N385">XLOOKUP(A:A,'CategoriasSeções'!A:A,'CategoriasSeções'!B:B)</f>
        <v>Comunicados</v>
      </c>
      <c r="O385" s="1" t="s">
        <v>981</v>
      </c>
      <c r="P385" s="3">
        <v>44075.478472222225</v>
      </c>
      <c r="Q385" s="3">
        <v>45526.42152777778</v>
      </c>
      <c r="R385" s="1" t="s">
        <v>2001</v>
      </c>
      <c r="S385" s="1" t="s">
        <v>2001</v>
      </c>
      <c r="T385" s="1" t="s">
        <v>38</v>
      </c>
      <c r="U385" s="1" t="s">
        <v>38</v>
      </c>
      <c r="V385" s="1" t="s">
        <v>75</v>
      </c>
      <c r="W385" s="1" t="s">
        <v>69</v>
      </c>
      <c r="X385" s="1" t="s">
        <v>69</v>
      </c>
      <c r="Y385" s="3">
        <v>44077.700694444444</v>
      </c>
      <c r="AA385" s="1">
        <v>1666192.0</v>
      </c>
      <c r="AB385" s="1" t="s">
        <v>55</v>
      </c>
      <c r="AC385" s="1" t="s">
        <v>2002</v>
      </c>
      <c r="AD385" s="1" t="s">
        <v>2003</v>
      </c>
      <c r="AE385" s="1" t="s">
        <v>55</v>
      </c>
    </row>
    <row r="386" ht="56.25" customHeight="1">
      <c r="A386" s="1">
        <v>8.315342664973E12</v>
      </c>
      <c r="B386" s="2" t="s">
        <v>2004</v>
      </c>
      <c r="C386" s="2" t="s">
        <v>2005</v>
      </c>
      <c r="D386" s="1">
        <v>2.6343329307E10</v>
      </c>
      <c r="E386" s="1" t="s">
        <v>1327</v>
      </c>
      <c r="F386" s="1" t="b">
        <v>0</v>
      </c>
      <c r="G386" s="1" t="s">
        <v>34</v>
      </c>
      <c r="H386" s="1" t="b">
        <v>0</v>
      </c>
      <c r="I386" s="1">
        <v>27.0</v>
      </c>
      <c r="J386" s="1">
        <v>0.0</v>
      </c>
      <c r="K386" s="1">
        <v>0.0</v>
      </c>
      <c r="L386" s="1">
        <v>3.60010221392E11</v>
      </c>
      <c r="M386" s="1" t="s">
        <v>956</v>
      </c>
      <c r="N386" s="1" t="str">
        <f t="array" ref="N386">XLOOKUP(A:A,'CategoriasSeções'!A:A,'CategoriasSeções'!B:B)</f>
        <v>Comunicados</v>
      </c>
      <c r="O386" s="1" t="s">
        <v>957</v>
      </c>
      <c r="P386" s="3">
        <v>44783.555555555555</v>
      </c>
      <c r="Q386" s="3">
        <v>45526.611805555556</v>
      </c>
      <c r="R386" s="1" t="s">
        <v>2006</v>
      </c>
      <c r="S386" s="1" t="s">
        <v>2006</v>
      </c>
      <c r="T386" s="1" t="s">
        <v>38</v>
      </c>
      <c r="U386" s="1" t="s">
        <v>38</v>
      </c>
      <c r="V386" s="1" t="s">
        <v>75</v>
      </c>
      <c r="W386" s="1" t="s">
        <v>69</v>
      </c>
      <c r="X386" s="1" t="s">
        <v>69</v>
      </c>
      <c r="Y386" s="3">
        <v>44783.555555555555</v>
      </c>
      <c r="AA386" s="1">
        <v>1666192.0</v>
      </c>
      <c r="AB386" s="1" t="s">
        <v>55</v>
      </c>
      <c r="AC386" s="1" t="s">
        <v>2007</v>
      </c>
      <c r="AD386" s="1" t="s">
        <v>2008</v>
      </c>
      <c r="AE386" s="1" t="s">
        <v>55</v>
      </c>
    </row>
    <row r="387" ht="56.25" customHeight="1">
      <c r="A387" s="1">
        <v>6.887285472013E12</v>
      </c>
      <c r="B387" s="2" t="s">
        <v>2009</v>
      </c>
      <c r="C387" s="2" t="s">
        <v>2010</v>
      </c>
      <c r="D387" s="1">
        <v>2.6343329307E10</v>
      </c>
      <c r="E387" s="1" t="s">
        <v>1327</v>
      </c>
      <c r="F387" s="1" t="b">
        <v>0</v>
      </c>
      <c r="G387" s="1" t="s">
        <v>34</v>
      </c>
      <c r="H387" s="1" t="b">
        <v>0</v>
      </c>
      <c r="I387" s="1">
        <v>28.0</v>
      </c>
      <c r="J387" s="1">
        <v>0.0</v>
      </c>
      <c r="K387" s="1">
        <v>0.0</v>
      </c>
      <c r="L387" s="1">
        <v>3.60010221392E11</v>
      </c>
      <c r="M387" s="1" t="s">
        <v>956</v>
      </c>
      <c r="N387" s="1" t="str">
        <f t="array" ref="N387">XLOOKUP(A:A,'CategoriasSeções'!A:A,'CategoriasSeções'!B:B)</f>
        <v>Comunicados</v>
      </c>
      <c r="O387" s="1" t="s">
        <v>957</v>
      </c>
      <c r="P387" s="3">
        <v>44725.83194444444</v>
      </c>
      <c r="Q387" s="3">
        <v>45526.57638888889</v>
      </c>
      <c r="R387" s="1" t="s">
        <v>2011</v>
      </c>
      <c r="S387" s="1" t="s">
        <v>2011</v>
      </c>
      <c r="T387" s="1" t="s">
        <v>38</v>
      </c>
      <c r="U387" s="1" t="s">
        <v>38</v>
      </c>
      <c r="V387" s="1" t="s">
        <v>75</v>
      </c>
      <c r="W387" s="1" t="s">
        <v>69</v>
      </c>
      <c r="X387" s="1" t="s">
        <v>69</v>
      </c>
      <c r="Y387" s="3">
        <v>44725.83194444444</v>
      </c>
      <c r="AA387" s="1">
        <v>1666192.0</v>
      </c>
      <c r="AB387" s="1" t="s">
        <v>55</v>
      </c>
      <c r="AC387" s="1" t="s">
        <v>2012</v>
      </c>
      <c r="AD387" s="1" t="s">
        <v>2013</v>
      </c>
      <c r="AE387" s="1" t="s">
        <v>55</v>
      </c>
    </row>
    <row r="388" ht="56.25" customHeight="1">
      <c r="A388" s="1">
        <v>6.790997731853E12</v>
      </c>
      <c r="B388" s="2" t="s">
        <v>2014</v>
      </c>
      <c r="C388" s="2" t="s">
        <v>2015</v>
      </c>
      <c r="D388" s="1">
        <v>2.6343329307E10</v>
      </c>
      <c r="E388" s="1" t="s">
        <v>1327</v>
      </c>
      <c r="F388" s="1" t="b">
        <v>0</v>
      </c>
      <c r="G388" s="1" t="s">
        <v>34</v>
      </c>
      <c r="H388" s="1" t="b">
        <v>0</v>
      </c>
      <c r="I388" s="1">
        <v>29.0</v>
      </c>
      <c r="J388" s="1">
        <v>0.0</v>
      </c>
      <c r="K388" s="1">
        <v>0.0</v>
      </c>
      <c r="L388" s="1">
        <v>3.60010221392E11</v>
      </c>
      <c r="M388" s="1" t="s">
        <v>956</v>
      </c>
      <c r="N388" s="1" t="str">
        <f t="array" ref="N388">XLOOKUP(A:A,'CategoriasSeções'!A:A,'CategoriasSeções'!B:B)</f>
        <v>Comunicados</v>
      </c>
      <c r="O388" s="1" t="s">
        <v>957</v>
      </c>
      <c r="P388" s="3">
        <v>44721.688888888886</v>
      </c>
      <c r="Q388" s="3">
        <v>45526.42152777778</v>
      </c>
      <c r="R388" s="1" t="s">
        <v>2016</v>
      </c>
      <c r="S388" s="1" t="s">
        <v>2016</v>
      </c>
      <c r="T388" s="1" t="s">
        <v>38</v>
      </c>
      <c r="U388" s="1" t="s">
        <v>38</v>
      </c>
      <c r="V388" s="1" t="s">
        <v>75</v>
      </c>
      <c r="W388" s="1" t="s">
        <v>69</v>
      </c>
      <c r="X388" s="1" t="s">
        <v>69</v>
      </c>
      <c r="Y388" s="3">
        <v>44721.688888888886</v>
      </c>
      <c r="AA388" s="1">
        <v>1666192.0</v>
      </c>
      <c r="AB388" s="1" t="s">
        <v>55</v>
      </c>
      <c r="AC388" s="1" t="s">
        <v>2017</v>
      </c>
      <c r="AD388" s="1" t="s">
        <v>2018</v>
      </c>
      <c r="AE388" s="1" t="s">
        <v>55</v>
      </c>
    </row>
    <row r="389" ht="56.25" customHeight="1">
      <c r="A389" s="1">
        <v>6.699678891277E12</v>
      </c>
      <c r="B389" s="2" t="s">
        <v>2019</v>
      </c>
      <c r="C389" s="2" t="s">
        <v>2020</v>
      </c>
      <c r="D389" s="1">
        <v>2.6343329307E10</v>
      </c>
      <c r="E389" s="1" t="s">
        <v>1327</v>
      </c>
      <c r="F389" s="1" t="b">
        <v>0</v>
      </c>
      <c r="G389" s="1" t="s">
        <v>34</v>
      </c>
      <c r="H389" s="1" t="b">
        <v>0</v>
      </c>
      <c r="I389" s="1">
        <v>30.0</v>
      </c>
      <c r="J389" s="1">
        <v>0.0</v>
      </c>
      <c r="K389" s="1">
        <v>0.0</v>
      </c>
      <c r="L389" s="1">
        <v>3.60010221392E11</v>
      </c>
      <c r="M389" s="1" t="s">
        <v>956</v>
      </c>
      <c r="N389" s="1" t="str">
        <f t="array" ref="N389">XLOOKUP(A:A,'CategoriasSeções'!A:A,'CategoriasSeções'!B:B)</f>
        <v>Comunicados</v>
      </c>
      <c r="O389" s="1" t="s">
        <v>957</v>
      </c>
      <c r="P389" s="3">
        <v>44718.56319444445</v>
      </c>
      <c r="Q389" s="3">
        <v>45526.52222222222</v>
      </c>
      <c r="R389" s="1" t="s">
        <v>2021</v>
      </c>
      <c r="S389" s="1" t="s">
        <v>2021</v>
      </c>
      <c r="T389" s="1" t="s">
        <v>38</v>
      </c>
      <c r="U389" s="1" t="s">
        <v>38</v>
      </c>
      <c r="V389" s="1" t="s">
        <v>75</v>
      </c>
      <c r="W389" s="1" t="s">
        <v>69</v>
      </c>
      <c r="X389" s="1" t="s">
        <v>69</v>
      </c>
      <c r="Y389" s="3">
        <v>44718.56319444445</v>
      </c>
      <c r="AA389" s="1">
        <v>1666192.0</v>
      </c>
      <c r="AB389" s="1" t="s">
        <v>55</v>
      </c>
      <c r="AC389" s="1" t="s">
        <v>2022</v>
      </c>
      <c r="AD389" s="1" t="s">
        <v>2023</v>
      </c>
      <c r="AE389" s="1" t="s">
        <v>55</v>
      </c>
    </row>
    <row r="390" ht="56.25" customHeight="1">
      <c r="A390" s="1">
        <v>5.063187725709E12</v>
      </c>
      <c r="B390" s="2" t="s">
        <v>2024</v>
      </c>
      <c r="C390" s="2" t="s">
        <v>2025</v>
      </c>
      <c r="D390" s="1">
        <v>2.6343329307E10</v>
      </c>
      <c r="E390" s="1" t="s">
        <v>1327</v>
      </c>
      <c r="F390" s="1" t="b">
        <v>0</v>
      </c>
      <c r="G390" s="1" t="s">
        <v>34</v>
      </c>
      <c r="H390" s="1" t="b">
        <v>0</v>
      </c>
      <c r="I390" s="1">
        <v>31.0</v>
      </c>
      <c r="J390" s="1">
        <v>0.0</v>
      </c>
      <c r="K390" s="1">
        <v>0.0</v>
      </c>
      <c r="L390" s="1">
        <v>3.60010221392E11</v>
      </c>
      <c r="M390" s="1" t="s">
        <v>956</v>
      </c>
      <c r="N390" s="1" t="str">
        <f t="array" ref="N390">XLOOKUP(A:A,'CategoriasSeções'!A:A,'CategoriasSeções'!B:B)</f>
        <v>Comunicados</v>
      </c>
      <c r="O390" s="1" t="s">
        <v>957</v>
      </c>
      <c r="P390" s="3">
        <v>44645.532638888886</v>
      </c>
      <c r="Q390" s="3">
        <v>45526.51875</v>
      </c>
      <c r="R390" s="1" t="s">
        <v>2026</v>
      </c>
      <c r="S390" s="1" t="s">
        <v>2026</v>
      </c>
      <c r="T390" s="1" t="s">
        <v>38</v>
      </c>
      <c r="U390" s="1" t="s">
        <v>38</v>
      </c>
      <c r="V390" s="1" t="s">
        <v>75</v>
      </c>
      <c r="W390" s="1" t="s">
        <v>69</v>
      </c>
      <c r="X390" s="1" t="s">
        <v>69</v>
      </c>
      <c r="Y390" s="3">
        <v>44645.532638888886</v>
      </c>
      <c r="AA390" s="1">
        <v>1666192.0</v>
      </c>
      <c r="AB390" s="1" t="s">
        <v>55</v>
      </c>
      <c r="AC390" s="1" t="s">
        <v>2027</v>
      </c>
      <c r="AD390" s="1" t="s">
        <v>2028</v>
      </c>
      <c r="AE390" s="1" t="s">
        <v>55</v>
      </c>
    </row>
    <row r="391" ht="56.25" customHeight="1">
      <c r="A391" s="1">
        <v>4.801646821901E12</v>
      </c>
      <c r="B391" s="2" t="s">
        <v>2029</v>
      </c>
      <c r="C391" s="2" t="s">
        <v>2030</v>
      </c>
      <c r="D391" s="1">
        <v>2.6343329307E10</v>
      </c>
      <c r="E391" s="1" t="s">
        <v>1327</v>
      </c>
      <c r="F391" s="1" t="b">
        <v>0</v>
      </c>
      <c r="G391" s="1" t="s">
        <v>34</v>
      </c>
      <c r="H391" s="1" t="b">
        <v>0</v>
      </c>
      <c r="I391" s="1">
        <v>32.0</v>
      </c>
      <c r="J391" s="1">
        <v>1.0</v>
      </c>
      <c r="K391" s="1">
        <v>1.0</v>
      </c>
      <c r="L391" s="1">
        <v>3.60010221392E11</v>
      </c>
      <c r="M391" s="1" t="s">
        <v>956</v>
      </c>
      <c r="N391" s="1" t="str">
        <f t="array" ref="N391">XLOOKUP(A:A,'CategoriasSeções'!A:A,'CategoriasSeções'!B:B)</f>
        <v>Comunicados</v>
      </c>
      <c r="O391" s="1" t="s">
        <v>957</v>
      </c>
      <c r="P391" s="3">
        <v>44634.81041666667</v>
      </c>
      <c r="Q391" s="3">
        <v>45526.57638888889</v>
      </c>
      <c r="R391" s="1" t="s">
        <v>2031</v>
      </c>
      <c r="S391" s="1" t="s">
        <v>2031</v>
      </c>
      <c r="T391" s="1" t="s">
        <v>38</v>
      </c>
      <c r="U391" s="1" t="s">
        <v>38</v>
      </c>
      <c r="V391" s="1" t="s">
        <v>75</v>
      </c>
      <c r="W391" s="1" t="s">
        <v>69</v>
      </c>
      <c r="X391" s="1" t="s">
        <v>69</v>
      </c>
      <c r="Y391" s="3">
        <v>44645.529861111114</v>
      </c>
      <c r="AA391" s="1">
        <v>1666192.0</v>
      </c>
      <c r="AB391" s="1" t="s">
        <v>55</v>
      </c>
      <c r="AC391" s="1" t="s">
        <v>2032</v>
      </c>
      <c r="AD391" s="1" t="s">
        <v>2033</v>
      </c>
      <c r="AE391" s="1" t="s">
        <v>55</v>
      </c>
    </row>
    <row r="392" ht="56.25" customHeight="1">
      <c r="A392" s="1">
        <v>4.488765940493E12</v>
      </c>
      <c r="B392" s="2" t="s">
        <v>2034</v>
      </c>
      <c r="C392" s="2" t="s">
        <v>2035</v>
      </c>
      <c r="D392" s="1">
        <v>2.6343329307E10</v>
      </c>
      <c r="E392" s="1" t="s">
        <v>1327</v>
      </c>
      <c r="F392" s="1" t="b">
        <v>0</v>
      </c>
      <c r="G392" s="1" t="s">
        <v>34</v>
      </c>
      <c r="H392" s="1" t="b">
        <v>1</v>
      </c>
      <c r="I392" s="1">
        <v>33.0</v>
      </c>
      <c r="J392" s="1">
        <v>0.0</v>
      </c>
      <c r="K392" s="1">
        <v>0.0</v>
      </c>
      <c r="L392" s="1">
        <v>3.60010221392E11</v>
      </c>
      <c r="M392" s="1" t="s">
        <v>956</v>
      </c>
      <c r="N392" s="1" t="str">
        <f t="array" ref="N392">XLOOKUP(A:A,'CategoriasSeções'!A:A,'CategoriasSeções'!B:B)</f>
        <v>Comunicados</v>
      </c>
      <c r="O392" s="1" t="s">
        <v>957</v>
      </c>
      <c r="P392" s="3">
        <v>44616.60486111111</v>
      </c>
      <c r="Q392" s="3">
        <v>45526.55972222222</v>
      </c>
      <c r="R392" s="1" t="s">
        <v>2036</v>
      </c>
      <c r="S392" s="1" t="s">
        <v>2036</v>
      </c>
      <c r="T392" s="1" t="s">
        <v>38</v>
      </c>
      <c r="U392" s="1" t="s">
        <v>38</v>
      </c>
      <c r="V392" s="1" t="s">
        <v>75</v>
      </c>
      <c r="W392" s="1" t="s">
        <v>69</v>
      </c>
      <c r="X392" s="1" t="s">
        <v>69</v>
      </c>
      <c r="Y392" s="12">
        <v>45224.68194444444</v>
      </c>
      <c r="AA392" s="1">
        <v>1666192.0</v>
      </c>
      <c r="AB392" s="1" t="s">
        <v>55</v>
      </c>
      <c r="AC392" s="1" t="s">
        <v>2037</v>
      </c>
      <c r="AD392" s="1" t="s">
        <v>2038</v>
      </c>
      <c r="AE392" s="1" t="s">
        <v>55</v>
      </c>
    </row>
    <row r="393" ht="56.25" customHeight="1">
      <c r="A393" s="1">
        <v>4.423660733069E12</v>
      </c>
      <c r="B393" s="2" t="s">
        <v>2039</v>
      </c>
      <c r="C393" s="2" t="s">
        <v>2040</v>
      </c>
      <c r="D393" s="1">
        <v>2.6343329307E10</v>
      </c>
      <c r="E393" s="1" t="s">
        <v>1327</v>
      </c>
      <c r="F393" s="1" t="b">
        <v>0</v>
      </c>
      <c r="G393" s="1" t="s">
        <v>34</v>
      </c>
      <c r="H393" s="1" t="b">
        <v>0</v>
      </c>
      <c r="I393" s="1">
        <v>34.0</v>
      </c>
      <c r="J393" s="1">
        <v>0.0</v>
      </c>
      <c r="K393" s="1">
        <v>0.0</v>
      </c>
      <c r="L393" s="1">
        <v>3.60010221392E11</v>
      </c>
      <c r="M393" s="1" t="s">
        <v>956</v>
      </c>
      <c r="N393" s="1" t="str">
        <f t="array" ref="N393">XLOOKUP(A:A,'CategoriasSeções'!A:A,'CategoriasSeções'!B:B)</f>
        <v>Comunicados</v>
      </c>
      <c r="O393" s="1" t="s">
        <v>957</v>
      </c>
      <c r="P393" s="3">
        <v>44592.79027777778</v>
      </c>
      <c r="Q393" s="3">
        <v>45526.46388888889</v>
      </c>
      <c r="R393" s="1" t="s">
        <v>2041</v>
      </c>
      <c r="S393" s="1" t="s">
        <v>2041</v>
      </c>
      <c r="T393" s="1" t="s">
        <v>38</v>
      </c>
      <c r="U393" s="1" t="s">
        <v>38</v>
      </c>
      <c r="V393" s="1" t="s">
        <v>75</v>
      </c>
      <c r="W393" s="1" t="s">
        <v>69</v>
      </c>
      <c r="X393" s="1" t="s">
        <v>69</v>
      </c>
      <c r="Y393" s="3">
        <v>44592.79027777778</v>
      </c>
      <c r="AA393" s="1">
        <v>1666192.0</v>
      </c>
      <c r="AB393" s="1" t="s">
        <v>55</v>
      </c>
      <c r="AC393" s="1" t="s">
        <v>2042</v>
      </c>
      <c r="AD393" s="1" t="s">
        <v>2043</v>
      </c>
      <c r="AE393" s="1" t="s">
        <v>55</v>
      </c>
    </row>
    <row r="394" ht="56.25" customHeight="1">
      <c r="A394" s="1">
        <v>4.420759921677E12</v>
      </c>
      <c r="B394" s="2" t="s">
        <v>2044</v>
      </c>
      <c r="C394" s="2" t="s">
        <v>2045</v>
      </c>
      <c r="D394" s="1">
        <v>2.6343329307E10</v>
      </c>
      <c r="E394" s="1" t="s">
        <v>1327</v>
      </c>
      <c r="F394" s="1" t="b">
        <v>0</v>
      </c>
      <c r="G394" s="1" t="s">
        <v>34</v>
      </c>
      <c r="H394" s="1" t="b">
        <v>0</v>
      </c>
      <c r="I394" s="1">
        <v>35.0</v>
      </c>
      <c r="J394" s="1">
        <v>0.0</v>
      </c>
      <c r="K394" s="1">
        <v>0.0</v>
      </c>
      <c r="L394" s="1">
        <v>3.60010221392E11</v>
      </c>
      <c r="M394" s="1" t="s">
        <v>956</v>
      </c>
      <c r="N394" s="1" t="str">
        <f t="array" ref="N394">XLOOKUP(A:A,'CategoriasSeções'!A:A,'CategoriasSeções'!B:B)</f>
        <v>Comunicados</v>
      </c>
      <c r="O394" s="1" t="s">
        <v>957</v>
      </c>
      <c r="P394" s="3">
        <v>44575.4875</v>
      </c>
      <c r="Q394" s="3">
        <v>45526.57638888889</v>
      </c>
      <c r="R394" s="1" t="s">
        <v>2046</v>
      </c>
      <c r="S394" s="1" t="s">
        <v>2046</v>
      </c>
      <c r="T394" s="1" t="s">
        <v>38</v>
      </c>
      <c r="U394" s="1" t="s">
        <v>38</v>
      </c>
      <c r="V394" s="1" t="s">
        <v>75</v>
      </c>
      <c r="W394" s="1" t="s">
        <v>69</v>
      </c>
      <c r="X394" s="1" t="s">
        <v>69</v>
      </c>
      <c r="Y394" s="3">
        <v>44575.48819444444</v>
      </c>
      <c r="AA394" s="1">
        <v>1666192.0</v>
      </c>
      <c r="AB394" s="1" t="s">
        <v>55</v>
      </c>
      <c r="AC394" s="1" t="s">
        <v>2047</v>
      </c>
      <c r="AD394" s="1" t="s">
        <v>2048</v>
      </c>
      <c r="AE394" s="1" t="s">
        <v>55</v>
      </c>
    </row>
    <row r="395" ht="56.25" customHeight="1">
      <c r="A395" s="1">
        <v>4.405629521421E12</v>
      </c>
      <c r="B395" s="2" t="s">
        <v>2049</v>
      </c>
      <c r="C395" s="2" t="s">
        <v>2050</v>
      </c>
      <c r="D395" s="1">
        <v>2.6605230167E10</v>
      </c>
      <c r="E395" s="1" t="s">
        <v>964</v>
      </c>
      <c r="F395" s="1" t="b">
        <v>0</v>
      </c>
      <c r="G395" s="1" t="s">
        <v>34</v>
      </c>
      <c r="H395" s="1" t="b">
        <v>0</v>
      </c>
      <c r="I395" s="1">
        <v>36.0</v>
      </c>
      <c r="J395" s="1">
        <v>0.0</v>
      </c>
      <c r="K395" s="1">
        <v>0.0</v>
      </c>
      <c r="L395" s="1">
        <v>3.60010221392E11</v>
      </c>
      <c r="M395" s="1" t="s">
        <v>956</v>
      </c>
      <c r="N395" s="1" t="str">
        <f t="array" ref="N395">XLOOKUP(A:A,'CategoriasSeções'!A:A,'CategoriasSeções'!B:B)</f>
        <v>Comunicados</v>
      </c>
      <c r="O395" s="1" t="s">
        <v>957</v>
      </c>
      <c r="P395" s="3">
        <v>44400.717361111114</v>
      </c>
      <c r="Q395" s="3">
        <v>45526.611805555556</v>
      </c>
      <c r="R395" s="1" t="s">
        <v>2051</v>
      </c>
      <c r="S395" s="1" t="s">
        <v>2051</v>
      </c>
      <c r="T395" s="1" t="s">
        <v>38</v>
      </c>
      <c r="U395" s="1" t="s">
        <v>38</v>
      </c>
      <c r="V395" s="1" t="s">
        <v>75</v>
      </c>
      <c r="W395" s="1" t="s">
        <v>69</v>
      </c>
      <c r="X395" s="1" t="s">
        <v>69</v>
      </c>
      <c r="Y395" s="3">
        <v>44400.71805555555</v>
      </c>
      <c r="AA395" s="1">
        <v>1666192.0</v>
      </c>
      <c r="AB395" s="1" t="s">
        <v>55</v>
      </c>
      <c r="AC395" s="1" t="s">
        <v>2052</v>
      </c>
      <c r="AD395" s="1" t="s">
        <v>2053</v>
      </c>
      <c r="AE395" s="1" t="s">
        <v>55</v>
      </c>
    </row>
    <row r="396" ht="56.25" customHeight="1">
      <c r="A396" s="1">
        <v>4.404537138189E12</v>
      </c>
      <c r="B396" s="2" t="s">
        <v>2054</v>
      </c>
      <c r="C396" s="2" t="s">
        <v>2055</v>
      </c>
      <c r="D396" s="1">
        <v>3.66007950231E11</v>
      </c>
      <c r="E396" s="1" t="s">
        <v>2056</v>
      </c>
      <c r="F396" s="1" t="b">
        <v>0</v>
      </c>
      <c r="G396" s="1" t="s">
        <v>34</v>
      </c>
      <c r="H396" s="1" t="b">
        <v>0</v>
      </c>
      <c r="I396" s="1">
        <v>37.0</v>
      </c>
      <c r="J396" s="1">
        <v>0.0</v>
      </c>
      <c r="K396" s="1">
        <v>0.0</v>
      </c>
      <c r="L396" s="1">
        <v>3.60010221392E11</v>
      </c>
      <c r="M396" s="1" t="s">
        <v>956</v>
      </c>
      <c r="N396" s="1" t="str">
        <f t="array" ref="N396">XLOOKUP(A:A,'CategoriasSeções'!A:A,'CategoriasSeções'!B:B)</f>
        <v>Comunicados</v>
      </c>
      <c r="O396" s="1" t="s">
        <v>957</v>
      </c>
      <c r="P396" s="3">
        <v>44384.8375</v>
      </c>
      <c r="Q396" s="3">
        <v>45526.51875</v>
      </c>
      <c r="R396" s="1" t="s">
        <v>2057</v>
      </c>
      <c r="S396" s="1" t="s">
        <v>2057</v>
      </c>
      <c r="T396" s="1" t="s">
        <v>38</v>
      </c>
      <c r="U396" s="1" t="s">
        <v>38</v>
      </c>
      <c r="V396" s="1" t="s">
        <v>75</v>
      </c>
      <c r="W396" s="1" t="s">
        <v>69</v>
      </c>
      <c r="X396" s="1" t="s">
        <v>69</v>
      </c>
      <c r="Y396" s="3">
        <v>44384.83888888889</v>
      </c>
      <c r="AA396" s="1">
        <v>1666192.0</v>
      </c>
      <c r="AB396" s="1" t="s">
        <v>55</v>
      </c>
      <c r="AC396" s="1" t="s">
        <v>2058</v>
      </c>
      <c r="AD396" s="1" t="s">
        <v>2059</v>
      </c>
      <c r="AE396" s="1" t="s">
        <v>55</v>
      </c>
    </row>
    <row r="397" ht="56.25" customHeight="1">
      <c r="A397" s="1">
        <v>3.60062373751E11</v>
      </c>
      <c r="B397" s="2" t="s">
        <v>2060</v>
      </c>
      <c r="C397" s="2" t="s">
        <v>2061</v>
      </c>
      <c r="D397" s="1">
        <v>2.6343329307E10</v>
      </c>
      <c r="E397" s="1" t="s">
        <v>1327</v>
      </c>
      <c r="F397" s="1" t="b">
        <v>0</v>
      </c>
      <c r="G397" s="1" t="s">
        <v>34</v>
      </c>
      <c r="H397" s="1" t="b">
        <v>0</v>
      </c>
      <c r="I397" s="1">
        <v>38.0</v>
      </c>
      <c r="J397" s="1">
        <v>0.0</v>
      </c>
      <c r="K397" s="1">
        <v>0.0</v>
      </c>
      <c r="L397" s="1">
        <v>3.60010221392E11</v>
      </c>
      <c r="M397" s="1" t="s">
        <v>956</v>
      </c>
      <c r="N397" s="1" t="str">
        <f t="array" ref="N397">XLOOKUP(A:A,'CategoriasSeções'!A:A,'CategoriasSeções'!B:B)</f>
        <v>Comunicados</v>
      </c>
      <c r="O397" s="1" t="s">
        <v>957</v>
      </c>
      <c r="P397" s="3">
        <v>44347.646527777775</v>
      </c>
      <c r="Q397" s="3">
        <v>45526.53888888889</v>
      </c>
      <c r="R397" s="1" t="s">
        <v>2062</v>
      </c>
      <c r="S397" s="1" t="s">
        <v>2062</v>
      </c>
      <c r="T397" s="1" t="s">
        <v>38</v>
      </c>
      <c r="U397" s="1" t="s">
        <v>38</v>
      </c>
      <c r="V397" s="1" t="s">
        <v>75</v>
      </c>
      <c r="W397" s="1" t="s">
        <v>69</v>
      </c>
      <c r="X397" s="1" t="s">
        <v>69</v>
      </c>
      <c r="Y397" s="3">
        <v>44347.64791666667</v>
      </c>
      <c r="AA397" s="1">
        <v>1666192.0</v>
      </c>
      <c r="AB397" s="1" t="s">
        <v>55</v>
      </c>
      <c r="AC397" s="1" t="s">
        <v>2063</v>
      </c>
      <c r="AD397" s="1" t="s">
        <v>2064</v>
      </c>
      <c r="AE397" s="1" t="s">
        <v>55</v>
      </c>
    </row>
    <row r="398" ht="56.25" customHeight="1">
      <c r="A398" s="1">
        <v>3.60061215691E11</v>
      </c>
      <c r="B398" s="2" t="s">
        <v>2065</v>
      </c>
      <c r="C398" s="2" t="s">
        <v>2066</v>
      </c>
      <c r="D398" s="1">
        <v>2.6343329307E10</v>
      </c>
      <c r="E398" s="1" t="s">
        <v>1327</v>
      </c>
      <c r="F398" s="1" t="b">
        <v>0</v>
      </c>
      <c r="G398" s="1" t="s">
        <v>34</v>
      </c>
      <c r="H398" s="1" t="b">
        <v>0</v>
      </c>
      <c r="I398" s="1">
        <v>39.0</v>
      </c>
      <c r="J398" s="1">
        <v>0.0</v>
      </c>
      <c r="K398" s="1">
        <v>0.0</v>
      </c>
      <c r="L398" s="1">
        <v>3.60010221392E11</v>
      </c>
      <c r="M398" s="1" t="s">
        <v>956</v>
      </c>
      <c r="N398" s="1" t="str">
        <f t="array" ref="N398">XLOOKUP(A:A,'CategoriasSeções'!A:A,'CategoriasSeções'!B:B)</f>
        <v>Comunicados</v>
      </c>
      <c r="O398" s="1" t="s">
        <v>957</v>
      </c>
      <c r="P398" s="3">
        <v>44329.47083333333</v>
      </c>
      <c r="Q398" s="3">
        <v>45526.59027777778</v>
      </c>
      <c r="R398" s="1" t="s">
        <v>2067</v>
      </c>
      <c r="S398" s="1" t="s">
        <v>2067</v>
      </c>
      <c r="T398" s="1" t="s">
        <v>38</v>
      </c>
      <c r="U398" s="1" t="s">
        <v>38</v>
      </c>
      <c r="V398" s="1" t="s">
        <v>75</v>
      </c>
      <c r="W398" s="1" t="s">
        <v>69</v>
      </c>
      <c r="X398" s="1" t="s">
        <v>69</v>
      </c>
      <c r="Y398" s="3">
        <v>44329.47083333333</v>
      </c>
      <c r="AA398" s="1">
        <v>1666192.0</v>
      </c>
      <c r="AB398" s="1" t="s">
        <v>55</v>
      </c>
      <c r="AC398" s="1" t="s">
        <v>2068</v>
      </c>
      <c r="AD398" s="1" t="s">
        <v>2069</v>
      </c>
      <c r="AE398" s="1" t="s">
        <v>55</v>
      </c>
    </row>
    <row r="399" ht="56.25" customHeight="1">
      <c r="A399" s="1">
        <v>3.60057727691E11</v>
      </c>
      <c r="B399" s="2" t="s">
        <v>2070</v>
      </c>
      <c r="C399" s="2" t="s">
        <v>2071</v>
      </c>
      <c r="D399" s="1">
        <v>2.6605230167E10</v>
      </c>
      <c r="E399" s="1" t="s">
        <v>964</v>
      </c>
      <c r="F399" s="1" t="b">
        <v>0</v>
      </c>
      <c r="G399" s="1" t="s">
        <v>34</v>
      </c>
      <c r="H399" s="1" t="b">
        <v>0</v>
      </c>
      <c r="I399" s="1">
        <v>40.0</v>
      </c>
      <c r="J399" s="1">
        <v>0.0</v>
      </c>
      <c r="K399" s="1">
        <v>0.0</v>
      </c>
      <c r="L399" s="1">
        <v>3.60010221392E11</v>
      </c>
      <c r="M399" s="1" t="s">
        <v>956</v>
      </c>
      <c r="N399" s="1" t="str">
        <f t="array" ref="N399">XLOOKUP(A:A,'CategoriasSeções'!A:A,'CategoriasSeções'!B:B)</f>
        <v>Comunicados</v>
      </c>
      <c r="O399" s="1" t="s">
        <v>957</v>
      </c>
      <c r="P399" s="3">
        <v>44257.71944444445</v>
      </c>
      <c r="Q399" s="3">
        <v>45526.620833333334</v>
      </c>
      <c r="R399" s="1" t="s">
        <v>2072</v>
      </c>
      <c r="S399" s="1" t="s">
        <v>2072</v>
      </c>
      <c r="T399" s="1" t="s">
        <v>38</v>
      </c>
      <c r="U399" s="1" t="s">
        <v>38</v>
      </c>
      <c r="V399" s="1" t="s">
        <v>75</v>
      </c>
      <c r="W399" s="1" t="s">
        <v>69</v>
      </c>
      <c r="X399" s="1" t="s">
        <v>69</v>
      </c>
      <c r="Y399" s="3">
        <v>44272.58541666667</v>
      </c>
      <c r="AA399" s="1">
        <v>1666192.0</v>
      </c>
      <c r="AB399" s="1" t="s">
        <v>55</v>
      </c>
      <c r="AC399" s="1" t="s">
        <v>2073</v>
      </c>
      <c r="AD399" s="1" t="s">
        <v>2074</v>
      </c>
      <c r="AE399" s="1" t="s">
        <v>55</v>
      </c>
    </row>
    <row r="400" ht="56.25" customHeight="1">
      <c r="A400" s="1">
        <v>3.60055628451E11</v>
      </c>
      <c r="B400" s="2" t="s">
        <v>2075</v>
      </c>
      <c r="C400" s="2" t="s">
        <v>2076</v>
      </c>
      <c r="D400" s="1">
        <v>2.6343329307E10</v>
      </c>
      <c r="E400" s="1" t="s">
        <v>1327</v>
      </c>
      <c r="F400" s="1" t="b">
        <v>0</v>
      </c>
      <c r="G400" s="1" t="s">
        <v>34</v>
      </c>
      <c r="H400" s="1" t="b">
        <v>0</v>
      </c>
      <c r="I400" s="1">
        <v>41.0</v>
      </c>
      <c r="J400" s="1">
        <v>0.0</v>
      </c>
      <c r="K400" s="1">
        <v>0.0</v>
      </c>
      <c r="L400" s="1">
        <v>3.60010221392E11</v>
      </c>
      <c r="M400" s="1" t="s">
        <v>956</v>
      </c>
      <c r="N400" s="1" t="str">
        <f t="array" ref="N400">XLOOKUP(A:A,'CategoriasSeções'!A:A,'CategoriasSeções'!B:B)</f>
        <v>Comunicados</v>
      </c>
      <c r="O400" s="1" t="s">
        <v>957</v>
      </c>
      <c r="P400" s="3">
        <v>44214.85625</v>
      </c>
      <c r="Q400" s="3">
        <v>45526.611805555556</v>
      </c>
      <c r="R400" s="1" t="s">
        <v>2077</v>
      </c>
      <c r="S400" s="1" t="s">
        <v>2077</v>
      </c>
      <c r="T400" s="1" t="s">
        <v>38</v>
      </c>
      <c r="U400" s="1" t="s">
        <v>38</v>
      </c>
      <c r="V400" s="1" t="s">
        <v>75</v>
      </c>
      <c r="W400" s="1" t="s">
        <v>69</v>
      </c>
      <c r="X400" s="1" t="s">
        <v>69</v>
      </c>
      <c r="Y400" s="3">
        <v>44214.85625</v>
      </c>
      <c r="AA400" s="1">
        <v>1666192.0</v>
      </c>
      <c r="AB400" s="1" t="s">
        <v>55</v>
      </c>
      <c r="AC400" s="1" t="s">
        <v>2078</v>
      </c>
      <c r="AD400" s="1" t="s">
        <v>2079</v>
      </c>
      <c r="AE400" s="1" t="s">
        <v>55</v>
      </c>
    </row>
    <row r="401" ht="56.25" customHeight="1">
      <c r="A401" s="1">
        <v>3.60053114852E11</v>
      </c>
      <c r="B401" s="2" t="s">
        <v>2080</v>
      </c>
      <c r="C401" s="2" t="s">
        <v>2081</v>
      </c>
      <c r="D401" s="1">
        <v>2.6343329307E10</v>
      </c>
      <c r="E401" s="1" t="s">
        <v>1327</v>
      </c>
      <c r="F401" s="1" t="b">
        <v>0</v>
      </c>
      <c r="G401" s="1" t="s">
        <v>34</v>
      </c>
      <c r="H401" s="1" t="b">
        <v>0</v>
      </c>
      <c r="I401" s="1">
        <v>42.0</v>
      </c>
      <c r="J401" s="1">
        <v>0.0</v>
      </c>
      <c r="K401" s="1">
        <v>0.0</v>
      </c>
      <c r="L401" s="1">
        <v>3.60010221392E11</v>
      </c>
      <c r="M401" s="1" t="s">
        <v>956</v>
      </c>
      <c r="N401" s="1" t="str">
        <f t="array" ref="N401">XLOOKUP(A:A,'CategoriasSeções'!A:A,'CategoriasSeções'!B:B)</f>
        <v>Comunicados</v>
      </c>
      <c r="O401" s="1" t="s">
        <v>957</v>
      </c>
      <c r="P401" s="12">
        <v>44175.59444444445</v>
      </c>
      <c r="Q401" s="3">
        <v>45526.42152777778</v>
      </c>
      <c r="R401" s="1" t="s">
        <v>2082</v>
      </c>
      <c r="S401" s="1" t="s">
        <v>2082</v>
      </c>
      <c r="T401" s="1" t="s">
        <v>38</v>
      </c>
      <c r="U401" s="1" t="s">
        <v>38</v>
      </c>
      <c r="V401" s="1" t="s">
        <v>75</v>
      </c>
      <c r="W401" s="1" t="s">
        <v>69</v>
      </c>
      <c r="X401" s="1" t="s">
        <v>69</v>
      </c>
      <c r="Y401" s="12">
        <v>44175.59444444445</v>
      </c>
      <c r="AA401" s="1">
        <v>1666192.0</v>
      </c>
      <c r="AB401" s="1" t="s">
        <v>55</v>
      </c>
      <c r="AC401" s="1" t="s">
        <v>2083</v>
      </c>
      <c r="AD401" s="1" t="s">
        <v>2084</v>
      </c>
      <c r="AE401" s="1" t="s">
        <v>55</v>
      </c>
    </row>
    <row r="402" ht="56.25" customHeight="1">
      <c r="A402" s="1">
        <v>3.60053183451E11</v>
      </c>
      <c r="B402" s="2" t="s">
        <v>2085</v>
      </c>
      <c r="C402" s="2" t="s">
        <v>2086</v>
      </c>
      <c r="D402" s="1">
        <v>2.6343329307E10</v>
      </c>
      <c r="E402" s="1" t="s">
        <v>1327</v>
      </c>
      <c r="F402" s="1" t="b">
        <v>0</v>
      </c>
      <c r="G402" s="1" t="s">
        <v>34</v>
      </c>
      <c r="H402" s="1" t="b">
        <v>0</v>
      </c>
      <c r="I402" s="1">
        <v>43.0</v>
      </c>
      <c r="J402" s="1">
        <v>0.0</v>
      </c>
      <c r="K402" s="1">
        <v>0.0</v>
      </c>
      <c r="L402" s="1">
        <v>3.60010221392E11</v>
      </c>
      <c r="M402" s="1" t="s">
        <v>956</v>
      </c>
      <c r="N402" s="1" t="str">
        <f t="array" ref="N402">XLOOKUP(A:A,'CategoriasSeções'!A:A,'CategoriasSeções'!B:B)</f>
        <v>Comunicados</v>
      </c>
      <c r="O402" s="1" t="s">
        <v>957</v>
      </c>
      <c r="P402" s="3">
        <v>44167.43472222222</v>
      </c>
      <c r="Q402" s="3">
        <v>45526.52222222222</v>
      </c>
      <c r="R402" s="1" t="s">
        <v>2087</v>
      </c>
      <c r="S402" s="1" t="s">
        <v>2087</v>
      </c>
      <c r="T402" s="1" t="s">
        <v>38</v>
      </c>
      <c r="U402" s="1" t="s">
        <v>38</v>
      </c>
      <c r="V402" s="1" t="s">
        <v>75</v>
      </c>
      <c r="W402" s="1" t="s">
        <v>69</v>
      </c>
      <c r="X402" s="1" t="s">
        <v>69</v>
      </c>
      <c r="Y402" s="3">
        <v>44167.43541666667</v>
      </c>
      <c r="AA402" s="1">
        <v>1666192.0</v>
      </c>
      <c r="AB402" s="1" t="s">
        <v>55</v>
      </c>
      <c r="AC402" s="1" t="s">
        <v>2088</v>
      </c>
      <c r="AD402" s="1" t="s">
        <v>2089</v>
      </c>
      <c r="AE402" s="1" t="s">
        <v>55</v>
      </c>
    </row>
    <row r="403" ht="56.25" customHeight="1">
      <c r="A403" s="1">
        <v>3.60052322731E11</v>
      </c>
      <c r="B403" s="2" t="s">
        <v>2090</v>
      </c>
      <c r="C403" s="2" t="s">
        <v>2091</v>
      </c>
      <c r="D403" s="1">
        <v>2.6343329307E10</v>
      </c>
      <c r="E403" s="1" t="s">
        <v>1327</v>
      </c>
      <c r="F403" s="1" t="b">
        <v>0</v>
      </c>
      <c r="G403" s="1" t="s">
        <v>34</v>
      </c>
      <c r="H403" s="1" t="b">
        <v>0</v>
      </c>
      <c r="I403" s="1">
        <v>44.0</v>
      </c>
      <c r="J403" s="1">
        <v>0.0</v>
      </c>
      <c r="K403" s="1">
        <v>0.0</v>
      </c>
      <c r="L403" s="1">
        <v>3.60010221392E11</v>
      </c>
      <c r="M403" s="1" t="s">
        <v>956</v>
      </c>
      <c r="N403" s="1" t="str">
        <f t="array" ref="N403">XLOOKUP(A:A,'CategoriasSeções'!A:A,'CategoriasSeções'!B:B)</f>
        <v>Comunicados</v>
      </c>
      <c r="O403" s="1" t="s">
        <v>957</v>
      </c>
      <c r="P403" s="3">
        <v>44144.532638888886</v>
      </c>
      <c r="Q403" s="3">
        <v>45526.53888888889</v>
      </c>
      <c r="R403" s="1" t="s">
        <v>2092</v>
      </c>
      <c r="S403" s="1" t="s">
        <v>2092</v>
      </c>
      <c r="T403" s="1" t="s">
        <v>38</v>
      </c>
      <c r="U403" s="1" t="s">
        <v>38</v>
      </c>
      <c r="V403" s="1" t="s">
        <v>75</v>
      </c>
      <c r="W403" s="1" t="s">
        <v>69</v>
      </c>
      <c r="X403" s="1" t="s">
        <v>69</v>
      </c>
      <c r="Y403" s="12">
        <v>44161.50486111111</v>
      </c>
      <c r="AA403" s="1">
        <v>1666192.0</v>
      </c>
      <c r="AB403" s="1" t="s">
        <v>55</v>
      </c>
      <c r="AC403" s="1" t="s">
        <v>2093</v>
      </c>
      <c r="AD403" s="1" t="s">
        <v>2094</v>
      </c>
      <c r="AE403" s="1" t="s">
        <v>55</v>
      </c>
    </row>
    <row r="404" ht="56.25" customHeight="1">
      <c r="A404" s="1">
        <v>3.60052322631E11</v>
      </c>
      <c r="B404" s="2" t="s">
        <v>2095</v>
      </c>
      <c r="C404" s="2" t="s">
        <v>2096</v>
      </c>
      <c r="D404" s="1">
        <v>2.6343329307E10</v>
      </c>
      <c r="E404" s="1" t="s">
        <v>1327</v>
      </c>
      <c r="F404" s="1" t="b">
        <v>0</v>
      </c>
      <c r="G404" s="1" t="s">
        <v>34</v>
      </c>
      <c r="H404" s="1" t="b">
        <v>0</v>
      </c>
      <c r="I404" s="1">
        <v>45.0</v>
      </c>
      <c r="J404" s="1">
        <v>0.0</v>
      </c>
      <c r="K404" s="1">
        <v>0.0</v>
      </c>
      <c r="L404" s="1">
        <v>3.60010221392E11</v>
      </c>
      <c r="M404" s="1" t="s">
        <v>956</v>
      </c>
      <c r="N404" s="1" t="str">
        <f t="array" ref="N404">XLOOKUP(A:A,'CategoriasSeções'!A:A,'CategoriasSeções'!B:B)</f>
        <v>Comunicados</v>
      </c>
      <c r="O404" s="1" t="s">
        <v>957</v>
      </c>
      <c r="P404" s="3">
        <v>44144.529861111114</v>
      </c>
      <c r="Q404" s="3">
        <v>45526.55972222222</v>
      </c>
      <c r="R404" s="1" t="s">
        <v>2097</v>
      </c>
      <c r="S404" s="1" t="s">
        <v>2097</v>
      </c>
      <c r="T404" s="1" t="s">
        <v>38</v>
      </c>
      <c r="U404" s="1" t="s">
        <v>38</v>
      </c>
      <c r="V404" s="1" t="s">
        <v>75</v>
      </c>
      <c r="W404" s="1" t="s">
        <v>69</v>
      </c>
      <c r="X404" s="1" t="s">
        <v>69</v>
      </c>
      <c r="Y404" s="12">
        <v>44161.48055555556</v>
      </c>
      <c r="AA404" s="1">
        <v>1666192.0</v>
      </c>
      <c r="AB404" s="1" t="s">
        <v>55</v>
      </c>
      <c r="AC404" s="1" t="s">
        <v>2098</v>
      </c>
      <c r="AD404" s="1" t="s">
        <v>2099</v>
      </c>
      <c r="AE404" s="1" t="s">
        <v>55</v>
      </c>
    </row>
    <row r="405" ht="56.25" customHeight="1">
      <c r="A405" s="1">
        <v>3.60051868352E11</v>
      </c>
      <c r="B405" s="2" t="s">
        <v>2100</v>
      </c>
      <c r="C405" s="2" t="s">
        <v>2101</v>
      </c>
      <c r="D405" s="1">
        <v>2.6343329307E10</v>
      </c>
      <c r="E405" s="1" t="s">
        <v>1327</v>
      </c>
      <c r="F405" s="1" t="b">
        <v>0</v>
      </c>
      <c r="G405" s="1" t="s">
        <v>34</v>
      </c>
      <c r="H405" s="1" t="b">
        <v>0</v>
      </c>
      <c r="I405" s="1">
        <v>46.0</v>
      </c>
      <c r="J405" s="1">
        <v>0.0</v>
      </c>
      <c r="K405" s="1">
        <v>0.0</v>
      </c>
      <c r="L405" s="1">
        <v>3.60010221392E11</v>
      </c>
      <c r="M405" s="1" t="s">
        <v>956</v>
      </c>
      <c r="N405" s="1" t="str">
        <f t="array" ref="N405">XLOOKUP(A:A,'CategoriasSeções'!A:A,'CategoriasSeções'!B:B)</f>
        <v>Comunicados</v>
      </c>
      <c r="O405" s="1" t="s">
        <v>957</v>
      </c>
      <c r="P405" s="3">
        <v>44144.525</v>
      </c>
      <c r="Q405" s="3">
        <v>45526.455555555556</v>
      </c>
      <c r="R405" s="1" t="s">
        <v>2102</v>
      </c>
      <c r="S405" s="1" t="s">
        <v>2102</v>
      </c>
      <c r="T405" s="1" t="s">
        <v>38</v>
      </c>
      <c r="U405" s="1" t="s">
        <v>38</v>
      </c>
      <c r="V405" s="1" t="s">
        <v>75</v>
      </c>
      <c r="W405" s="1" t="s">
        <v>69</v>
      </c>
      <c r="X405" s="1" t="s">
        <v>69</v>
      </c>
      <c r="Y405" s="12">
        <v>44161.464583333334</v>
      </c>
      <c r="AA405" s="1">
        <v>1666192.0</v>
      </c>
      <c r="AB405" s="1" t="s">
        <v>55</v>
      </c>
      <c r="AC405" s="1" t="s">
        <v>2103</v>
      </c>
      <c r="AD405" s="1" t="s">
        <v>2104</v>
      </c>
      <c r="AE405" s="1" t="s">
        <v>55</v>
      </c>
    </row>
    <row r="406" ht="56.25" customHeight="1">
      <c r="A406" s="1">
        <v>3.60047722531E11</v>
      </c>
      <c r="B406" s="2" t="s">
        <v>2105</v>
      </c>
      <c r="C406" s="2" t="s">
        <v>2106</v>
      </c>
      <c r="D406" s="1">
        <v>2.6343329307E10</v>
      </c>
      <c r="E406" s="1" t="s">
        <v>1327</v>
      </c>
      <c r="F406" s="1" t="b">
        <v>0</v>
      </c>
      <c r="G406" s="1" t="s">
        <v>34</v>
      </c>
      <c r="H406" s="1" t="b">
        <v>0</v>
      </c>
      <c r="I406" s="1">
        <v>47.0</v>
      </c>
      <c r="J406" s="1">
        <v>0.0</v>
      </c>
      <c r="K406" s="1">
        <v>0.0</v>
      </c>
      <c r="L406" s="1">
        <v>3.60010221392E11</v>
      </c>
      <c r="M406" s="1" t="s">
        <v>956</v>
      </c>
      <c r="N406" s="1" t="str">
        <f t="array" ref="N406">XLOOKUP(A:A,'CategoriasSeções'!A:A,'CategoriasSeções'!B:B)</f>
        <v>Comunicados</v>
      </c>
      <c r="O406" s="1" t="s">
        <v>957</v>
      </c>
      <c r="P406" s="3">
        <v>44056.48472222222</v>
      </c>
      <c r="Q406" s="3">
        <v>45526.51875</v>
      </c>
      <c r="R406" s="1" t="s">
        <v>2107</v>
      </c>
      <c r="S406" s="1" t="s">
        <v>2107</v>
      </c>
      <c r="T406" s="1" t="s">
        <v>38</v>
      </c>
      <c r="U406" s="1" t="s">
        <v>38</v>
      </c>
      <c r="V406" s="1" t="s">
        <v>75</v>
      </c>
      <c r="W406" s="1" t="s">
        <v>69</v>
      </c>
      <c r="X406" s="1" t="s">
        <v>69</v>
      </c>
      <c r="Y406" s="3">
        <v>44077.70138888889</v>
      </c>
      <c r="AA406" s="1">
        <v>1666192.0</v>
      </c>
      <c r="AB406" s="1" t="s">
        <v>55</v>
      </c>
      <c r="AC406" s="1" t="s">
        <v>2108</v>
      </c>
      <c r="AD406" s="1" t="s">
        <v>2109</v>
      </c>
      <c r="AE406" s="1" t="s">
        <v>55</v>
      </c>
    </row>
    <row r="407" ht="56.25" customHeight="1">
      <c r="A407" s="1">
        <v>3.60044574571E11</v>
      </c>
      <c r="B407" s="2" t="s">
        <v>2110</v>
      </c>
      <c r="C407" s="2" t="s">
        <v>2111</v>
      </c>
      <c r="D407" s="1">
        <v>2.6343329307E10</v>
      </c>
      <c r="E407" s="1" t="s">
        <v>1327</v>
      </c>
      <c r="F407" s="1" t="b">
        <v>0</v>
      </c>
      <c r="G407" s="1" t="s">
        <v>34</v>
      </c>
      <c r="H407" s="1" t="b">
        <v>0</v>
      </c>
      <c r="I407" s="1">
        <v>48.0</v>
      </c>
      <c r="J407" s="1">
        <v>0.0</v>
      </c>
      <c r="K407" s="1">
        <v>0.0</v>
      </c>
      <c r="L407" s="1">
        <v>3.60010221392E11</v>
      </c>
      <c r="M407" s="1" t="s">
        <v>956</v>
      </c>
      <c r="N407" s="1" t="str">
        <f t="array" ref="N407">XLOOKUP(A:A,'CategoriasSeções'!A:A,'CategoriasSeções'!B:B)</f>
        <v>Comunicados</v>
      </c>
      <c r="O407" s="1" t="s">
        <v>957</v>
      </c>
      <c r="P407" s="3">
        <v>43987.79722222222</v>
      </c>
      <c r="Q407" s="3">
        <v>45526.59027777778</v>
      </c>
      <c r="R407" s="1" t="s">
        <v>2112</v>
      </c>
      <c r="S407" s="1" t="s">
        <v>2112</v>
      </c>
      <c r="T407" s="1" t="s">
        <v>38</v>
      </c>
      <c r="U407" s="1" t="s">
        <v>38</v>
      </c>
      <c r="V407" s="1" t="s">
        <v>75</v>
      </c>
      <c r="W407" s="1" t="s">
        <v>69</v>
      </c>
      <c r="X407" s="1" t="s">
        <v>69</v>
      </c>
      <c r="Y407" s="3">
        <v>44077.70277777778</v>
      </c>
      <c r="AA407" s="1">
        <v>1666192.0</v>
      </c>
      <c r="AB407" s="1" t="s">
        <v>55</v>
      </c>
      <c r="AC407" s="1" t="s">
        <v>2113</v>
      </c>
      <c r="AD407" s="1" t="s">
        <v>2114</v>
      </c>
      <c r="AE407" s="1" t="s">
        <v>55</v>
      </c>
    </row>
    <row r="408" ht="56.25" customHeight="1">
      <c r="A408" s="1">
        <v>3.60044125672E11</v>
      </c>
      <c r="B408" s="2" t="s">
        <v>2115</v>
      </c>
      <c r="C408" s="2" t="s">
        <v>2116</v>
      </c>
      <c r="D408" s="1">
        <v>2.6343329307E10</v>
      </c>
      <c r="E408" s="1" t="s">
        <v>1327</v>
      </c>
      <c r="F408" s="1" t="b">
        <v>0</v>
      </c>
      <c r="G408" s="1" t="s">
        <v>34</v>
      </c>
      <c r="H408" s="1" t="b">
        <v>0</v>
      </c>
      <c r="I408" s="1">
        <v>49.0</v>
      </c>
      <c r="J408" s="1">
        <v>0.0</v>
      </c>
      <c r="K408" s="1">
        <v>0.0</v>
      </c>
      <c r="L408" s="1">
        <v>3.60010221392E11</v>
      </c>
      <c r="M408" s="1" t="s">
        <v>956</v>
      </c>
      <c r="N408" s="1" t="str">
        <f t="array" ref="N408">XLOOKUP(A:A,'CategoriasSeções'!A:A,'CategoriasSeções'!B:B)</f>
        <v>Comunicados</v>
      </c>
      <c r="O408" s="1" t="s">
        <v>957</v>
      </c>
      <c r="P408" s="3">
        <v>43987.78680555556</v>
      </c>
      <c r="Q408" s="3">
        <v>45526.59027777778</v>
      </c>
      <c r="R408" s="1" t="s">
        <v>2117</v>
      </c>
      <c r="S408" s="1" t="s">
        <v>2117</v>
      </c>
      <c r="T408" s="1" t="s">
        <v>38</v>
      </c>
      <c r="U408" s="1" t="s">
        <v>38</v>
      </c>
      <c r="V408" s="1" t="s">
        <v>75</v>
      </c>
      <c r="W408" s="1" t="s">
        <v>69</v>
      </c>
      <c r="X408" s="1" t="s">
        <v>69</v>
      </c>
      <c r="Y408" s="3">
        <v>44077.70416666667</v>
      </c>
      <c r="AA408" s="1">
        <v>1666192.0</v>
      </c>
      <c r="AB408" s="1" t="s">
        <v>55</v>
      </c>
      <c r="AC408" s="1" t="s">
        <v>2118</v>
      </c>
      <c r="AD408" s="1" t="s">
        <v>2119</v>
      </c>
      <c r="AE408" s="1" t="s">
        <v>55</v>
      </c>
    </row>
    <row r="409" ht="56.25" customHeight="1">
      <c r="A409" s="1">
        <v>3.60041450431E11</v>
      </c>
      <c r="B409" s="2" t="s">
        <v>2120</v>
      </c>
      <c r="C409" s="2" t="s">
        <v>2121</v>
      </c>
      <c r="D409" s="1">
        <v>2.6343329307E10</v>
      </c>
      <c r="E409" s="1" t="s">
        <v>1327</v>
      </c>
      <c r="F409" s="1" t="b">
        <v>0</v>
      </c>
      <c r="G409" s="1" t="s">
        <v>34</v>
      </c>
      <c r="H409" s="1" t="b">
        <v>0</v>
      </c>
      <c r="I409" s="1">
        <v>50.0</v>
      </c>
      <c r="J409" s="1">
        <v>0.0</v>
      </c>
      <c r="K409" s="1">
        <v>0.0</v>
      </c>
      <c r="L409" s="1">
        <v>3.60010221392E11</v>
      </c>
      <c r="M409" s="1" t="s">
        <v>956</v>
      </c>
      <c r="N409" s="1" t="str">
        <f t="array" ref="N409">XLOOKUP(A:A,'CategoriasSeções'!A:A,'CategoriasSeções'!B:B)</f>
        <v>Comunicados</v>
      </c>
      <c r="O409" s="1" t="s">
        <v>957</v>
      </c>
      <c r="P409" s="3">
        <v>43915.46388888889</v>
      </c>
      <c r="Q409" s="3">
        <v>45526.51388888889</v>
      </c>
      <c r="R409" s="1" t="s">
        <v>2122</v>
      </c>
      <c r="S409" s="1" t="s">
        <v>2122</v>
      </c>
      <c r="T409" s="1" t="s">
        <v>38</v>
      </c>
      <c r="U409" s="1" t="s">
        <v>38</v>
      </c>
      <c r="V409" s="1" t="s">
        <v>75</v>
      </c>
      <c r="W409" s="1" t="s">
        <v>69</v>
      </c>
      <c r="X409" s="1" t="s">
        <v>69</v>
      </c>
      <c r="Y409" s="3">
        <v>44077.70486111111</v>
      </c>
      <c r="AA409" s="1">
        <v>1666192.0</v>
      </c>
      <c r="AB409" s="1" t="s">
        <v>55</v>
      </c>
      <c r="AC409" s="1" t="s">
        <v>2123</v>
      </c>
      <c r="AD409" s="1" t="s">
        <v>2124</v>
      </c>
      <c r="AE409" s="1" t="s">
        <v>55</v>
      </c>
    </row>
    <row r="410" ht="56.25" customHeight="1">
      <c r="A410" s="1">
        <v>3.60038940492E11</v>
      </c>
      <c r="B410" s="2" t="s">
        <v>2125</v>
      </c>
      <c r="C410" s="2" t="s">
        <v>2126</v>
      </c>
      <c r="D410" s="1">
        <v>2.6343329307E10</v>
      </c>
      <c r="E410" s="1" t="s">
        <v>1327</v>
      </c>
      <c r="F410" s="1" t="b">
        <v>0</v>
      </c>
      <c r="G410" s="1" t="s">
        <v>34</v>
      </c>
      <c r="H410" s="1" t="b">
        <v>0</v>
      </c>
      <c r="I410" s="1">
        <v>51.0</v>
      </c>
      <c r="J410" s="1">
        <v>0.0</v>
      </c>
      <c r="K410" s="1">
        <v>0.0</v>
      </c>
      <c r="L410" s="1">
        <v>3.60010221392E11</v>
      </c>
      <c r="M410" s="1" t="s">
        <v>956</v>
      </c>
      <c r="N410" s="1" t="str">
        <f t="array" ref="N410">XLOOKUP(A:A,'CategoriasSeções'!A:A,'CategoriasSeções'!B:B)</f>
        <v>Comunicados</v>
      </c>
      <c r="O410" s="1" t="s">
        <v>957</v>
      </c>
      <c r="P410" s="3">
        <v>43859.85763888889</v>
      </c>
      <c r="Q410" s="3">
        <v>45526.45486111111</v>
      </c>
      <c r="R410" s="1" t="s">
        <v>2127</v>
      </c>
      <c r="S410" s="1" t="s">
        <v>2127</v>
      </c>
      <c r="T410" s="1" t="s">
        <v>38</v>
      </c>
      <c r="U410" s="1" t="s">
        <v>38</v>
      </c>
      <c r="V410" s="1" t="s">
        <v>75</v>
      </c>
      <c r="W410" s="1" t="s">
        <v>69</v>
      </c>
      <c r="X410" s="1" t="s">
        <v>69</v>
      </c>
      <c r="Y410" s="3">
        <v>44077.82361111111</v>
      </c>
      <c r="AA410" s="1">
        <v>1666192.0</v>
      </c>
      <c r="AB410" s="1" t="s">
        <v>55</v>
      </c>
      <c r="AC410" s="1" t="s">
        <v>2128</v>
      </c>
      <c r="AD410" s="1" t="s">
        <v>2129</v>
      </c>
      <c r="AE410" s="1" t="s">
        <v>55</v>
      </c>
    </row>
    <row r="411" ht="56.25" customHeight="1">
      <c r="A411" s="1">
        <v>3.60037925072E11</v>
      </c>
      <c r="B411" s="2" t="s">
        <v>2130</v>
      </c>
      <c r="C411" s="2" t="s">
        <v>2131</v>
      </c>
      <c r="D411" s="1">
        <v>2.6343329307E10</v>
      </c>
      <c r="E411" s="1" t="s">
        <v>1327</v>
      </c>
      <c r="F411" s="1" t="b">
        <v>0</v>
      </c>
      <c r="G411" s="1" t="s">
        <v>34</v>
      </c>
      <c r="H411" s="1" t="b">
        <v>0</v>
      </c>
      <c r="I411" s="1">
        <v>52.0</v>
      </c>
      <c r="J411" s="1">
        <v>0.0</v>
      </c>
      <c r="K411" s="1">
        <v>0.0</v>
      </c>
      <c r="L411" s="1">
        <v>3.60010221392E11</v>
      </c>
      <c r="M411" s="1" t="s">
        <v>956</v>
      </c>
      <c r="N411" s="1" t="str">
        <f t="array" ref="N411">XLOOKUP(A:A,'CategoriasSeções'!A:A,'CategoriasSeções'!B:B)</f>
        <v>Comunicados</v>
      </c>
      <c r="O411" s="1" t="s">
        <v>957</v>
      </c>
      <c r="P411" s="12">
        <v>43825.86319444444</v>
      </c>
      <c r="Q411" s="3">
        <v>45526.52222222222</v>
      </c>
      <c r="R411" s="1" t="s">
        <v>2132</v>
      </c>
      <c r="S411" s="1" t="s">
        <v>2132</v>
      </c>
      <c r="T411" s="1" t="s">
        <v>38</v>
      </c>
      <c r="U411" s="1" t="s">
        <v>38</v>
      </c>
      <c r="V411" s="1" t="s">
        <v>75</v>
      </c>
      <c r="W411" s="1" t="s">
        <v>69</v>
      </c>
      <c r="X411" s="1" t="s">
        <v>69</v>
      </c>
      <c r="Y411" s="3">
        <v>44077.82777777778</v>
      </c>
      <c r="AA411" s="1">
        <v>1666192.0</v>
      </c>
      <c r="AB411" s="1" t="s">
        <v>55</v>
      </c>
      <c r="AC411" s="1" t="s">
        <v>2133</v>
      </c>
      <c r="AD411" s="1" t="s">
        <v>2134</v>
      </c>
      <c r="AE411" s="1" t="s">
        <v>55</v>
      </c>
    </row>
    <row r="412" ht="56.25" customHeight="1">
      <c r="A412" s="1">
        <v>3.60038284651E11</v>
      </c>
      <c r="B412" s="2" t="s">
        <v>2135</v>
      </c>
      <c r="C412" s="2" t="s">
        <v>2136</v>
      </c>
      <c r="D412" s="1">
        <v>2.6343329307E10</v>
      </c>
      <c r="E412" s="1" t="s">
        <v>1327</v>
      </c>
      <c r="F412" s="1" t="b">
        <v>0</v>
      </c>
      <c r="G412" s="1" t="s">
        <v>34</v>
      </c>
      <c r="H412" s="1" t="b">
        <v>0</v>
      </c>
      <c r="I412" s="1">
        <v>53.0</v>
      </c>
      <c r="J412" s="1">
        <v>0.0</v>
      </c>
      <c r="K412" s="1">
        <v>0.0</v>
      </c>
      <c r="L412" s="1">
        <v>3.60010221392E11</v>
      </c>
      <c r="M412" s="1" t="s">
        <v>956</v>
      </c>
      <c r="N412" s="1" t="str">
        <f t="array" ref="N412">XLOOKUP(A:A,'CategoriasSeções'!A:A,'CategoriasSeções'!B:B)</f>
        <v>Comunicados</v>
      </c>
      <c r="O412" s="1" t="s">
        <v>957</v>
      </c>
      <c r="P412" s="12">
        <v>43825.54375</v>
      </c>
      <c r="Q412" s="3">
        <v>45526.53888888889</v>
      </c>
      <c r="R412" s="1" t="s">
        <v>2137</v>
      </c>
      <c r="S412" s="1" t="s">
        <v>2137</v>
      </c>
      <c r="T412" s="1" t="s">
        <v>38</v>
      </c>
      <c r="U412" s="1" t="s">
        <v>38</v>
      </c>
      <c r="V412" s="1" t="s">
        <v>75</v>
      </c>
      <c r="W412" s="1" t="s">
        <v>69</v>
      </c>
      <c r="X412" s="1" t="s">
        <v>69</v>
      </c>
      <c r="Y412" s="3">
        <v>44644.842361111114</v>
      </c>
      <c r="AA412" s="1">
        <v>1666192.0</v>
      </c>
      <c r="AB412" s="1" t="s">
        <v>55</v>
      </c>
      <c r="AC412" s="1" t="s">
        <v>2138</v>
      </c>
      <c r="AD412" s="1" t="s">
        <v>2139</v>
      </c>
      <c r="AE412" s="1" t="s">
        <v>55</v>
      </c>
    </row>
    <row r="413" ht="56.25" customHeight="1">
      <c r="A413" s="1">
        <v>3.60028822912E11</v>
      </c>
      <c r="B413" s="2" t="s">
        <v>2140</v>
      </c>
      <c r="C413" s="2" t="s">
        <v>2141</v>
      </c>
      <c r="D413" s="1">
        <v>2.5342029707E10</v>
      </c>
      <c r="E413" s="1" t="s">
        <v>1545</v>
      </c>
      <c r="F413" s="1" t="b">
        <v>0</v>
      </c>
      <c r="G413" s="1" t="s">
        <v>34</v>
      </c>
      <c r="H413" s="1" t="b">
        <v>0</v>
      </c>
      <c r="I413" s="1">
        <v>54.0</v>
      </c>
      <c r="J413" s="1">
        <v>0.0</v>
      </c>
      <c r="K413" s="1">
        <v>0.0</v>
      </c>
      <c r="L413" s="1">
        <v>3.60010221392E11</v>
      </c>
      <c r="M413" s="1" t="s">
        <v>956</v>
      </c>
      <c r="N413" s="1" t="str">
        <f t="array" ref="N413">XLOOKUP(A:A,'CategoriasSeções'!A:A,'CategoriasSeções'!B:B)</f>
        <v>Comunicados</v>
      </c>
      <c r="O413" s="1" t="s">
        <v>957</v>
      </c>
      <c r="P413" s="3">
        <v>43620.87847222222</v>
      </c>
      <c r="Q413" s="3">
        <v>45526.611805555556</v>
      </c>
      <c r="R413" s="1" t="s">
        <v>2142</v>
      </c>
      <c r="S413" s="1" t="s">
        <v>2142</v>
      </c>
      <c r="T413" s="1" t="s">
        <v>38</v>
      </c>
      <c r="U413" s="1" t="s">
        <v>38</v>
      </c>
      <c r="V413" s="1" t="s">
        <v>75</v>
      </c>
      <c r="W413" s="1" t="s">
        <v>69</v>
      </c>
      <c r="X413" s="1" t="s">
        <v>69</v>
      </c>
      <c r="Y413" s="3">
        <v>44077.82916666667</v>
      </c>
      <c r="AA413" s="1">
        <v>1666192.0</v>
      </c>
      <c r="AB413" s="1" t="s">
        <v>55</v>
      </c>
      <c r="AC413" s="1" t="s">
        <v>2143</v>
      </c>
      <c r="AD413" s="1" t="s">
        <v>2144</v>
      </c>
      <c r="AE413" s="1" t="s">
        <v>55</v>
      </c>
    </row>
    <row r="414" ht="56.25" customHeight="1">
      <c r="A414" s="1">
        <v>1.15013900628E11</v>
      </c>
      <c r="B414" s="2" t="s">
        <v>2145</v>
      </c>
      <c r="C414" s="2" t="s">
        <v>2146</v>
      </c>
      <c r="D414" s="1">
        <v>2.5342029707E10</v>
      </c>
      <c r="E414" s="1" t="s">
        <v>1545</v>
      </c>
      <c r="F414" s="1" t="b">
        <v>0</v>
      </c>
      <c r="G414" s="1" t="s">
        <v>34</v>
      </c>
      <c r="H414" s="1" t="b">
        <v>0</v>
      </c>
      <c r="I414" s="1">
        <v>55.0</v>
      </c>
      <c r="J414" s="1">
        <v>0.0</v>
      </c>
      <c r="K414" s="1">
        <v>0.0</v>
      </c>
      <c r="L414" s="1">
        <v>3.60010221392E11</v>
      </c>
      <c r="M414" s="1" t="s">
        <v>956</v>
      </c>
      <c r="N414" s="1" t="str">
        <f t="array" ref="N414">XLOOKUP(A:A,'CategoriasSeções'!A:A,'CategoriasSeções'!B:B)</f>
        <v>Comunicados</v>
      </c>
      <c r="O414" s="1" t="s">
        <v>957</v>
      </c>
      <c r="P414" s="12">
        <v>43033.76944444444</v>
      </c>
      <c r="Q414" s="3">
        <v>45526.51388888889</v>
      </c>
      <c r="R414" s="1" t="s">
        <v>2147</v>
      </c>
      <c r="S414" s="1" t="s">
        <v>2147</v>
      </c>
      <c r="T414" s="1" t="s">
        <v>38</v>
      </c>
      <c r="U414" s="1" t="s">
        <v>38</v>
      </c>
      <c r="V414" s="1" t="s">
        <v>75</v>
      </c>
      <c r="W414" s="1" t="s">
        <v>69</v>
      </c>
      <c r="X414" s="1" t="s">
        <v>69</v>
      </c>
      <c r="Y414" s="3">
        <v>44077.83263888889</v>
      </c>
      <c r="AA414" s="1">
        <v>1666192.0</v>
      </c>
      <c r="AB414" s="1" t="s">
        <v>55</v>
      </c>
      <c r="AC414" s="1" t="s">
        <v>2148</v>
      </c>
      <c r="AD414" s="1" t="s">
        <v>2149</v>
      </c>
      <c r="AE414" s="1" t="s">
        <v>55</v>
      </c>
    </row>
    <row r="415" ht="56.25" customHeight="1">
      <c r="A415" s="1">
        <v>3.60029135751E11</v>
      </c>
      <c r="B415" s="2" t="s">
        <v>2150</v>
      </c>
      <c r="C415" s="2" t="s">
        <v>2151</v>
      </c>
      <c r="D415" s="1">
        <v>2.5342029707E10</v>
      </c>
      <c r="E415" s="1" t="s">
        <v>1545</v>
      </c>
      <c r="F415" s="1" t="b">
        <v>0</v>
      </c>
      <c r="G415" s="1" t="s">
        <v>34</v>
      </c>
      <c r="H415" s="1" t="b">
        <v>0</v>
      </c>
      <c r="I415" s="1">
        <v>56.0</v>
      </c>
      <c r="J415" s="1">
        <v>0.0</v>
      </c>
      <c r="K415" s="1">
        <v>0.0</v>
      </c>
      <c r="L415" s="1">
        <v>3.60010221392E11</v>
      </c>
      <c r="M415" s="1" t="s">
        <v>956</v>
      </c>
      <c r="N415" s="1" t="str">
        <f t="array" ref="N415">XLOOKUP(A:A,'CategoriasSeções'!A:A,'CategoriasSeções'!B:B)</f>
        <v>Comunicados</v>
      </c>
      <c r="O415" s="1" t="s">
        <v>957</v>
      </c>
      <c r="P415" s="3">
        <v>43620.87291666667</v>
      </c>
      <c r="Q415" s="3">
        <v>45526.55972222222</v>
      </c>
      <c r="R415" s="1" t="s">
        <v>2152</v>
      </c>
      <c r="S415" s="1" t="s">
        <v>2152</v>
      </c>
      <c r="T415" s="1" t="s">
        <v>38</v>
      </c>
      <c r="U415" s="1" t="s">
        <v>38</v>
      </c>
      <c r="V415" s="1" t="s">
        <v>75</v>
      </c>
      <c r="W415" s="1" t="s">
        <v>69</v>
      </c>
      <c r="X415" s="1" t="s">
        <v>69</v>
      </c>
      <c r="Y415" s="3">
        <v>44077.82986111111</v>
      </c>
      <c r="AA415" s="1">
        <v>1666192.0</v>
      </c>
      <c r="AB415" s="1" t="s">
        <v>55</v>
      </c>
      <c r="AC415" s="1" t="s">
        <v>2153</v>
      </c>
      <c r="AD415" s="1" t="s">
        <v>2154</v>
      </c>
      <c r="AE415" s="1" t="s">
        <v>55</v>
      </c>
    </row>
    <row r="416" ht="56.25" customHeight="1">
      <c r="A416" s="1">
        <v>3.60007056091E11</v>
      </c>
      <c r="B416" s="2" t="s">
        <v>2155</v>
      </c>
      <c r="C416" s="2" t="s">
        <v>2156</v>
      </c>
      <c r="D416" s="1">
        <v>2.5342029707E10</v>
      </c>
      <c r="E416" s="1" t="s">
        <v>1545</v>
      </c>
      <c r="F416" s="1" t="b">
        <v>0</v>
      </c>
      <c r="G416" s="1" t="s">
        <v>34</v>
      </c>
      <c r="H416" s="1" t="b">
        <v>0</v>
      </c>
      <c r="I416" s="1">
        <v>57.0</v>
      </c>
      <c r="J416" s="1">
        <v>1.0</v>
      </c>
      <c r="K416" s="1">
        <v>1.0</v>
      </c>
      <c r="L416" s="1">
        <v>3.60010221392E11</v>
      </c>
      <c r="M416" s="1" t="s">
        <v>956</v>
      </c>
      <c r="N416" s="1" t="str">
        <f t="array" ref="N416">XLOOKUP(A:A,'CategoriasSeções'!A:A,'CategoriasSeções'!B:B)</f>
        <v>Comunicados</v>
      </c>
      <c r="O416" s="1" t="s">
        <v>957</v>
      </c>
      <c r="P416" s="3">
        <v>43287.788194444445</v>
      </c>
      <c r="Q416" s="3">
        <v>45140.75208333333</v>
      </c>
      <c r="R416" s="1" t="s">
        <v>2157</v>
      </c>
      <c r="S416" s="1" t="s">
        <v>2157</v>
      </c>
      <c r="T416" s="1" t="s">
        <v>38</v>
      </c>
      <c r="U416" s="1" t="s">
        <v>38</v>
      </c>
      <c r="V416" s="1" t="s">
        <v>75</v>
      </c>
      <c r="W416" s="1" t="s">
        <v>69</v>
      </c>
      <c r="X416" s="1" t="s">
        <v>69</v>
      </c>
      <c r="Y416" s="3">
        <v>44077.834027777775</v>
      </c>
      <c r="AA416" s="1">
        <v>1666192.0</v>
      </c>
      <c r="AB416" s="1" t="s">
        <v>55</v>
      </c>
      <c r="AC416" s="1" t="s">
        <v>2158</v>
      </c>
      <c r="AD416" s="1" t="s">
        <v>2159</v>
      </c>
      <c r="AE416" s="1" t="s">
        <v>55</v>
      </c>
    </row>
    <row r="417" ht="56.25" customHeight="1">
      <c r="A417" s="1">
        <v>1.5794686007053E13</v>
      </c>
      <c r="B417" s="2" t="s">
        <v>2160</v>
      </c>
      <c r="C417" s="2" t="s">
        <v>2161</v>
      </c>
      <c r="D417" s="1">
        <v>1.5677762558733E13</v>
      </c>
      <c r="E417" s="1" t="s">
        <v>2162</v>
      </c>
      <c r="F417" s="1" t="b">
        <v>0</v>
      </c>
      <c r="G417" s="1" t="s">
        <v>34</v>
      </c>
      <c r="H417" s="1" t="b">
        <v>0</v>
      </c>
      <c r="I417" s="1">
        <v>0.0</v>
      </c>
      <c r="J417" s="1">
        <v>0.0</v>
      </c>
      <c r="K417" s="1">
        <v>0.0</v>
      </c>
      <c r="L417" s="1">
        <v>1.5794066038157E13</v>
      </c>
      <c r="M417" s="1" t="s">
        <v>2163</v>
      </c>
      <c r="N417" s="1" t="str">
        <f t="array" ref="N417">XLOOKUP(A:A,'CategoriasSeções'!A:A,'CategoriasSeções'!B:B)</f>
        <v>Operational</v>
      </c>
      <c r="O417" s="1" t="s">
        <v>2164</v>
      </c>
      <c r="P417" s="3">
        <v>45061.725</v>
      </c>
      <c r="Q417" s="3">
        <v>45064.53611111111</v>
      </c>
      <c r="R417" s="1" t="s">
        <v>2165</v>
      </c>
      <c r="S417" s="1" t="s">
        <v>2165</v>
      </c>
      <c r="T417" s="1" t="s">
        <v>2166</v>
      </c>
      <c r="U417" s="1" t="s">
        <v>2166</v>
      </c>
      <c r="V417" s="1" t="s">
        <v>75</v>
      </c>
      <c r="W417" s="1" t="s">
        <v>69</v>
      </c>
      <c r="X417" s="1" t="s">
        <v>69</v>
      </c>
      <c r="Y417" s="3">
        <v>45064.53611111111</v>
      </c>
      <c r="AA417" s="1">
        <v>1666192.0</v>
      </c>
      <c r="AB417" s="1" t="s">
        <v>55</v>
      </c>
      <c r="AC417" s="1" t="s">
        <v>55</v>
      </c>
      <c r="AD417" s="1" t="s">
        <v>2167</v>
      </c>
      <c r="AE417" s="1" t="s">
        <v>55</v>
      </c>
    </row>
    <row r="418" ht="56.25" customHeight="1">
      <c r="A418" s="1">
        <v>1.5794675334285E13</v>
      </c>
      <c r="B418" s="2" t="s">
        <v>2168</v>
      </c>
      <c r="C418" s="2" t="s">
        <v>2169</v>
      </c>
      <c r="D418" s="1">
        <v>1.5677762558733E13</v>
      </c>
      <c r="E418" s="1" t="s">
        <v>2162</v>
      </c>
      <c r="F418" s="1" t="b">
        <v>0</v>
      </c>
      <c r="G418" s="1" t="s">
        <v>34</v>
      </c>
      <c r="H418" s="1" t="b">
        <v>0</v>
      </c>
      <c r="I418" s="1">
        <v>0.0</v>
      </c>
      <c r="J418" s="1">
        <v>0.0</v>
      </c>
      <c r="K418" s="1">
        <v>0.0</v>
      </c>
      <c r="L418" s="1">
        <v>1.5794066788237E13</v>
      </c>
      <c r="M418" s="1" t="s">
        <v>2163</v>
      </c>
      <c r="N418" s="1" t="str">
        <f t="array" ref="N418">XLOOKUP(A:A,'CategoriasSeções'!A:A,'CategoriasSeções'!B:B)</f>
        <v>Operational</v>
      </c>
      <c r="O418" s="1" t="s">
        <v>2170</v>
      </c>
      <c r="P418" s="3">
        <v>45061.725</v>
      </c>
      <c r="Q418" s="3">
        <v>45064.53611111111</v>
      </c>
      <c r="R418" s="1" t="s">
        <v>2171</v>
      </c>
      <c r="S418" s="1" t="s">
        <v>2171</v>
      </c>
      <c r="T418" s="1" t="s">
        <v>2166</v>
      </c>
      <c r="U418" s="1" t="s">
        <v>2166</v>
      </c>
      <c r="V418" s="1" t="s">
        <v>75</v>
      </c>
      <c r="W418" s="1" t="s">
        <v>69</v>
      </c>
      <c r="X418" s="1" t="s">
        <v>69</v>
      </c>
      <c r="Y418" s="3">
        <v>45064.53611111111</v>
      </c>
      <c r="AA418" s="1">
        <v>1666192.0</v>
      </c>
      <c r="AB418" s="1" t="s">
        <v>55</v>
      </c>
      <c r="AC418" s="1" t="s">
        <v>55</v>
      </c>
      <c r="AD418" s="1" t="s">
        <v>2172</v>
      </c>
      <c r="AE418" s="1" t="s">
        <v>55</v>
      </c>
    </row>
    <row r="419" ht="56.25" customHeight="1">
      <c r="A419" s="1">
        <v>1.5794645210893E13</v>
      </c>
      <c r="B419" s="2" t="s">
        <v>2173</v>
      </c>
      <c r="C419" s="2" t="s">
        <v>2174</v>
      </c>
      <c r="D419" s="1">
        <v>1.5677762558733E13</v>
      </c>
      <c r="E419" s="1" t="s">
        <v>2162</v>
      </c>
      <c r="F419" s="1" t="b">
        <v>0</v>
      </c>
      <c r="G419" s="1" t="s">
        <v>34</v>
      </c>
      <c r="H419" s="1" t="b">
        <v>0</v>
      </c>
      <c r="I419" s="1">
        <v>0.0</v>
      </c>
      <c r="J419" s="1">
        <v>0.0</v>
      </c>
      <c r="K419" s="1">
        <v>0.0</v>
      </c>
      <c r="L419" s="1">
        <v>1.5794067675533E13</v>
      </c>
      <c r="M419" s="1" t="s">
        <v>2163</v>
      </c>
      <c r="N419" s="1" t="str">
        <f t="array" ref="N419">XLOOKUP(A:A,'CategoriasSeções'!A:A,'CategoriasSeções'!B:B)</f>
        <v>Operational</v>
      </c>
      <c r="O419" s="1" t="s">
        <v>2175</v>
      </c>
      <c r="P419" s="3">
        <v>45061.72430555556</v>
      </c>
      <c r="Q419" s="3">
        <v>45064.53611111111</v>
      </c>
      <c r="R419" s="1" t="s">
        <v>2176</v>
      </c>
      <c r="S419" s="1" t="s">
        <v>2176</v>
      </c>
      <c r="T419" s="1" t="s">
        <v>2166</v>
      </c>
      <c r="U419" s="1" t="s">
        <v>2166</v>
      </c>
      <c r="V419" s="1" t="s">
        <v>75</v>
      </c>
      <c r="W419" s="1" t="s">
        <v>69</v>
      </c>
      <c r="X419" s="1" t="s">
        <v>69</v>
      </c>
      <c r="Y419" s="3">
        <v>45064.53611111111</v>
      </c>
      <c r="AA419" s="1">
        <v>1666192.0</v>
      </c>
      <c r="AB419" s="1" t="s">
        <v>55</v>
      </c>
      <c r="AC419" s="1" t="s">
        <v>55</v>
      </c>
      <c r="AD419" s="1" t="s">
        <v>2177</v>
      </c>
      <c r="AE419" s="1" t="s">
        <v>55</v>
      </c>
    </row>
    <row r="420" ht="56.25" customHeight="1">
      <c r="A420" s="1">
        <v>1.5794641932557E13</v>
      </c>
      <c r="B420" s="2" t="s">
        <v>2178</v>
      </c>
      <c r="C420" s="2" t="s">
        <v>2179</v>
      </c>
      <c r="D420" s="1">
        <v>1.5677762558733E13</v>
      </c>
      <c r="E420" s="1" t="s">
        <v>2162</v>
      </c>
      <c r="F420" s="1" t="b">
        <v>0</v>
      </c>
      <c r="G420" s="1" t="s">
        <v>34</v>
      </c>
      <c r="H420" s="1" t="b">
        <v>0</v>
      </c>
      <c r="I420" s="1">
        <v>0.0</v>
      </c>
      <c r="J420" s="1">
        <v>0.0</v>
      </c>
      <c r="K420" s="1">
        <v>0.0</v>
      </c>
      <c r="L420" s="1">
        <v>1.5794068843661E13</v>
      </c>
      <c r="M420" s="1" t="s">
        <v>2163</v>
      </c>
      <c r="N420" s="1" t="str">
        <f t="array" ref="N420">XLOOKUP(A:A,'CategoriasSeções'!A:A,'CategoriasSeções'!B:B)</f>
        <v>Operational</v>
      </c>
      <c r="O420" s="1" t="s">
        <v>2180</v>
      </c>
      <c r="P420" s="3">
        <v>45061.72361111111</v>
      </c>
      <c r="Q420" s="3">
        <v>45064.53611111111</v>
      </c>
      <c r="R420" s="1" t="s">
        <v>2181</v>
      </c>
      <c r="S420" s="1" t="s">
        <v>2181</v>
      </c>
      <c r="T420" s="1" t="s">
        <v>2166</v>
      </c>
      <c r="U420" s="1" t="s">
        <v>2166</v>
      </c>
      <c r="V420" s="1" t="s">
        <v>75</v>
      </c>
      <c r="W420" s="1" t="s">
        <v>69</v>
      </c>
      <c r="X420" s="1" t="s">
        <v>69</v>
      </c>
      <c r="Y420" s="3">
        <v>45064.53611111111</v>
      </c>
      <c r="AA420" s="1">
        <v>1666192.0</v>
      </c>
      <c r="AB420" s="1" t="s">
        <v>55</v>
      </c>
      <c r="AC420" s="1" t="s">
        <v>55</v>
      </c>
      <c r="AD420" s="1" t="s">
        <v>2182</v>
      </c>
      <c r="AE420" s="1" t="s">
        <v>55</v>
      </c>
    </row>
    <row r="421" ht="56.25" customHeight="1">
      <c r="A421" s="1">
        <v>1.5794606914701E13</v>
      </c>
      <c r="B421" s="2" t="s">
        <v>2183</v>
      </c>
      <c r="C421" s="2" t="s">
        <v>2184</v>
      </c>
      <c r="D421" s="1">
        <v>1.5677762558733E13</v>
      </c>
      <c r="E421" s="1" t="s">
        <v>2162</v>
      </c>
      <c r="F421" s="1" t="b">
        <v>0</v>
      </c>
      <c r="G421" s="1" t="s">
        <v>34</v>
      </c>
      <c r="H421" s="1" t="b">
        <v>0</v>
      </c>
      <c r="I421" s="1">
        <v>0.0</v>
      </c>
      <c r="J421" s="1">
        <v>0.0</v>
      </c>
      <c r="K421" s="1">
        <v>0.0</v>
      </c>
      <c r="L421" s="1">
        <v>1.5794068843661E13</v>
      </c>
      <c r="M421" s="1" t="s">
        <v>2163</v>
      </c>
      <c r="N421" s="1" t="str">
        <f t="array" ref="N421">XLOOKUP(A:A,'CategoriasSeções'!A:A,'CategoriasSeções'!B:B)</f>
        <v>Operational</v>
      </c>
      <c r="O421" s="1" t="s">
        <v>2180</v>
      </c>
      <c r="P421" s="3">
        <v>45061.72361111111</v>
      </c>
      <c r="Q421" s="3">
        <v>45064.53611111111</v>
      </c>
      <c r="R421" s="1" t="s">
        <v>2185</v>
      </c>
      <c r="S421" s="1" t="s">
        <v>2185</v>
      </c>
      <c r="T421" s="1" t="s">
        <v>2166</v>
      </c>
      <c r="U421" s="1" t="s">
        <v>2166</v>
      </c>
      <c r="V421" s="1" t="s">
        <v>75</v>
      </c>
      <c r="W421" s="1" t="s">
        <v>69</v>
      </c>
      <c r="X421" s="1" t="s">
        <v>69</v>
      </c>
      <c r="Y421" s="3">
        <v>45064.53611111111</v>
      </c>
      <c r="AA421" s="1">
        <v>1666192.0</v>
      </c>
      <c r="AB421" s="1" t="s">
        <v>55</v>
      </c>
      <c r="AC421" s="1" t="s">
        <v>55</v>
      </c>
      <c r="AD421" s="1" t="s">
        <v>2186</v>
      </c>
      <c r="AE421" s="1" t="s">
        <v>55</v>
      </c>
    </row>
    <row r="422" ht="56.25" customHeight="1">
      <c r="A422" s="1">
        <v>1.5794578117517E13</v>
      </c>
      <c r="B422" s="2" t="s">
        <v>2187</v>
      </c>
      <c r="C422" s="2" t="s">
        <v>2188</v>
      </c>
      <c r="D422" s="1">
        <v>1.5677762558733E13</v>
      </c>
      <c r="E422" s="1" t="s">
        <v>2162</v>
      </c>
      <c r="F422" s="1" t="b">
        <v>0</v>
      </c>
      <c r="G422" s="1" t="s">
        <v>34</v>
      </c>
      <c r="H422" s="1" t="b">
        <v>0</v>
      </c>
      <c r="I422" s="1">
        <v>0.0</v>
      </c>
      <c r="J422" s="1">
        <v>0.0</v>
      </c>
      <c r="K422" s="1">
        <v>0.0</v>
      </c>
      <c r="L422" s="1">
        <v>1.5794069815693E13</v>
      </c>
      <c r="M422" s="1" t="s">
        <v>2163</v>
      </c>
      <c r="N422" s="1" t="str">
        <f t="array" ref="N422">XLOOKUP(A:A,'CategoriasSeções'!A:A,'CategoriasSeções'!B:B)</f>
        <v>Operational</v>
      </c>
      <c r="O422" s="1" t="s">
        <v>2189</v>
      </c>
      <c r="P422" s="3">
        <v>45061.722916666666</v>
      </c>
      <c r="Q422" s="3">
        <v>45064.53611111111</v>
      </c>
      <c r="R422" s="1" t="s">
        <v>2190</v>
      </c>
      <c r="S422" s="1" t="s">
        <v>2190</v>
      </c>
      <c r="T422" s="1" t="s">
        <v>2166</v>
      </c>
      <c r="U422" s="1" t="s">
        <v>2166</v>
      </c>
      <c r="V422" s="1" t="s">
        <v>75</v>
      </c>
      <c r="W422" s="1" t="s">
        <v>69</v>
      </c>
      <c r="X422" s="1" t="s">
        <v>69</v>
      </c>
      <c r="Y422" s="3">
        <v>45064.53611111111</v>
      </c>
      <c r="AA422" s="1">
        <v>1666192.0</v>
      </c>
      <c r="AB422" s="1" t="s">
        <v>55</v>
      </c>
      <c r="AC422" s="1" t="s">
        <v>55</v>
      </c>
      <c r="AD422" s="1" t="s">
        <v>2191</v>
      </c>
      <c r="AE422" s="1" t="s">
        <v>55</v>
      </c>
    </row>
    <row r="423" ht="56.25" customHeight="1">
      <c r="A423" s="1">
        <v>1.5794575554829E13</v>
      </c>
      <c r="B423" s="2" t="s">
        <v>2192</v>
      </c>
      <c r="C423" s="2" t="s">
        <v>2193</v>
      </c>
      <c r="D423" s="1">
        <v>1.5677762558733E13</v>
      </c>
      <c r="E423" s="1" t="s">
        <v>2162</v>
      </c>
      <c r="F423" s="1" t="b">
        <v>0</v>
      </c>
      <c r="G423" s="1" t="s">
        <v>34</v>
      </c>
      <c r="H423" s="1" t="b">
        <v>0</v>
      </c>
      <c r="I423" s="1">
        <v>0.0</v>
      </c>
      <c r="J423" s="1">
        <v>0.0</v>
      </c>
      <c r="K423" s="1">
        <v>0.0</v>
      </c>
      <c r="L423" s="1">
        <v>1.5794096012557E13</v>
      </c>
      <c r="M423" s="1" t="s">
        <v>2163</v>
      </c>
      <c r="N423" s="1" t="str">
        <f t="array" ref="N423">XLOOKUP(A:A,'CategoriasSeções'!A:A,'CategoriasSeções'!B:B)</f>
        <v>Operational</v>
      </c>
      <c r="O423" s="1" t="s">
        <v>2194</v>
      </c>
      <c r="P423" s="3">
        <v>45061.722916666666</v>
      </c>
      <c r="Q423" s="3">
        <v>45064.53611111111</v>
      </c>
      <c r="R423" s="1" t="s">
        <v>2195</v>
      </c>
      <c r="S423" s="1" t="s">
        <v>2195</v>
      </c>
      <c r="T423" s="1" t="s">
        <v>2166</v>
      </c>
      <c r="U423" s="1" t="s">
        <v>2166</v>
      </c>
      <c r="V423" s="1" t="s">
        <v>75</v>
      </c>
      <c r="W423" s="1" t="s">
        <v>69</v>
      </c>
      <c r="X423" s="1" t="s">
        <v>69</v>
      </c>
      <c r="Y423" s="3">
        <v>45064.53611111111</v>
      </c>
      <c r="AA423" s="1">
        <v>1666192.0</v>
      </c>
      <c r="AB423" s="1" t="s">
        <v>55</v>
      </c>
      <c r="AC423" s="1" t="s">
        <v>55</v>
      </c>
      <c r="AD423" s="1" t="s">
        <v>2196</v>
      </c>
      <c r="AE423" s="1" t="s">
        <v>55</v>
      </c>
    </row>
    <row r="424" ht="56.25" customHeight="1">
      <c r="A424" s="1">
        <v>1.5794522403597E13</v>
      </c>
      <c r="B424" s="2" t="s">
        <v>2197</v>
      </c>
      <c r="C424" s="2" t="s">
        <v>2198</v>
      </c>
      <c r="D424" s="1">
        <v>1.5677762558733E13</v>
      </c>
      <c r="E424" s="1" t="s">
        <v>2162</v>
      </c>
      <c r="F424" s="1" t="b">
        <v>0</v>
      </c>
      <c r="G424" s="1" t="s">
        <v>34</v>
      </c>
      <c r="H424" s="1" t="b">
        <v>0</v>
      </c>
      <c r="I424" s="1">
        <v>0.0</v>
      </c>
      <c r="J424" s="1">
        <v>0.0</v>
      </c>
      <c r="K424" s="1">
        <v>0.0</v>
      </c>
      <c r="L424" s="1">
        <v>1.5794122336525E13</v>
      </c>
      <c r="M424" s="1" t="s">
        <v>2163</v>
      </c>
      <c r="N424" s="1" t="str">
        <f t="array" ref="N424">XLOOKUP(A:A,'CategoriasSeções'!A:A,'CategoriasSeções'!B:B)</f>
        <v>Operational</v>
      </c>
      <c r="O424" s="1" t="s">
        <v>2199</v>
      </c>
      <c r="P424" s="3">
        <v>45061.722916666666</v>
      </c>
      <c r="Q424" s="3">
        <v>45064.53611111111</v>
      </c>
      <c r="R424" s="1" t="s">
        <v>2200</v>
      </c>
      <c r="S424" s="1" t="s">
        <v>2200</v>
      </c>
      <c r="T424" s="1" t="s">
        <v>2166</v>
      </c>
      <c r="U424" s="1" t="s">
        <v>2166</v>
      </c>
      <c r="V424" s="1" t="s">
        <v>75</v>
      </c>
      <c r="W424" s="1" t="s">
        <v>69</v>
      </c>
      <c r="X424" s="1" t="s">
        <v>69</v>
      </c>
      <c r="Y424" s="3">
        <v>45064.53611111111</v>
      </c>
      <c r="AA424" s="1">
        <v>1666192.0</v>
      </c>
      <c r="AB424" s="1" t="s">
        <v>55</v>
      </c>
      <c r="AC424" s="1" t="s">
        <v>55</v>
      </c>
      <c r="AD424" s="1" t="s">
        <v>2201</v>
      </c>
      <c r="AE424" s="1" t="s">
        <v>55</v>
      </c>
    </row>
    <row r="425" ht="56.25" customHeight="1">
      <c r="A425" s="1">
        <v>1.5794519365773E13</v>
      </c>
      <c r="B425" s="2" t="s">
        <v>2202</v>
      </c>
      <c r="C425" s="2" t="s">
        <v>2203</v>
      </c>
      <c r="D425" s="1">
        <v>1.5677762558733E13</v>
      </c>
      <c r="E425" s="1" t="s">
        <v>2162</v>
      </c>
      <c r="F425" s="1" t="b">
        <v>0</v>
      </c>
      <c r="G425" s="1" t="s">
        <v>34</v>
      </c>
      <c r="H425" s="1" t="b">
        <v>0</v>
      </c>
      <c r="I425" s="1">
        <v>0.0</v>
      </c>
      <c r="J425" s="1">
        <v>0.0</v>
      </c>
      <c r="K425" s="1">
        <v>0.0</v>
      </c>
      <c r="L425" s="1">
        <v>1.5794123208973E13</v>
      </c>
      <c r="M425" s="1" t="s">
        <v>2163</v>
      </c>
      <c r="N425" s="1" t="str">
        <f t="array" ref="N425">XLOOKUP(A:A,'CategoriasSeções'!A:A,'CategoriasSeções'!B:B)</f>
        <v>Operational</v>
      </c>
      <c r="O425" s="1" t="s">
        <v>2204</v>
      </c>
      <c r="P425" s="3">
        <v>45061.72222222222</v>
      </c>
      <c r="Q425" s="3">
        <v>45064.53611111111</v>
      </c>
      <c r="R425" s="1" t="s">
        <v>2205</v>
      </c>
      <c r="S425" s="1" t="s">
        <v>2205</v>
      </c>
      <c r="T425" s="1" t="s">
        <v>2166</v>
      </c>
      <c r="U425" s="1" t="s">
        <v>2166</v>
      </c>
      <c r="V425" s="1" t="s">
        <v>75</v>
      </c>
      <c r="W425" s="1" t="s">
        <v>69</v>
      </c>
      <c r="X425" s="1" t="s">
        <v>69</v>
      </c>
      <c r="Y425" s="3">
        <v>45064.53611111111</v>
      </c>
      <c r="AA425" s="1">
        <v>1666192.0</v>
      </c>
      <c r="AB425" s="1" t="s">
        <v>55</v>
      </c>
      <c r="AC425" s="1" t="s">
        <v>55</v>
      </c>
      <c r="AD425" s="1" t="s">
        <v>2206</v>
      </c>
      <c r="AE425" s="1" t="s">
        <v>55</v>
      </c>
    </row>
    <row r="426" ht="56.25" customHeight="1">
      <c r="A426" s="1">
        <v>1.5794541644685E13</v>
      </c>
      <c r="B426" s="2" t="s">
        <v>2207</v>
      </c>
      <c r="C426" s="2" t="s">
        <v>2208</v>
      </c>
      <c r="D426" s="1">
        <v>1.5677762558733E13</v>
      </c>
      <c r="E426" s="1" t="s">
        <v>2162</v>
      </c>
      <c r="F426" s="1" t="b">
        <v>0</v>
      </c>
      <c r="G426" s="1" t="s">
        <v>34</v>
      </c>
      <c r="H426" s="1" t="b">
        <v>0</v>
      </c>
      <c r="I426" s="1">
        <v>0.0</v>
      </c>
      <c r="J426" s="1">
        <v>0.0</v>
      </c>
      <c r="K426" s="1">
        <v>0.0</v>
      </c>
      <c r="L426" s="1">
        <v>1.5794124498829E13</v>
      </c>
      <c r="M426" s="1" t="s">
        <v>2163</v>
      </c>
      <c r="N426" s="1" t="str">
        <f t="array" ref="N426">XLOOKUP(A:A,'CategoriasSeções'!A:A,'CategoriasSeções'!B:B)</f>
        <v>Operational</v>
      </c>
      <c r="O426" s="1" t="s">
        <v>2209</v>
      </c>
      <c r="P426" s="3">
        <v>45061.72222222222</v>
      </c>
      <c r="Q426" s="3">
        <v>45064.53611111111</v>
      </c>
      <c r="R426" s="1" t="s">
        <v>2210</v>
      </c>
      <c r="S426" s="1" t="s">
        <v>2210</v>
      </c>
      <c r="T426" s="1" t="s">
        <v>2166</v>
      </c>
      <c r="U426" s="1" t="s">
        <v>2166</v>
      </c>
      <c r="V426" s="1" t="s">
        <v>75</v>
      </c>
      <c r="W426" s="1" t="s">
        <v>69</v>
      </c>
      <c r="X426" s="1" t="s">
        <v>69</v>
      </c>
      <c r="Y426" s="3">
        <v>45064.53611111111</v>
      </c>
      <c r="AA426" s="1">
        <v>1666192.0</v>
      </c>
      <c r="AB426" s="1" t="s">
        <v>55</v>
      </c>
      <c r="AC426" s="1" t="s">
        <v>55</v>
      </c>
      <c r="AD426" s="1" t="s">
        <v>2211</v>
      </c>
      <c r="AE426" s="1" t="s">
        <v>55</v>
      </c>
    </row>
    <row r="427" ht="56.25" customHeight="1">
      <c r="A427" s="1">
        <v>1.5794232790157E13</v>
      </c>
      <c r="B427" s="2" t="s">
        <v>2212</v>
      </c>
      <c r="C427" s="2" t="s">
        <v>2213</v>
      </c>
      <c r="D427" s="1">
        <v>1.5677762558733E13</v>
      </c>
      <c r="E427" s="1" t="s">
        <v>2162</v>
      </c>
      <c r="F427" s="1" t="b">
        <v>0</v>
      </c>
      <c r="G427" s="1" t="s">
        <v>34</v>
      </c>
      <c r="H427" s="1" t="b">
        <v>0</v>
      </c>
      <c r="I427" s="1">
        <v>0.0</v>
      </c>
      <c r="J427" s="1">
        <v>0.0</v>
      </c>
      <c r="K427" s="1">
        <v>0.0</v>
      </c>
      <c r="L427" s="1">
        <v>1.5794125423885E13</v>
      </c>
      <c r="M427" s="1" t="s">
        <v>2163</v>
      </c>
      <c r="N427" s="1" t="str">
        <f t="array" ref="N427">XLOOKUP(A:A,'CategoriasSeções'!A:A,'CategoriasSeções'!B:B)</f>
        <v>Operational</v>
      </c>
      <c r="O427" s="1" t="s">
        <v>2214</v>
      </c>
      <c r="P427" s="3">
        <v>45061.71666666667</v>
      </c>
      <c r="Q427" s="3">
        <v>45064.53611111111</v>
      </c>
      <c r="R427" s="1" t="s">
        <v>2215</v>
      </c>
      <c r="S427" s="1" t="s">
        <v>2215</v>
      </c>
      <c r="T427" s="1" t="s">
        <v>2166</v>
      </c>
      <c r="U427" s="1" t="s">
        <v>2166</v>
      </c>
      <c r="V427" s="1" t="s">
        <v>75</v>
      </c>
      <c r="W427" s="1" t="s">
        <v>69</v>
      </c>
      <c r="X427" s="1" t="s">
        <v>69</v>
      </c>
      <c r="Y427" s="3">
        <v>45064.53611111111</v>
      </c>
      <c r="AA427" s="1">
        <v>1666192.0</v>
      </c>
      <c r="AB427" s="1" t="s">
        <v>55</v>
      </c>
      <c r="AC427" s="1" t="s">
        <v>55</v>
      </c>
      <c r="AD427" s="1" t="s">
        <v>2216</v>
      </c>
      <c r="AE427" s="1" t="s">
        <v>55</v>
      </c>
    </row>
    <row r="428" ht="56.25" customHeight="1">
      <c r="A428" s="1">
        <v>1.5794193866381E13</v>
      </c>
      <c r="B428" s="2" t="s">
        <v>2217</v>
      </c>
      <c r="C428" s="2" t="s">
        <v>2218</v>
      </c>
      <c r="D428" s="1">
        <v>1.5677762558733E13</v>
      </c>
      <c r="E428" s="1" t="s">
        <v>2162</v>
      </c>
      <c r="F428" s="1" t="b">
        <v>0</v>
      </c>
      <c r="G428" s="1" t="s">
        <v>34</v>
      </c>
      <c r="H428" s="1" t="b">
        <v>0</v>
      </c>
      <c r="I428" s="1">
        <v>0.0</v>
      </c>
      <c r="J428" s="1">
        <v>0.0</v>
      </c>
      <c r="K428" s="1">
        <v>0.0</v>
      </c>
      <c r="L428" s="1">
        <v>1.5794088238221E13</v>
      </c>
      <c r="M428" s="1" t="s">
        <v>2163</v>
      </c>
      <c r="N428" s="1" t="str">
        <f t="array" ref="N428">XLOOKUP(A:A,'CategoriasSeções'!A:A,'CategoriasSeções'!B:B)</f>
        <v>Commercial</v>
      </c>
      <c r="O428" s="1" t="s">
        <v>2219</v>
      </c>
      <c r="P428" s="3">
        <v>45061.71597222222</v>
      </c>
      <c r="Q428" s="3">
        <v>45064.53611111111</v>
      </c>
      <c r="R428" s="1" t="s">
        <v>2220</v>
      </c>
      <c r="S428" s="1" t="s">
        <v>2220</v>
      </c>
      <c r="T428" s="1" t="s">
        <v>2166</v>
      </c>
      <c r="U428" s="1" t="s">
        <v>2166</v>
      </c>
      <c r="V428" s="1" t="s">
        <v>75</v>
      </c>
      <c r="W428" s="1" t="s">
        <v>69</v>
      </c>
      <c r="X428" s="1" t="s">
        <v>69</v>
      </c>
      <c r="Y428" s="3">
        <v>45064.53611111111</v>
      </c>
      <c r="AA428" s="1">
        <v>1666192.0</v>
      </c>
      <c r="AB428" s="1" t="s">
        <v>55</v>
      </c>
      <c r="AC428" s="1" t="s">
        <v>55</v>
      </c>
      <c r="AD428" s="1" t="s">
        <v>2221</v>
      </c>
      <c r="AE428" s="1" t="s">
        <v>55</v>
      </c>
    </row>
    <row r="429" ht="56.25" customHeight="1">
      <c r="A429" s="1">
        <v>1.5794190489741E13</v>
      </c>
      <c r="B429" s="2" t="s">
        <v>2222</v>
      </c>
      <c r="C429" s="2" t="s">
        <v>2223</v>
      </c>
      <c r="D429" s="1">
        <v>1.5677762558733E13</v>
      </c>
      <c r="E429" s="1" t="s">
        <v>2162</v>
      </c>
      <c r="F429" s="1" t="b">
        <v>0</v>
      </c>
      <c r="G429" s="1" t="s">
        <v>34</v>
      </c>
      <c r="H429" s="1" t="b">
        <v>1</v>
      </c>
      <c r="I429" s="1">
        <v>0.0</v>
      </c>
      <c r="J429" s="1">
        <v>0.0</v>
      </c>
      <c r="K429" s="1">
        <v>0.0</v>
      </c>
      <c r="L429" s="1">
        <v>1.5794088848781E13</v>
      </c>
      <c r="M429" s="1" t="s">
        <v>2163</v>
      </c>
      <c r="N429" s="1" t="str">
        <f t="array" ref="N429">XLOOKUP(A:A,'CategoriasSeções'!A:A,'CategoriasSeções'!B:B)</f>
        <v>Commercial</v>
      </c>
      <c r="O429" s="1" t="s">
        <v>2224</v>
      </c>
      <c r="P429" s="3">
        <v>45061.71527777778</v>
      </c>
      <c r="Q429" s="3">
        <v>45077.58888888889</v>
      </c>
      <c r="R429" s="1" t="s">
        <v>2225</v>
      </c>
      <c r="S429" s="1" t="s">
        <v>2225</v>
      </c>
      <c r="T429" s="1" t="s">
        <v>2166</v>
      </c>
      <c r="U429" s="1" t="s">
        <v>2166</v>
      </c>
      <c r="V429" s="1" t="s">
        <v>75</v>
      </c>
      <c r="W429" s="1" t="s">
        <v>69</v>
      </c>
      <c r="X429" s="1" t="s">
        <v>69</v>
      </c>
      <c r="Y429" s="3">
        <v>45064.53611111111</v>
      </c>
      <c r="AA429" s="1">
        <v>1666192.0</v>
      </c>
      <c r="AB429" s="1" t="s">
        <v>55</v>
      </c>
      <c r="AC429" s="1" t="s">
        <v>55</v>
      </c>
      <c r="AD429" s="1" t="s">
        <v>2226</v>
      </c>
      <c r="AE429" s="1" t="s">
        <v>55</v>
      </c>
    </row>
    <row r="430" ht="56.25" customHeight="1">
      <c r="A430" s="1">
        <v>3.1974530052237E13</v>
      </c>
      <c r="B430" s="2" t="s">
        <v>2227</v>
      </c>
      <c r="C430" s="2" t="s">
        <v>2228</v>
      </c>
      <c r="D430" s="1">
        <v>1.9413022613517E13</v>
      </c>
      <c r="E430" s="1" t="s">
        <v>2229</v>
      </c>
      <c r="F430" s="1" t="b">
        <v>0</v>
      </c>
      <c r="G430" s="1" t="s">
        <v>34</v>
      </c>
      <c r="H430" s="1" t="b">
        <v>0</v>
      </c>
      <c r="I430" s="1">
        <v>0.0</v>
      </c>
      <c r="J430" s="1">
        <v>1.0</v>
      </c>
      <c r="K430" s="1">
        <v>1.0</v>
      </c>
      <c r="L430" s="1">
        <v>1.7577114179597E13</v>
      </c>
      <c r="M430" s="1" t="s">
        <v>2230</v>
      </c>
      <c r="N430" s="1" t="str">
        <f t="array" ref="N430">XLOOKUP(A:A,'CategoriasSeções'!A:A,'CategoriasSeções'!B:B)</f>
        <v>Aduaneiro</v>
      </c>
      <c r="O430" s="1" t="s">
        <v>2231</v>
      </c>
      <c r="P430" s="12">
        <v>45614.717361111114</v>
      </c>
      <c r="Q430" s="3">
        <v>45740.55416666667</v>
      </c>
      <c r="R430" s="1" t="s">
        <v>2232</v>
      </c>
      <c r="S430" s="1" t="s">
        <v>2232</v>
      </c>
      <c r="T430" s="1" t="s">
        <v>38</v>
      </c>
      <c r="U430" s="1" t="s">
        <v>38</v>
      </c>
      <c r="V430" s="1" t="s">
        <v>75</v>
      </c>
      <c r="W430" s="1" t="s">
        <v>69</v>
      </c>
      <c r="X430" s="1" t="s">
        <v>69</v>
      </c>
      <c r="Y430" s="12">
        <v>45614.77013888889</v>
      </c>
      <c r="AA430" s="1">
        <v>1666192.0</v>
      </c>
      <c r="AB430" s="1" t="s">
        <v>55</v>
      </c>
      <c r="AC430" s="1" t="s">
        <v>55</v>
      </c>
      <c r="AD430" s="1" t="s">
        <v>2233</v>
      </c>
      <c r="AE430" s="1" t="s">
        <v>55</v>
      </c>
    </row>
    <row r="431" ht="56.25" customHeight="1">
      <c r="A431" s="1">
        <v>2.1546550050701E13</v>
      </c>
      <c r="B431" s="2" t="s">
        <v>2234</v>
      </c>
      <c r="C431" s="2" t="s">
        <v>2235</v>
      </c>
      <c r="D431" s="1">
        <v>1.9413022613517E13</v>
      </c>
      <c r="E431" s="1" t="s">
        <v>2229</v>
      </c>
      <c r="F431" s="1" t="b">
        <v>0</v>
      </c>
      <c r="G431" s="1" t="s">
        <v>34</v>
      </c>
      <c r="H431" s="1" t="b">
        <v>0</v>
      </c>
      <c r="I431" s="1">
        <v>0.0</v>
      </c>
      <c r="J431" s="1">
        <v>1.0</v>
      </c>
      <c r="K431" s="1">
        <v>1.0</v>
      </c>
      <c r="L431" s="1">
        <v>2.1537853283213E13</v>
      </c>
      <c r="M431" s="1" t="s">
        <v>2230</v>
      </c>
      <c r="N431" s="1" t="str">
        <f t="array" ref="N431">XLOOKUP(A:A,'CategoriasSeções'!A:A,'CategoriasSeções'!B:B)</f>
        <v>Armazém Alfandegado</v>
      </c>
      <c r="O431" s="1" t="s">
        <v>2236</v>
      </c>
      <c r="P431" s="12">
        <v>45251.73402777778</v>
      </c>
      <c r="Q431" s="12">
        <v>45614.78958333333</v>
      </c>
      <c r="R431" s="1" t="s">
        <v>2237</v>
      </c>
      <c r="S431" s="1" t="s">
        <v>2237</v>
      </c>
      <c r="T431" s="1" t="s">
        <v>38</v>
      </c>
      <c r="U431" s="1" t="s">
        <v>38</v>
      </c>
      <c r="V431" s="1" t="s">
        <v>75</v>
      </c>
      <c r="W431" s="1" t="s">
        <v>69</v>
      </c>
      <c r="X431" s="1" t="s">
        <v>69</v>
      </c>
      <c r="Y431" s="12">
        <v>45614.78958333333</v>
      </c>
      <c r="AA431" s="1">
        <v>1666192.0</v>
      </c>
      <c r="AB431" s="1" t="s">
        <v>55</v>
      </c>
      <c r="AC431" s="1" t="s">
        <v>55</v>
      </c>
      <c r="AD431" s="1" t="s">
        <v>2238</v>
      </c>
      <c r="AE431" s="1" t="s">
        <v>55</v>
      </c>
    </row>
    <row r="432" ht="56.25" customHeight="1">
      <c r="A432" s="1">
        <v>2.1546200101389E13</v>
      </c>
      <c r="B432" s="2" t="s">
        <v>2239</v>
      </c>
      <c r="C432" s="2" t="s">
        <v>2240</v>
      </c>
      <c r="D432" s="1">
        <v>1.9413022613517E13</v>
      </c>
      <c r="E432" s="1" t="s">
        <v>2229</v>
      </c>
      <c r="F432" s="1" t="b">
        <v>0</v>
      </c>
      <c r="G432" s="1" t="s">
        <v>34</v>
      </c>
      <c r="H432" s="1" t="b">
        <v>0</v>
      </c>
      <c r="I432" s="1">
        <v>0.0</v>
      </c>
      <c r="J432" s="1">
        <v>1.0</v>
      </c>
      <c r="K432" s="1">
        <v>1.0</v>
      </c>
      <c r="L432" s="1">
        <v>2.1537853283213E13</v>
      </c>
      <c r="M432" s="1" t="s">
        <v>2230</v>
      </c>
      <c r="N432" s="1" t="str">
        <f t="array" ref="N432">XLOOKUP(A:A,'CategoriasSeções'!A:A,'CategoriasSeções'!B:B)</f>
        <v>Armazém Alfandegado</v>
      </c>
      <c r="O432" s="1" t="s">
        <v>2236</v>
      </c>
      <c r="P432" s="12">
        <v>45251.728472222225</v>
      </c>
      <c r="Q432" s="3">
        <v>45315.538194444445</v>
      </c>
      <c r="R432" s="1" t="s">
        <v>2241</v>
      </c>
      <c r="S432" s="1" t="s">
        <v>2241</v>
      </c>
      <c r="T432" s="1" t="s">
        <v>38</v>
      </c>
      <c r="U432" s="1" t="s">
        <v>38</v>
      </c>
      <c r="V432" s="1" t="s">
        <v>75</v>
      </c>
      <c r="W432" s="1" t="s">
        <v>69</v>
      </c>
      <c r="X432" s="1" t="s">
        <v>69</v>
      </c>
      <c r="Y432" s="3">
        <v>45315.538194444445</v>
      </c>
      <c r="AA432" s="1">
        <v>1666192.0</v>
      </c>
      <c r="AB432" s="1" t="s">
        <v>55</v>
      </c>
      <c r="AC432" s="1" t="s">
        <v>55</v>
      </c>
      <c r="AD432" s="1" t="s">
        <v>2242</v>
      </c>
      <c r="AE432" s="1" t="s">
        <v>55</v>
      </c>
    </row>
    <row r="433" ht="56.25" customHeight="1">
      <c r="A433" s="1">
        <v>2.1535317991181E13</v>
      </c>
      <c r="B433" s="2" t="s">
        <v>2243</v>
      </c>
      <c r="C433" s="2" t="s">
        <v>2244</v>
      </c>
      <c r="D433" s="1">
        <v>1.9413022613517E13</v>
      </c>
      <c r="E433" s="1" t="s">
        <v>2229</v>
      </c>
      <c r="F433" s="1" t="b">
        <v>0</v>
      </c>
      <c r="G433" s="1" t="s">
        <v>34</v>
      </c>
      <c r="H433" s="1" t="b">
        <v>0</v>
      </c>
      <c r="I433" s="1">
        <v>0.0</v>
      </c>
      <c r="J433" s="1">
        <v>0.0</v>
      </c>
      <c r="K433" s="1">
        <v>0.0</v>
      </c>
      <c r="L433" s="1">
        <v>2.1535032821645E13</v>
      </c>
      <c r="M433" s="1" t="s">
        <v>2230</v>
      </c>
      <c r="N433" s="1" t="str">
        <f t="array" ref="N433">XLOOKUP(A:A,'CategoriasSeções'!A:A,'CategoriasSeções'!B:B)</f>
        <v>Atendimento</v>
      </c>
      <c r="O433" s="1" t="s">
        <v>2245</v>
      </c>
      <c r="P433" s="12">
        <v>45251.54236111111</v>
      </c>
      <c r="Q433" s="12">
        <v>45251.54236111111</v>
      </c>
      <c r="R433" s="1" t="s">
        <v>2246</v>
      </c>
      <c r="S433" s="1" t="s">
        <v>2246</v>
      </c>
      <c r="T433" s="1" t="s">
        <v>38</v>
      </c>
      <c r="U433" s="1" t="s">
        <v>38</v>
      </c>
      <c r="V433" s="1" t="s">
        <v>75</v>
      </c>
      <c r="W433" s="1" t="s">
        <v>69</v>
      </c>
      <c r="X433" s="1" t="s">
        <v>69</v>
      </c>
      <c r="Y433" s="12">
        <v>45251.54236111111</v>
      </c>
      <c r="AA433" s="1">
        <v>1666192.0</v>
      </c>
      <c r="AB433" s="1" t="s">
        <v>55</v>
      </c>
      <c r="AC433" s="1" t="s">
        <v>55</v>
      </c>
      <c r="AD433" s="1" t="s">
        <v>2247</v>
      </c>
      <c r="AE433" s="1" t="s">
        <v>55</v>
      </c>
    </row>
    <row r="434" ht="56.25" customHeight="1">
      <c r="A434" s="1">
        <v>2.1437444874509E13</v>
      </c>
      <c r="B434" s="2" t="s">
        <v>2248</v>
      </c>
      <c r="C434" s="2" t="s">
        <v>2249</v>
      </c>
      <c r="D434" s="1">
        <v>1.9413022613517E13</v>
      </c>
      <c r="E434" s="1" t="s">
        <v>2229</v>
      </c>
      <c r="F434" s="1" t="b">
        <v>0</v>
      </c>
      <c r="G434" s="1" t="s">
        <v>34</v>
      </c>
      <c r="H434" s="1" t="b">
        <v>0</v>
      </c>
      <c r="I434" s="1">
        <v>0.0</v>
      </c>
      <c r="J434" s="1">
        <v>1.0</v>
      </c>
      <c r="K434" s="1">
        <v>1.0</v>
      </c>
      <c r="L434" s="1">
        <v>2.1436245739277E13</v>
      </c>
      <c r="M434" s="1" t="s">
        <v>2230</v>
      </c>
      <c r="N434" s="1" t="str">
        <f t="array" ref="N434">XLOOKUP(A:A,'CategoriasSeções'!A:A,'CategoriasSeções'!B:B)</f>
        <v>Aduaneiro</v>
      </c>
      <c r="O434" s="1" t="s">
        <v>2250</v>
      </c>
      <c r="P434" s="12">
        <v>45247.78958333333</v>
      </c>
      <c r="Q434" s="3">
        <v>45315.538194444445</v>
      </c>
      <c r="R434" s="1" t="s">
        <v>2251</v>
      </c>
      <c r="S434" s="1" t="s">
        <v>2251</v>
      </c>
      <c r="T434" s="1" t="s">
        <v>38</v>
      </c>
      <c r="U434" s="1" t="s">
        <v>38</v>
      </c>
      <c r="V434" s="1" t="s">
        <v>75</v>
      </c>
      <c r="W434" s="1" t="s">
        <v>69</v>
      </c>
      <c r="X434" s="1" t="s">
        <v>69</v>
      </c>
      <c r="Y434" s="12">
        <v>45251.76666666667</v>
      </c>
      <c r="AA434" s="1">
        <v>1666192.0</v>
      </c>
      <c r="AB434" s="1" t="s">
        <v>55</v>
      </c>
      <c r="AC434" s="1" t="s">
        <v>55</v>
      </c>
      <c r="AD434" s="1" t="s">
        <v>2252</v>
      </c>
      <c r="AE434" s="1" t="s">
        <v>55</v>
      </c>
    </row>
    <row r="435" ht="56.25" customHeight="1">
      <c r="A435" s="1">
        <v>2.1388893615245E13</v>
      </c>
      <c r="B435" s="2" t="s">
        <v>2253</v>
      </c>
      <c r="C435" s="2" t="s">
        <v>2254</v>
      </c>
      <c r="D435" s="1">
        <v>1.9413022613517E13</v>
      </c>
      <c r="E435" s="1" t="s">
        <v>2229</v>
      </c>
      <c r="F435" s="1" t="b">
        <v>0</v>
      </c>
      <c r="G435" s="1" t="s">
        <v>34</v>
      </c>
      <c r="H435" s="1" t="b">
        <v>0</v>
      </c>
      <c r="I435" s="1">
        <v>0.0</v>
      </c>
      <c r="J435" s="1">
        <v>0.0</v>
      </c>
      <c r="K435" s="1">
        <v>0.0</v>
      </c>
      <c r="L435" s="1">
        <v>1.7577114179597E13</v>
      </c>
      <c r="M435" s="1" t="s">
        <v>2230</v>
      </c>
      <c r="N435" s="1" t="str">
        <f t="array" ref="N435">XLOOKUP(A:A,'CategoriasSeções'!A:A,'CategoriasSeções'!B:B)</f>
        <v>Aduaneiro</v>
      </c>
      <c r="O435" s="1" t="s">
        <v>2231</v>
      </c>
      <c r="P435" s="12">
        <v>45246.53888888889</v>
      </c>
      <c r="Q435" s="3">
        <v>45740.552083333336</v>
      </c>
      <c r="R435" s="1" t="s">
        <v>2255</v>
      </c>
      <c r="S435" s="1" t="s">
        <v>2255</v>
      </c>
      <c r="T435" s="1" t="s">
        <v>38</v>
      </c>
      <c r="U435" s="1" t="s">
        <v>38</v>
      </c>
      <c r="V435" s="1" t="s">
        <v>75</v>
      </c>
      <c r="W435" s="1" t="s">
        <v>69</v>
      </c>
      <c r="X435" s="1" t="s">
        <v>69</v>
      </c>
      <c r="Y435" s="3">
        <v>45740.552083333336</v>
      </c>
      <c r="AA435" s="1">
        <v>1666192.0</v>
      </c>
      <c r="AB435" s="1" t="s">
        <v>55</v>
      </c>
      <c r="AC435" s="1" t="s">
        <v>55</v>
      </c>
      <c r="AD435" s="1" t="s">
        <v>2256</v>
      </c>
      <c r="AE435" s="1" t="s">
        <v>55</v>
      </c>
    </row>
    <row r="436" ht="56.25" customHeight="1">
      <c r="A436" s="1">
        <v>2.1335802337165E13</v>
      </c>
      <c r="B436" s="2" t="s">
        <v>2257</v>
      </c>
      <c r="C436" s="2" t="s">
        <v>2258</v>
      </c>
      <c r="D436" s="1">
        <v>1.9413022613517E13</v>
      </c>
      <c r="E436" s="1" t="s">
        <v>2229</v>
      </c>
      <c r="F436" s="1" t="b">
        <v>0</v>
      </c>
      <c r="G436" s="1" t="s">
        <v>34</v>
      </c>
      <c r="H436" s="1" t="b">
        <v>0</v>
      </c>
      <c r="I436" s="1">
        <v>0.0</v>
      </c>
      <c r="J436" s="1">
        <v>0.0</v>
      </c>
      <c r="K436" s="1">
        <v>0.0</v>
      </c>
      <c r="L436" s="1">
        <v>2.1334868343821E13</v>
      </c>
      <c r="M436" s="1" t="s">
        <v>2230</v>
      </c>
      <c r="N436" s="1" t="str">
        <f t="array" ref="N436">XLOOKUP(A:A,'CategoriasSeções'!A:A,'CategoriasSeções'!B:B)</f>
        <v>Boas Vindas</v>
      </c>
      <c r="O436" s="1" t="s">
        <v>2259</v>
      </c>
      <c r="P436" s="12">
        <v>45244.853472222225</v>
      </c>
      <c r="Q436" s="12">
        <v>45614.76111111111</v>
      </c>
      <c r="R436" s="1" t="s">
        <v>2260</v>
      </c>
      <c r="S436" s="1" t="s">
        <v>2260</v>
      </c>
      <c r="T436" s="1" t="s">
        <v>38</v>
      </c>
      <c r="U436" s="1" t="s">
        <v>38</v>
      </c>
      <c r="V436" s="1" t="s">
        <v>75</v>
      </c>
      <c r="W436" s="1" t="s">
        <v>69</v>
      </c>
      <c r="X436" s="1" t="s">
        <v>69</v>
      </c>
      <c r="Y436" s="12">
        <v>45614.75902777778</v>
      </c>
      <c r="AA436" s="1">
        <v>1666192.0</v>
      </c>
      <c r="AB436" s="1" t="s">
        <v>55</v>
      </c>
      <c r="AC436" s="1" t="s">
        <v>55</v>
      </c>
      <c r="AD436" s="1" t="s">
        <v>2261</v>
      </c>
      <c r="AE436" s="1" t="s">
        <v>55</v>
      </c>
    </row>
    <row r="437" ht="56.25" customHeight="1">
      <c r="A437" s="1">
        <v>2.1321243806605E13</v>
      </c>
      <c r="B437" s="2" t="s">
        <v>2262</v>
      </c>
      <c r="C437" s="2" t="s">
        <v>2263</v>
      </c>
      <c r="D437" s="1">
        <v>1.9413022613517E13</v>
      </c>
      <c r="E437" s="1" t="s">
        <v>2229</v>
      </c>
      <c r="F437" s="1" t="b">
        <v>0</v>
      </c>
      <c r="G437" s="1" t="s">
        <v>34</v>
      </c>
      <c r="H437" s="1" t="b">
        <v>0</v>
      </c>
      <c r="I437" s="1">
        <v>0.0</v>
      </c>
      <c r="J437" s="1">
        <v>0.0</v>
      </c>
      <c r="K437" s="1">
        <v>0.0</v>
      </c>
      <c r="L437" s="1">
        <v>2.1320744364813E13</v>
      </c>
      <c r="M437" s="1" t="s">
        <v>2230</v>
      </c>
      <c r="N437" s="1" t="str">
        <f t="array" ref="N437">XLOOKUP(A:A,'CategoriasSeções'!A:A,'CategoriasSeções'!B:B)</f>
        <v>Financeiro</v>
      </c>
      <c r="O437" s="1" t="s">
        <v>2264</v>
      </c>
      <c r="P437" s="12">
        <v>45244.60625</v>
      </c>
      <c r="Q437" s="12">
        <v>45244.60902777778</v>
      </c>
      <c r="R437" s="1" t="s">
        <v>2265</v>
      </c>
      <c r="S437" s="1" t="s">
        <v>2265</v>
      </c>
      <c r="T437" s="1" t="s">
        <v>38</v>
      </c>
      <c r="U437" s="1" t="s">
        <v>38</v>
      </c>
      <c r="V437" s="1" t="s">
        <v>75</v>
      </c>
      <c r="W437" s="1" t="s">
        <v>69</v>
      </c>
      <c r="X437" s="1" t="s">
        <v>69</v>
      </c>
      <c r="Y437" s="12">
        <v>45244.60902777778</v>
      </c>
      <c r="AA437" s="1">
        <v>1666192.0</v>
      </c>
      <c r="AB437" s="1" t="s">
        <v>55</v>
      </c>
      <c r="AC437" s="1" t="s">
        <v>55</v>
      </c>
      <c r="AD437" s="1" t="s">
        <v>2266</v>
      </c>
      <c r="AE437" s="1" t="s">
        <v>55</v>
      </c>
    </row>
    <row r="438" ht="56.25" customHeight="1">
      <c r="A438" s="1">
        <v>2.1321143473549E13</v>
      </c>
      <c r="B438" s="2" t="s">
        <v>2267</v>
      </c>
      <c r="C438" s="2" t="s">
        <v>2268</v>
      </c>
      <c r="D438" s="1">
        <v>1.9413022613517E13</v>
      </c>
      <c r="E438" s="1" t="s">
        <v>2229</v>
      </c>
      <c r="F438" s="1" t="b">
        <v>0</v>
      </c>
      <c r="G438" s="1" t="s">
        <v>34</v>
      </c>
      <c r="H438" s="1" t="b">
        <v>0</v>
      </c>
      <c r="I438" s="1">
        <v>0.0</v>
      </c>
      <c r="J438" s="1">
        <v>0.0</v>
      </c>
      <c r="K438" s="1">
        <v>0.0</v>
      </c>
      <c r="L438" s="1">
        <v>2.1320744364813E13</v>
      </c>
      <c r="M438" s="1" t="s">
        <v>2230</v>
      </c>
      <c r="N438" s="1" t="str">
        <f t="array" ref="N438">XLOOKUP(A:A,'CategoriasSeções'!A:A,'CategoriasSeções'!B:B)</f>
        <v>Financeiro</v>
      </c>
      <c r="O438" s="1" t="s">
        <v>2264</v>
      </c>
      <c r="P438" s="12">
        <v>45244.604166666664</v>
      </c>
      <c r="Q438" s="12">
        <v>45244.604166666664</v>
      </c>
      <c r="R438" s="1" t="s">
        <v>2269</v>
      </c>
      <c r="S438" s="1" t="s">
        <v>2269</v>
      </c>
      <c r="T438" s="1" t="s">
        <v>38</v>
      </c>
      <c r="U438" s="1" t="s">
        <v>38</v>
      </c>
      <c r="V438" s="1" t="s">
        <v>75</v>
      </c>
      <c r="W438" s="1" t="s">
        <v>69</v>
      </c>
      <c r="X438" s="1" t="s">
        <v>69</v>
      </c>
      <c r="Y438" s="12">
        <v>45244.604166666664</v>
      </c>
      <c r="AA438" s="1">
        <v>1666192.0</v>
      </c>
      <c r="AB438" s="1" t="s">
        <v>55</v>
      </c>
      <c r="AC438" s="1" t="s">
        <v>55</v>
      </c>
      <c r="AD438" s="1" t="s">
        <v>2270</v>
      </c>
      <c r="AE438" s="1" t="s">
        <v>55</v>
      </c>
    </row>
    <row r="439" ht="56.25" customHeight="1">
      <c r="A439" s="1">
        <v>2.1320366235149E13</v>
      </c>
      <c r="B439" s="2" t="s">
        <v>2271</v>
      </c>
      <c r="C439" s="2" t="s">
        <v>2272</v>
      </c>
      <c r="D439" s="1">
        <v>1.9413022613517E13</v>
      </c>
      <c r="E439" s="1" t="s">
        <v>2229</v>
      </c>
      <c r="F439" s="1" t="b">
        <v>0</v>
      </c>
      <c r="G439" s="1" t="s">
        <v>34</v>
      </c>
      <c r="H439" s="1" t="b">
        <v>0</v>
      </c>
      <c r="I439" s="1">
        <v>0.0</v>
      </c>
      <c r="J439" s="1">
        <v>0.0</v>
      </c>
      <c r="K439" s="1">
        <v>0.0</v>
      </c>
      <c r="L439" s="1">
        <v>2.1320314293901E13</v>
      </c>
      <c r="M439" s="1" t="s">
        <v>2230</v>
      </c>
      <c r="N439" s="1" t="str">
        <f t="array" ref="N439">XLOOKUP(A:A,'CategoriasSeções'!A:A,'CategoriasSeções'!B:B)</f>
        <v>Financeiro</v>
      </c>
      <c r="O439" s="1" t="s">
        <v>96</v>
      </c>
      <c r="P439" s="12">
        <v>45244.59097222222</v>
      </c>
      <c r="Q439" s="12">
        <v>45244.59375</v>
      </c>
      <c r="R439" s="1" t="s">
        <v>2273</v>
      </c>
      <c r="S439" s="1" t="s">
        <v>2273</v>
      </c>
      <c r="T439" s="1" t="s">
        <v>38</v>
      </c>
      <c r="U439" s="1" t="s">
        <v>38</v>
      </c>
      <c r="V439" s="1" t="s">
        <v>75</v>
      </c>
      <c r="W439" s="1" t="s">
        <v>69</v>
      </c>
      <c r="X439" s="1" t="s">
        <v>69</v>
      </c>
      <c r="Y439" s="12">
        <v>45244.59375</v>
      </c>
      <c r="AA439" s="1">
        <v>1666192.0</v>
      </c>
      <c r="AB439" s="1" t="s">
        <v>55</v>
      </c>
      <c r="AC439" s="1" t="s">
        <v>55</v>
      </c>
      <c r="AD439" s="1" t="s">
        <v>2274</v>
      </c>
      <c r="AE439" s="1" t="s">
        <v>55</v>
      </c>
    </row>
    <row r="440" ht="56.25" customHeight="1">
      <c r="A440" s="1">
        <v>2.1194573757837E13</v>
      </c>
      <c r="B440" s="2" t="s">
        <v>2275</v>
      </c>
      <c r="C440" s="2" t="s">
        <v>2276</v>
      </c>
      <c r="D440" s="1">
        <v>1.9413022613517E13</v>
      </c>
      <c r="E440" s="1" t="s">
        <v>2229</v>
      </c>
      <c r="F440" s="1" t="b">
        <v>0</v>
      </c>
      <c r="G440" s="1" t="s">
        <v>34</v>
      </c>
      <c r="H440" s="1" t="b">
        <v>0</v>
      </c>
      <c r="I440" s="1">
        <v>0.0</v>
      </c>
      <c r="J440" s="1">
        <v>0.0</v>
      </c>
      <c r="K440" s="1">
        <v>0.0</v>
      </c>
      <c r="L440" s="1">
        <v>3.1974262386317E13</v>
      </c>
      <c r="M440" s="1" t="s">
        <v>2230</v>
      </c>
      <c r="N440" s="1" t="str">
        <f t="array" ref="N440">XLOOKUP(A:A,'CategoriasSeções'!A:A,'CategoriasSeções'!B:B)</f>
        <v>Boas Vindas</v>
      </c>
      <c r="O440" s="1" t="s">
        <v>2277</v>
      </c>
      <c r="P440" s="3">
        <v>45239.854166666664</v>
      </c>
      <c r="Q440" s="12">
        <v>45614.782638888886</v>
      </c>
      <c r="R440" s="1" t="s">
        <v>2278</v>
      </c>
      <c r="S440" s="1" t="s">
        <v>2278</v>
      </c>
      <c r="T440" s="1" t="s">
        <v>38</v>
      </c>
      <c r="U440" s="1" t="s">
        <v>38</v>
      </c>
      <c r="V440" s="1" t="s">
        <v>75</v>
      </c>
      <c r="W440" s="1" t="s">
        <v>69</v>
      </c>
      <c r="X440" s="1" t="s">
        <v>69</v>
      </c>
      <c r="Y440" s="3">
        <v>45239.85902777778</v>
      </c>
      <c r="AA440" s="1">
        <v>1666192.0</v>
      </c>
      <c r="AB440" s="1" t="s">
        <v>55</v>
      </c>
      <c r="AC440" s="1" t="s">
        <v>55</v>
      </c>
      <c r="AD440" s="1" t="s">
        <v>2279</v>
      </c>
      <c r="AE440" s="1" t="s">
        <v>55</v>
      </c>
    </row>
    <row r="441" ht="56.25" customHeight="1">
      <c r="A441" s="1">
        <v>2.1193197828493E13</v>
      </c>
      <c r="B441" s="2" t="s">
        <v>2280</v>
      </c>
      <c r="C441" s="2" t="s">
        <v>2281</v>
      </c>
      <c r="D441" s="1">
        <v>1.9413022613517E13</v>
      </c>
      <c r="E441" s="1" t="s">
        <v>2229</v>
      </c>
      <c r="F441" s="1" t="b">
        <v>0</v>
      </c>
      <c r="G441" s="1" t="s">
        <v>34</v>
      </c>
      <c r="H441" s="1" t="b">
        <v>0</v>
      </c>
      <c r="I441" s="1">
        <v>0.0</v>
      </c>
      <c r="J441" s="1">
        <v>0.0</v>
      </c>
      <c r="K441" s="1">
        <v>0.0</v>
      </c>
      <c r="L441" s="1">
        <v>2.1190937544717E13</v>
      </c>
      <c r="M441" s="1" t="s">
        <v>2230</v>
      </c>
      <c r="N441" s="1" t="str">
        <f t="array" ref="N441">XLOOKUP(A:A,'CategoriasSeções'!A:A,'CategoriasSeções'!B:B)</f>
        <v>Qualidade</v>
      </c>
      <c r="O441" s="1" t="s">
        <v>2282</v>
      </c>
      <c r="P441" s="3">
        <v>45239.83125</v>
      </c>
      <c r="Q441" s="3">
        <v>45239.839583333334</v>
      </c>
      <c r="R441" s="1" t="s">
        <v>2283</v>
      </c>
      <c r="S441" s="1" t="s">
        <v>2283</v>
      </c>
      <c r="T441" s="1" t="s">
        <v>38</v>
      </c>
      <c r="U441" s="1" t="s">
        <v>38</v>
      </c>
      <c r="V441" s="1" t="s">
        <v>75</v>
      </c>
      <c r="W441" s="1" t="s">
        <v>69</v>
      </c>
      <c r="X441" s="1" t="s">
        <v>69</v>
      </c>
      <c r="Y441" s="3">
        <v>45239.839583333334</v>
      </c>
      <c r="AA441" s="1">
        <v>1666192.0</v>
      </c>
      <c r="AB441" s="1" t="s">
        <v>55</v>
      </c>
      <c r="AC441" s="1" t="s">
        <v>55</v>
      </c>
      <c r="AD441" s="1" t="s">
        <v>2284</v>
      </c>
      <c r="AE441" s="1" t="s">
        <v>55</v>
      </c>
    </row>
    <row r="442" ht="56.25" customHeight="1">
      <c r="A442" s="1">
        <v>2.1191337151245E13</v>
      </c>
      <c r="B442" s="2" t="s">
        <v>2285</v>
      </c>
      <c r="C442" s="2" t="s">
        <v>2286</v>
      </c>
      <c r="D442" s="1">
        <v>1.9413022613517E13</v>
      </c>
      <c r="E442" s="1" t="s">
        <v>2229</v>
      </c>
      <c r="F442" s="1" t="b">
        <v>0</v>
      </c>
      <c r="G442" s="1" t="s">
        <v>34</v>
      </c>
      <c r="H442" s="1" t="b">
        <v>0</v>
      </c>
      <c r="I442" s="1">
        <v>0.0</v>
      </c>
      <c r="J442" s="1">
        <v>0.0</v>
      </c>
      <c r="K442" s="1">
        <v>0.0</v>
      </c>
      <c r="L442" s="1">
        <v>2.1190937544717E13</v>
      </c>
      <c r="M442" s="1" t="s">
        <v>2230</v>
      </c>
      <c r="N442" s="1" t="str">
        <f t="array" ref="N442">XLOOKUP(A:A,'CategoriasSeções'!A:A,'CategoriasSeções'!B:B)</f>
        <v>Qualidade</v>
      </c>
      <c r="O442" s="1" t="s">
        <v>2282</v>
      </c>
      <c r="P442" s="3">
        <v>45239.79861111111</v>
      </c>
      <c r="Q442" s="3">
        <v>45239.80486111111</v>
      </c>
      <c r="R442" s="1" t="s">
        <v>2287</v>
      </c>
      <c r="S442" s="1" t="s">
        <v>2287</v>
      </c>
      <c r="T442" s="1" t="s">
        <v>38</v>
      </c>
      <c r="U442" s="1" t="s">
        <v>38</v>
      </c>
      <c r="V442" s="1" t="s">
        <v>75</v>
      </c>
      <c r="W442" s="1" t="s">
        <v>69</v>
      </c>
      <c r="X442" s="1" t="s">
        <v>69</v>
      </c>
      <c r="Y442" s="3">
        <v>45239.79861111111</v>
      </c>
      <c r="AA442" s="1">
        <v>1666192.0</v>
      </c>
      <c r="AB442" s="1" t="s">
        <v>55</v>
      </c>
      <c r="AC442" s="1" t="s">
        <v>55</v>
      </c>
      <c r="AD442" s="1" t="s">
        <v>2288</v>
      </c>
      <c r="AE442" s="1" t="s">
        <v>55</v>
      </c>
    </row>
    <row r="443" ht="56.25" customHeight="1">
      <c r="A443" s="1">
        <v>2.1191019931405E13</v>
      </c>
      <c r="B443" s="2" t="s">
        <v>2289</v>
      </c>
      <c r="C443" s="2" t="s">
        <v>2290</v>
      </c>
      <c r="D443" s="1">
        <v>1.9413022613517E13</v>
      </c>
      <c r="E443" s="1" t="s">
        <v>2229</v>
      </c>
      <c r="F443" s="1" t="b">
        <v>0</v>
      </c>
      <c r="G443" s="1" t="s">
        <v>34</v>
      </c>
      <c r="H443" s="1" t="b">
        <v>0</v>
      </c>
      <c r="I443" s="1">
        <v>0.0</v>
      </c>
      <c r="J443" s="1">
        <v>0.0</v>
      </c>
      <c r="K443" s="1">
        <v>0.0</v>
      </c>
      <c r="L443" s="1">
        <v>2.1190937544717E13</v>
      </c>
      <c r="M443" s="1" t="s">
        <v>2230</v>
      </c>
      <c r="N443" s="1" t="str">
        <f t="array" ref="N443">XLOOKUP(A:A,'CategoriasSeções'!A:A,'CategoriasSeções'!B:B)</f>
        <v>Qualidade</v>
      </c>
      <c r="O443" s="1" t="s">
        <v>2282</v>
      </c>
      <c r="P443" s="3">
        <v>45239.794444444444</v>
      </c>
      <c r="Q443" s="3">
        <v>45239.836805555555</v>
      </c>
      <c r="R443" s="1" t="s">
        <v>2291</v>
      </c>
      <c r="S443" s="1" t="s">
        <v>2291</v>
      </c>
      <c r="T443" s="1" t="s">
        <v>38</v>
      </c>
      <c r="U443" s="1" t="s">
        <v>38</v>
      </c>
      <c r="V443" s="1" t="s">
        <v>75</v>
      </c>
      <c r="W443" s="1" t="s">
        <v>69</v>
      </c>
      <c r="X443" s="1" t="s">
        <v>69</v>
      </c>
      <c r="Y443" s="3">
        <v>45239.836805555555</v>
      </c>
      <c r="AA443" s="1">
        <v>1666192.0</v>
      </c>
      <c r="AB443" s="1" t="s">
        <v>55</v>
      </c>
      <c r="AC443" s="1" t="s">
        <v>55</v>
      </c>
      <c r="AD443" s="1" t="s">
        <v>2292</v>
      </c>
      <c r="AE443" s="1" t="s">
        <v>55</v>
      </c>
    </row>
    <row r="444" ht="56.25" customHeight="1">
      <c r="A444" s="1">
        <v>1.7576958544269E13</v>
      </c>
      <c r="B444" s="2" t="s">
        <v>2293</v>
      </c>
      <c r="C444" s="2" t="s">
        <v>2294</v>
      </c>
      <c r="D444" s="1">
        <v>1.5677762558733E13</v>
      </c>
      <c r="E444" s="1" t="s">
        <v>2162</v>
      </c>
      <c r="F444" s="1" t="b">
        <v>0</v>
      </c>
      <c r="G444" s="1" t="s">
        <v>34</v>
      </c>
      <c r="H444" s="1" t="b">
        <v>0</v>
      </c>
      <c r="I444" s="1">
        <v>0.0</v>
      </c>
      <c r="J444" s="1">
        <v>1.0</v>
      </c>
      <c r="K444" s="1">
        <v>1.0</v>
      </c>
      <c r="L444" s="1">
        <v>2.1537853283213E13</v>
      </c>
      <c r="M444" s="1" t="s">
        <v>2230</v>
      </c>
      <c r="N444" s="1" t="str">
        <f t="array" ref="N444">XLOOKUP(A:A,'CategoriasSeções'!A:A,'CategoriasSeções'!B:B)</f>
        <v>Armazém Alfandegado</v>
      </c>
      <c r="O444" s="1" t="s">
        <v>2236</v>
      </c>
      <c r="P444" s="3">
        <v>45120.61388888889</v>
      </c>
      <c r="Q444" s="12">
        <v>45251.725694444445</v>
      </c>
      <c r="R444" s="1" t="s">
        <v>2295</v>
      </c>
      <c r="S444" s="1" t="s">
        <v>2295</v>
      </c>
      <c r="T444" s="1" t="s">
        <v>38</v>
      </c>
      <c r="U444" s="1" t="s">
        <v>38</v>
      </c>
      <c r="V444" s="1" t="s">
        <v>75</v>
      </c>
      <c r="W444" s="1" t="s">
        <v>69</v>
      </c>
      <c r="X444" s="1" t="s">
        <v>69</v>
      </c>
      <c r="Y444" s="12">
        <v>45246.55</v>
      </c>
      <c r="AA444" s="1">
        <v>1666192.0</v>
      </c>
      <c r="AB444" s="1" t="s">
        <v>55</v>
      </c>
      <c r="AC444" s="1" t="s">
        <v>55</v>
      </c>
      <c r="AD444" s="1" t="s">
        <v>2296</v>
      </c>
      <c r="AE444" s="1" t="s">
        <v>55</v>
      </c>
    </row>
    <row r="445" ht="56.25" customHeight="1">
      <c r="A445" s="1">
        <v>1.7576949803149E13</v>
      </c>
      <c r="B445" s="2" t="s">
        <v>2297</v>
      </c>
      <c r="C445" s="2" t="s">
        <v>2298</v>
      </c>
      <c r="D445" s="1">
        <v>1.5677762558733E13</v>
      </c>
      <c r="E445" s="1" t="s">
        <v>2162</v>
      </c>
      <c r="F445" s="1" t="b">
        <v>0</v>
      </c>
      <c r="G445" s="1" t="s">
        <v>34</v>
      </c>
      <c r="H445" s="1" t="b">
        <v>0</v>
      </c>
      <c r="I445" s="1">
        <v>0.0</v>
      </c>
      <c r="J445" s="1">
        <v>1.0</v>
      </c>
      <c r="K445" s="1">
        <v>1.0</v>
      </c>
      <c r="L445" s="1">
        <v>1.7577114179597E13</v>
      </c>
      <c r="M445" s="1" t="s">
        <v>2230</v>
      </c>
      <c r="N445" s="1" t="str">
        <f t="array" ref="N445">XLOOKUP(A:A,'CategoriasSeções'!A:A,'CategoriasSeções'!B:B)</f>
        <v>Aduaneiro</v>
      </c>
      <c r="O445" s="1" t="s">
        <v>2231</v>
      </c>
      <c r="P445" s="3">
        <v>45120.61388888889</v>
      </c>
      <c r="Q445" s="3">
        <v>45740.552083333336</v>
      </c>
      <c r="R445" s="1" t="s">
        <v>2299</v>
      </c>
      <c r="S445" s="1" t="s">
        <v>2299</v>
      </c>
      <c r="T445" s="1" t="s">
        <v>38</v>
      </c>
      <c r="U445" s="1" t="s">
        <v>38</v>
      </c>
      <c r="V445" s="1" t="s">
        <v>75</v>
      </c>
      <c r="W445" s="1" t="s">
        <v>69</v>
      </c>
      <c r="X445" s="1" t="s">
        <v>69</v>
      </c>
      <c r="Y445" s="3">
        <v>45740.552083333336</v>
      </c>
      <c r="AA445" s="1">
        <v>1666192.0</v>
      </c>
      <c r="AB445" s="1" t="s">
        <v>55</v>
      </c>
      <c r="AC445" s="1" t="s">
        <v>55</v>
      </c>
      <c r="AD445" s="1" t="s">
        <v>2300</v>
      </c>
      <c r="AE445" s="1" t="s">
        <v>55</v>
      </c>
    </row>
    <row r="446" ht="56.25" customHeight="1">
      <c r="A446" s="1">
        <v>1.7576960767501E13</v>
      </c>
      <c r="B446" s="2" t="s">
        <v>2301</v>
      </c>
      <c r="C446" s="2" t="s">
        <v>2302</v>
      </c>
      <c r="D446" s="1">
        <v>1.5677762558733E13</v>
      </c>
      <c r="E446" s="1" t="s">
        <v>2162</v>
      </c>
      <c r="F446" s="1" t="b">
        <v>0</v>
      </c>
      <c r="G446" s="1" t="s">
        <v>34</v>
      </c>
      <c r="H446" s="1" t="b">
        <v>0</v>
      </c>
      <c r="I446" s="1">
        <v>0.0</v>
      </c>
      <c r="J446" s="1">
        <v>1.0</v>
      </c>
      <c r="K446" s="1">
        <v>1.0</v>
      </c>
      <c r="L446" s="1">
        <v>1.7577114179597E13</v>
      </c>
      <c r="M446" s="1" t="s">
        <v>2230</v>
      </c>
      <c r="N446" s="1" t="str">
        <f t="array" ref="N446">XLOOKUP(A:A,'CategoriasSeções'!A:A,'CategoriasSeções'!B:B)</f>
        <v>Aduaneiro</v>
      </c>
      <c r="O446" s="1" t="s">
        <v>2231</v>
      </c>
      <c r="P446" s="3">
        <v>45120.61319444444</v>
      </c>
      <c r="Q446" s="3">
        <v>45196.802777777775</v>
      </c>
      <c r="R446" s="1" t="s">
        <v>2303</v>
      </c>
      <c r="S446" s="1" t="s">
        <v>2303</v>
      </c>
      <c r="T446" s="1" t="s">
        <v>38</v>
      </c>
      <c r="U446" s="1" t="s">
        <v>38</v>
      </c>
      <c r="V446" s="1" t="s">
        <v>75</v>
      </c>
      <c r="W446" s="1" t="s">
        <v>69</v>
      </c>
      <c r="X446" s="1" t="s">
        <v>69</v>
      </c>
      <c r="Y446" s="3">
        <v>45196.802777777775</v>
      </c>
      <c r="AA446" s="1">
        <v>1666192.0</v>
      </c>
      <c r="AB446" s="1" t="s">
        <v>55</v>
      </c>
      <c r="AC446" s="1" t="s">
        <v>55</v>
      </c>
      <c r="AD446" s="1" t="s">
        <v>2304</v>
      </c>
      <c r="AE446" s="1" t="s">
        <v>55</v>
      </c>
    </row>
    <row r="447" ht="56.25" customHeight="1">
      <c r="A447" s="1">
        <v>2.1548989029773E13</v>
      </c>
      <c r="B447" s="2" t="s">
        <v>2305</v>
      </c>
      <c r="C447" s="2" t="s">
        <v>2306</v>
      </c>
      <c r="D447" s="1">
        <v>1.9413022613517E13</v>
      </c>
      <c r="E447" s="1" t="s">
        <v>2229</v>
      </c>
      <c r="F447" s="1" t="b">
        <v>0</v>
      </c>
      <c r="G447" s="1" t="s">
        <v>34</v>
      </c>
      <c r="H447" s="1" t="b">
        <v>0</v>
      </c>
      <c r="I447" s="1">
        <v>1.0</v>
      </c>
      <c r="J447" s="1">
        <v>1.0</v>
      </c>
      <c r="K447" s="1">
        <v>1.0</v>
      </c>
      <c r="L447" s="1">
        <v>2.1436245739277E13</v>
      </c>
      <c r="M447" s="1" t="s">
        <v>2230</v>
      </c>
      <c r="N447" s="1" t="str">
        <f t="array" ref="N447">XLOOKUP(A:A,'CategoriasSeções'!A:A,'CategoriasSeções'!B:B)</f>
        <v>Aduaneiro</v>
      </c>
      <c r="O447" s="1" t="s">
        <v>2250</v>
      </c>
      <c r="P447" s="12">
        <v>45251.77013888889</v>
      </c>
      <c r="Q447" s="3">
        <v>45315.538194444445</v>
      </c>
      <c r="R447" s="1" t="s">
        <v>2307</v>
      </c>
      <c r="S447" s="1" t="s">
        <v>2307</v>
      </c>
      <c r="T447" s="1" t="s">
        <v>38</v>
      </c>
      <c r="U447" s="1" t="s">
        <v>38</v>
      </c>
      <c r="V447" s="1" t="s">
        <v>75</v>
      </c>
      <c r="W447" s="1" t="s">
        <v>69</v>
      </c>
      <c r="X447" s="1" t="s">
        <v>69</v>
      </c>
      <c r="Y447" s="3">
        <v>45315.538194444445</v>
      </c>
      <c r="AA447" s="1">
        <v>1666192.0</v>
      </c>
      <c r="AB447" s="1" t="s">
        <v>55</v>
      </c>
      <c r="AC447" s="1" t="s">
        <v>55</v>
      </c>
      <c r="AD447" s="1" t="s">
        <v>2308</v>
      </c>
      <c r="AE447" s="1" t="s">
        <v>55</v>
      </c>
    </row>
    <row r="448" ht="56.25" customHeight="1">
      <c r="A448" s="1">
        <v>2.1539182906509E13</v>
      </c>
      <c r="B448" s="2" t="s">
        <v>2309</v>
      </c>
      <c r="C448" s="2" t="s">
        <v>2310</v>
      </c>
      <c r="D448" s="1">
        <v>1.9413022613517E13</v>
      </c>
      <c r="E448" s="1" t="s">
        <v>2229</v>
      </c>
      <c r="F448" s="1" t="b">
        <v>0</v>
      </c>
      <c r="G448" s="1" t="s">
        <v>34</v>
      </c>
      <c r="H448" s="1" t="b">
        <v>0</v>
      </c>
      <c r="I448" s="1">
        <v>1.0</v>
      </c>
      <c r="J448" s="1">
        <v>1.0</v>
      </c>
      <c r="K448" s="1">
        <v>1.0</v>
      </c>
      <c r="L448" s="1">
        <v>2.1537853283213E13</v>
      </c>
      <c r="M448" s="1" t="s">
        <v>2230</v>
      </c>
      <c r="N448" s="1" t="str">
        <f t="array" ref="N448">XLOOKUP(A:A,'CategoriasSeções'!A:A,'CategoriasSeções'!B:B)</f>
        <v>Armazém Alfandegado</v>
      </c>
      <c r="O448" s="1" t="s">
        <v>2236</v>
      </c>
      <c r="P448" s="12">
        <v>45251.61597222222</v>
      </c>
      <c r="Q448" s="3">
        <v>45315.5375</v>
      </c>
      <c r="R448" s="1" t="s">
        <v>2311</v>
      </c>
      <c r="S448" s="1" t="s">
        <v>2311</v>
      </c>
      <c r="T448" s="1" t="s">
        <v>38</v>
      </c>
      <c r="U448" s="1" t="s">
        <v>38</v>
      </c>
      <c r="V448" s="1" t="s">
        <v>75</v>
      </c>
      <c r="W448" s="1" t="s">
        <v>69</v>
      </c>
      <c r="X448" s="1" t="s">
        <v>69</v>
      </c>
      <c r="Y448" s="3">
        <v>45315.5375</v>
      </c>
      <c r="AA448" s="1">
        <v>1666192.0</v>
      </c>
      <c r="AB448" s="1" t="s">
        <v>55</v>
      </c>
      <c r="AC448" s="1" t="s">
        <v>55</v>
      </c>
      <c r="AD448" s="1" t="s">
        <v>2312</v>
      </c>
      <c r="AE448" s="1" t="s">
        <v>55</v>
      </c>
    </row>
    <row r="449" ht="56.25" customHeight="1">
      <c r="A449" s="1">
        <v>2.1334091379085E13</v>
      </c>
      <c r="B449" s="2" t="s">
        <v>2313</v>
      </c>
      <c r="C449" s="2" t="s">
        <v>2314</v>
      </c>
      <c r="D449" s="1">
        <v>1.9413022613517E13</v>
      </c>
      <c r="E449" s="1" t="s">
        <v>2229</v>
      </c>
      <c r="F449" s="1" t="b">
        <v>0</v>
      </c>
      <c r="G449" s="1" t="s">
        <v>34</v>
      </c>
      <c r="H449" s="1" t="b">
        <v>0</v>
      </c>
      <c r="I449" s="1">
        <v>1.0</v>
      </c>
      <c r="J449" s="1">
        <v>0.0</v>
      </c>
      <c r="K449" s="1">
        <v>0.0</v>
      </c>
      <c r="L449" s="1">
        <v>2.1330927376525E13</v>
      </c>
      <c r="M449" s="1" t="s">
        <v>2230</v>
      </c>
      <c r="N449" s="1" t="str">
        <f t="array" ref="N449">XLOOKUP(A:A,'CategoriasSeções'!A:A,'CategoriasSeções'!B:B)</f>
        <v>Atendimento</v>
      </c>
      <c r="O449" s="1" t="s">
        <v>2315</v>
      </c>
      <c r="P449" s="12">
        <v>45244.822916666664</v>
      </c>
      <c r="Q449" s="12">
        <v>45614.78125</v>
      </c>
      <c r="R449" s="1" t="s">
        <v>2316</v>
      </c>
      <c r="S449" s="1" t="s">
        <v>2316</v>
      </c>
      <c r="T449" s="1" t="s">
        <v>38</v>
      </c>
      <c r="U449" s="1" t="s">
        <v>38</v>
      </c>
      <c r="V449" s="1" t="s">
        <v>75</v>
      </c>
      <c r="W449" s="1" t="s">
        <v>69</v>
      </c>
      <c r="X449" s="1" t="s">
        <v>69</v>
      </c>
      <c r="Y449" s="12">
        <v>45614.78125</v>
      </c>
      <c r="AA449" s="1">
        <v>1666192.0</v>
      </c>
      <c r="AB449" s="1" t="s">
        <v>55</v>
      </c>
      <c r="AC449" s="1" t="s">
        <v>55</v>
      </c>
      <c r="AD449" s="1" t="s">
        <v>2317</v>
      </c>
      <c r="AE449" s="1" t="s">
        <v>55</v>
      </c>
    </row>
    <row r="450" ht="56.25" customHeight="1">
      <c r="A450" s="1">
        <v>2.1330992215437E13</v>
      </c>
      <c r="B450" s="2" t="s">
        <v>2318</v>
      </c>
      <c r="C450" s="2" t="s">
        <v>2319</v>
      </c>
      <c r="D450" s="1">
        <v>1.9413022613517E13</v>
      </c>
      <c r="E450" s="1" t="s">
        <v>2229</v>
      </c>
      <c r="F450" s="1" t="b">
        <v>0</v>
      </c>
      <c r="G450" s="1" t="s">
        <v>34</v>
      </c>
      <c r="H450" s="1" t="b">
        <v>0</v>
      </c>
      <c r="I450" s="1">
        <v>1.0</v>
      </c>
      <c r="J450" s="1">
        <v>0.0</v>
      </c>
      <c r="K450" s="1">
        <v>0.0</v>
      </c>
      <c r="L450" s="1">
        <v>3.1974174262285E13</v>
      </c>
      <c r="M450" s="1" t="s">
        <v>2230</v>
      </c>
      <c r="N450" s="1" t="str">
        <f t="array" ref="N450">XLOOKUP(A:A,'CategoriasSeções'!A:A,'CategoriasSeções'!B:B)</f>
        <v>Boas Vindas</v>
      </c>
      <c r="O450" s="1" t="s">
        <v>2320</v>
      </c>
      <c r="P450" s="12">
        <v>45244.76597222222</v>
      </c>
      <c r="Q450" s="12">
        <v>45614.77361111111</v>
      </c>
      <c r="R450" s="1" t="s">
        <v>2321</v>
      </c>
      <c r="S450" s="1" t="s">
        <v>2321</v>
      </c>
      <c r="T450" s="1" t="s">
        <v>38</v>
      </c>
      <c r="U450" s="1" t="s">
        <v>38</v>
      </c>
      <c r="V450" s="1" t="s">
        <v>75</v>
      </c>
      <c r="W450" s="1" t="s">
        <v>69</v>
      </c>
      <c r="X450" s="1" t="s">
        <v>69</v>
      </c>
      <c r="Y450" s="12">
        <v>45614.731944444444</v>
      </c>
      <c r="AA450" s="1">
        <v>1666192.0</v>
      </c>
      <c r="AB450" s="1" t="s">
        <v>55</v>
      </c>
      <c r="AC450" s="1" t="s">
        <v>55</v>
      </c>
      <c r="AD450" s="1" t="s">
        <v>2322</v>
      </c>
      <c r="AE450" s="1" t="s">
        <v>55</v>
      </c>
    </row>
    <row r="451" ht="56.25" customHeight="1">
      <c r="A451" s="1">
        <v>3.1977286869773E13</v>
      </c>
      <c r="B451" s="2" t="s">
        <v>2323</v>
      </c>
      <c r="C451" s="2" t="s">
        <v>2324</v>
      </c>
      <c r="D451" s="1">
        <v>1.9413022613517E13</v>
      </c>
      <c r="E451" s="1" t="s">
        <v>2229</v>
      </c>
      <c r="F451" s="1" t="b">
        <v>0</v>
      </c>
      <c r="G451" s="1" t="s">
        <v>34</v>
      </c>
      <c r="H451" s="1" t="b">
        <v>0</v>
      </c>
      <c r="I451" s="1">
        <v>2.0</v>
      </c>
      <c r="J451" s="1">
        <v>0.0</v>
      </c>
      <c r="K451" s="1">
        <v>0.0</v>
      </c>
      <c r="L451" s="1">
        <v>3.1974174262285E13</v>
      </c>
      <c r="M451" s="1" t="s">
        <v>2230</v>
      </c>
      <c r="N451" s="1" t="str">
        <f t="array" ref="N451">XLOOKUP(A:A,'CategoriasSeções'!A:A,'CategoriasSeções'!B:B)</f>
        <v>Boas Vindas</v>
      </c>
      <c r="O451" s="1" t="s">
        <v>2320</v>
      </c>
      <c r="P451" s="12">
        <v>45614.76736111111</v>
      </c>
      <c r="Q451" s="12">
        <v>45614.77361111111</v>
      </c>
      <c r="R451" s="1" t="s">
        <v>2325</v>
      </c>
      <c r="S451" s="1" t="s">
        <v>2325</v>
      </c>
      <c r="T451" s="1" t="s">
        <v>38</v>
      </c>
      <c r="U451" s="1" t="s">
        <v>38</v>
      </c>
      <c r="V451" s="1" t="s">
        <v>75</v>
      </c>
      <c r="W451" s="1" t="s">
        <v>69</v>
      </c>
      <c r="X451" s="1" t="s">
        <v>69</v>
      </c>
      <c r="Y451" s="12">
        <v>45614.76736111111</v>
      </c>
      <c r="AA451" s="1">
        <v>1666192.0</v>
      </c>
      <c r="AB451" s="1" t="s">
        <v>55</v>
      </c>
      <c r="AC451" s="1" t="s">
        <v>55</v>
      </c>
      <c r="AD451" s="1" t="s">
        <v>2326</v>
      </c>
      <c r="AE451" s="1" t="s">
        <v>55</v>
      </c>
    </row>
    <row r="452" ht="56.25" customHeight="1">
      <c r="A452" s="1">
        <v>2.1548644503437E13</v>
      </c>
      <c r="B452" s="2" t="s">
        <v>2327</v>
      </c>
      <c r="C452" s="2" t="s">
        <v>2328</v>
      </c>
      <c r="D452" s="1">
        <v>1.9413022613517E13</v>
      </c>
      <c r="E452" s="1" t="s">
        <v>2229</v>
      </c>
      <c r="F452" s="1" t="b">
        <v>0</v>
      </c>
      <c r="G452" s="1" t="s">
        <v>34</v>
      </c>
      <c r="H452" s="1" t="b">
        <v>0</v>
      </c>
      <c r="I452" s="1">
        <v>2.0</v>
      </c>
      <c r="J452" s="1">
        <v>0.0</v>
      </c>
      <c r="K452" s="1">
        <v>0.0</v>
      </c>
      <c r="L452" s="1">
        <v>2.1436245739277E13</v>
      </c>
      <c r="M452" s="1" t="s">
        <v>2230</v>
      </c>
      <c r="N452" s="1" t="str">
        <f t="array" ref="N452">XLOOKUP(A:A,'CategoriasSeções'!A:A,'CategoriasSeções'!B:B)</f>
        <v>Aduaneiro</v>
      </c>
      <c r="O452" s="1" t="s">
        <v>2250</v>
      </c>
      <c r="P452" s="12">
        <v>45251.76458333333</v>
      </c>
      <c r="Q452" s="3">
        <v>45315.538194444445</v>
      </c>
      <c r="R452" s="1" t="s">
        <v>2329</v>
      </c>
      <c r="S452" s="1" t="s">
        <v>2329</v>
      </c>
      <c r="T452" s="1" t="s">
        <v>38</v>
      </c>
      <c r="U452" s="1" t="s">
        <v>38</v>
      </c>
      <c r="V452" s="1" t="s">
        <v>75</v>
      </c>
      <c r="W452" s="1" t="s">
        <v>69</v>
      </c>
      <c r="X452" s="1" t="s">
        <v>69</v>
      </c>
      <c r="Y452" s="3">
        <v>45315.538194444445</v>
      </c>
      <c r="AA452" s="1">
        <v>1666192.0</v>
      </c>
      <c r="AB452" s="1" t="s">
        <v>55</v>
      </c>
      <c r="AC452" s="1" t="s">
        <v>55</v>
      </c>
      <c r="AD452" s="1" t="s">
        <v>2330</v>
      </c>
      <c r="AE452" s="1" t="s">
        <v>55</v>
      </c>
    </row>
    <row r="453" ht="56.25" customHeight="1">
      <c r="A453" s="1">
        <v>2.1538404709901E13</v>
      </c>
      <c r="B453" s="2" t="s">
        <v>2331</v>
      </c>
      <c r="C453" s="2" t="s">
        <v>2332</v>
      </c>
      <c r="D453" s="1">
        <v>1.9413022613517E13</v>
      </c>
      <c r="E453" s="1" t="s">
        <v>2229</v>
      </c>
      <c r="F453" s="1" t="b">
        <v>0</v>
      </c>
      <c r="G453" s="1" t="s">
        <v>34</v>
      </c>
      <c r="H453" s="1" t="b">
        <v>0</v>
      </c>
      <c r="I453" s="1">
        <v>2.0</v>
      </c>
      <c r="J453" s="1">
        <v>1.0</v>
      </c>
      <c r="K453" s="1">
        <v>1.0</v>
      </c>
      <c r="L453" s="1">
        <v>2.1537853283213E13</v>
      </c>
      <c r="M453" s="1" t="s">
        <v>2230</v>
      </c>
      <c r="N453" s="1" t="str">
        <f t="array" ref="N453">XLOOKUP(A:A,'CategoriasSeções'!A:A,'CategoriasSeções'!B:B)</f>
        <v>Armazém Alfandegado</v>
      </c>
      <c r="O453" s="1" t="s">
        <v>2236</v>
      </c>
      <c r="P453" s="12">
        <v>45251.60138888889</v>
      </c>
      <c r="Q453" s="12">
        <v>45251.725694444445</v>
      </c>
      <c r="R453" s="1" t="s">
        <v>2333</v>
      </c>
      <c r="S453" s="1" t="s">
        <v>2333</v>
      </c>
      <c r="T453" s="1" t="s">
        <v>38</v>
      </c>
      <c r="U453" s="1" t="s">
        <v>38</v>
      </c>
      <c r="V453" s="1" t="s">
        <v>75</v>
      </c>
      <c r="W453" s="1" t="s">
        <v>69</v>
      </c>
      <c r="X453" s="1" t="s">
        <v>69</v>
      </c>
      <c r="Y453" s="12">
        <v>45251.60138888889</v>
      </c>
      <c r="AA453" s="1">
        <v>1666192.0</v>
      </c>
      <c r="AB453" s="1" t="s">
        <v>2334</v>
      </c>
      <c r="AC453" s="1" t="s">
        <v>55</v>
      </c>
      <c r="AD453" s="1" t="s">
        <v>2335</v>
      </c>
      <c r="AE453" s="1" t="s">
        <v>55</v>
      </c>
    </row>
    <row r="454" ht="56.25" customHeight="1">
      <c r="A454" s="1">
        <v>2.1335033812621E13</v>
      </c>
      <c r="B454" s="2" t="s">
        <v>2336</v>
      </c>
      <c r="C454" s="2" t="s">
        <v>2337</v>
      </c>
      <c r="D454" s="1">
        <v>1.9413022613517E13</v>
      </c>
      <c r="E454" s="1" t="s">
        <v>2229</v>
      </c>
      <c r="F454" s="1" t="b">
        <v>0</v>
      </c>
      <c r="G454" s="1" t="s">
        <v>34</v>
      </c>
      <c r="H454" s="1" t="b">
        <v>0</v>
      </c>
      <c r="I454" s="1">
        <v>2.0</v>
      </c>
      <c r="J454" s="1">
        <v>0.0</v>
      </c>
      <c r="K454" s="1">
        <v>0.0</v>
      </c>
      <c r="L454" s="1">
        <v>2.1334868343821E13</v>
      </c>
      <c r="M454" s="1" t="s">
        <v>2230</v>
      </c>
      <c r="N454" s="1" t="str">
        <f t="array" ref="N454">XLOOKUP(A:A,'CategoriasSeções'!A:A,'CategoriasSeções'!B:B)</f>
        <v>Boas Vindas</v>
      </c>
      <c r="O454" s="1" t="s">
        <v>2259</v>
      </c>
      <c r="P454" s="12">
        <v>45244.83888888889</v>
      </c>
      <c r="Q454" s="12">
        <v>45251.53125</v>
      </c>
      <c r="R454" s="1" t="s">
        <v>2338</v>
      </c>
      <c r="S454" s="1" t="s">
        <v>2338</v>
      </c>
      <c r="T454" s="1" t="s">
        <v>38</v>
      </c>
      <c r="U454" s="1" t="s">
        <v>38</v>
      </c>
      <c r="V454" s="1" t="s">
        <v>75</v>
      </c>
      <c r="W454" s="1" t="s">
        <v>69</v>
      </c>
      <c r="X454" s="1" t="s">
        <v>69</v>
      </c>
      <c r="Y454" s="12">
        <v>45244.83888888889</v>
      </c>
      <c r="AA454" s="1">
        <v>1666192.0</v>
      </c>
      <c r="AB454" s="1" t="s">
        <v>55</v>
      </c>
      <c r="AC454" s="1" t="s">
        <v>55</v>
      </c>
      <c r="AD454" s="1" t="s">
        <v>2339</v>
      </c>
      <c r="AE454" s="1" t="s">
        <v>55</v>
      </c>
    </row>
    <row r="455" ht="56.25" customHeight="1">
      <c r="A455" s="1">
        <v>3.1975424122253E13</v>
      </c>
      <c r="B455" s="2" t="s">
        <v>2340</v>
      </c>
      <c r="C455" s="2" t="s">
        <v>2341</v>
      </c>
      <c r="D455" s="1">
        <v>1.9413022613517E13</v>
      </c>
      <c r="E455" s="1" t="s">
        <v>2229</v>
      </c>
      <c r="F455" s="1" t="b">
        <v>0</v>
      </c>
      <c r="G455" s="1" t="s">
        <v>34</v>
      </c>
      <c r="H455" s="1" t="b">
        <v>0</v>
      </c>
      <c r="I455" s="1">
        <v>3.0</v>
      </c>
      <c r="J455" s="1">
        <v>0.0</v>
      </c>
      <c r="K455" s="1">
        <v>0.0</v>
      </c>
      <c r="L455" s="1">
        <v>3.1974174262285E13</v>
      </c>
      <c r="M455" s="1" t="s">
        <v>2230</v>
      </c>
      <c r="N455" s="1" t="str">
        <f t="array" ref="N455">XLOOKUP(A:A,'CategoriasSeções'!A:A,'CategoriasSeções'!B:B)</f>
        <v>Boas Vindas</v>
      </c>
      <c r="O455" s="1" t="s">
        <v>2320</v>
      </c>
      <c r="P455" s="12">
        <v>45614.73402777778</v>
      </c>
      <c r="Q455" s="12">
        <v>45614.77361111111</v>
      </c>
      <c r="R455" s="1" t="s">
        <v>2342</v>
      </c>
      <c r="S455" s="1" t="s">
        <v>2342</v>
      </c>
      <c r="T455" s="1" t="s">
        <v>38</v>
      </c>
      <c r="U455" s="1" t="s">
        <v>38</v>
      </c>
      <c r="V455" s="1" t="s">
        <v>75</v>
      </c>
      <c r="W455" s="1" t="s">
        <v>69</v>
      </c>
      <c r="X455" s="1" t="s">
        <v>69</v>
      </c>
      <c r="Y455" s="12">
        <v>45614.73402777778</v>
      </c>
      <c r="AA455" s="1">
        <v>1666192.0</v>
      </c>
      <c r="AB455" s="1" t="s">
        <v>55</v>
      </c>
      <c r="AC455" s="1" t="s">
        <v>55</v>
      </c>
      <c r="AD455" s="1" t="s">
        <v>2343</v>
      </c>
      <c r="AE455" s="1" t="s">
        <v>55</v>
      </c>
    </row>
    <row r="456" ht="56.25" customHeight="1">
      <c r="A456" s="1">
        <v>2.1441225233037E13</v>
      </c>
      <c r="B456" s="2" t="s">
        <v>2344</v>
      </c>
      <c r="C456" s="2" t="s">
        <v>2345</v>
      </c>
      <c r="D456" s="1">
        <v>1.9413022613517E13</v>
      </c>
      <c r="E456" s="1" t="s">
        <v>2229</v>
      </c>
      <c r="F456" s="1" t="b">
        <v>0</v>
      </c>
      <c r="G456" s="1" t="s">
        <v>34</v>
      </c>
      <c r="H456" s="1" t="b">
        <v>0</v>
      </c>
      <c r="I456" s="1">
        <v>3.0</v>
      </c>
      <c r="J456" s="1">
        <v>1.0</v>
      </c>
      <c r="K456" s="1">
        <v>1.0</v>
      </c>
      <c r="L456" s="1">
        <v>2.1436245739277E13</v>
      </c>
      <c r="M456" s="1" t="s">
        <v>2230</v>
      </c>
      <c r="N456" s="1" t="str">
        <f t="array" ref="N456">XLOOKUP(A:A,'CategoriasSeções'!A:A,'CategoriasSeções'!B:B)</f>
        <v>Aduaneiro</v>
      </c>
      <c r="O456" s="1" t="s">
        <v>2250</v>
      </c>
      <c r="P456" s="12">
        <v>45247.85</v>
      </c>
      <c r="Q456" s="3">
        <v>45526.42152777778</v>
      </c>
      <c r="R456" s="1" t="s">
        <v>2346</v>
      </c>
      <c r="S456" s="1" t="s">
        <v>2346</v>
      </c>
      <c r="T456" s="1" t="s">
        <v>38</v>
      </c>
      <c r="U456" s="1" t="s">
        <v>38</v>
      </c>
      <c r="V456" s="1" t="s">
        <v>75</v>
      </c>
      <c r="W456" s="1" t="s">
        <v>69</v>
      </c>
      <c r="X456" s="1" t="s">
        <v>69</v>
      </c>
      <c r="Y456" s="12">
        <v>45251.75833333333</v>
      </c>
      <c r="AA456" s="1">
        <v>1666192.0</v>
      </c>
      <c r="AB456" s="1" t="s">
        <v>55</v>
      </c>
      <c r="AC456" s="1" t="s">
        <v>55</v>
      </c>
      <c r="AD456" s="1" t="s">
        <v>2347</v>
      </c>
      <c r="AE456" s="1" t="s">
        <v>55</v>
      </c>
    </row>
    <row r="457" ht="56.25" customHeight="1">
      <c r="A457" s="1">
        <v>2.1550086559245E13</v>
      </c>
      <c r="B457" s="2" t="s">
        <v>2348</v>
      </c>
      <c r="C457" s="2" t="s">
        <v>2349</v>
      </c>
      <c r="D457" s="1">
        <v>1.9413022613517E13</v>
      </c>
      <c r="E457" s="1" t="s">
        <v>2229</v>
      </c>
      <c r="F457" s="1" t="b">
        <v>0</v>
      </c>
      <c r="G457" s="1" t="s">
        <v>34</v>
      </c>
      <c r="H457" s="1" t="b">
        <v>0</v>
      </c>
      <c r="I457" s="1">
        <v>4.0</v>
      </c>
      <c r="J457" s="1">
        <v>0.0</v>
      </c>
      <c r="K457" s="1">
        <v>0.0</v>
      </c>
      <c r="L457" s="1">
        <v>2.1436245739277E13</v>
      </c>
      <c r="M457" s="1" t="s">
        <v>2230</v>
      </c>
      <c r="N457" s="1" t="str">
        <f t="array" ref="N457">XLOOKUP(A:A,'CategoriasSeções'!A:A,'CategoriasSeções'!B:B)</f>
        <v>Aduaneiro</v>
      </c>
      <c r="O457" s="1" t="s">
        <v>2250</v>
      </c>
      <c r="P457" s="12">
        <v>45251.785416666666</v>
      </c>
      <c r="Q457" s="3">
        <v>45315.538194444445</v>
      </c>
      <c r="R457" s="1" t="s">
        <v>2350</v>
      </c>
      <c r="S457" s="1" t="s">
        <v>2350</v>
      </c>
      <c r="T457" s="1" t="s">
        <v>38</v>
      </c>
      <c r="U457" s="1" t="s">
        <v>38</v>
      </c>
      <c r="V457" s="1" t="s">
        <v>75</v>
      </c>
      <c r="W457" s="1" t="s">
        <v>69</v>
      </c>
      <c r="X457" s="1" t="s">
        <v>69</v>
      </c>
      <c r="Y457" s="3">
        <v>45315.538194444445</v>
      </c>
      <c r="AA457" s="1">
        <v>1666192.0</v>
      </c>
      <c r="AB457" s="1" t="s">
        <v>55</v>
      </c>
      <c r="AC457" s="1" t="s">
        <v>55</v>
      </c>
      <c r="AD457" s="1" t="s">
        <v>2351</v>
      </c>
      <c r="AE457" s="1" t="s">
        <v>55</v>
      </c>
    </row>
    <row r="458" ht="56.25" customHeight="1">
      <c r="A458" s="1">
        <v>2.1538774959373E13</v>
      </c>
      <c r="B458" s="2" t="s">
        <v>2352</v>
      </c>
      <c r="C458" s="2" t="s">
        <v>2353</v>
      </c>
      <c r="D458" s="1">
        <v>1.9413022613517E13</v>
      </c>
      <c r="E458" s="1" t="s">
        <v>2229</v>
      </c>
      <c r="F458" s="1" t="b">
        <v>0</v>
      </c>
      <c r="G458" s="1" t="s">
        <v>34</v>
      </c>
      <c r="H458" s="1" t="b">
        <v>0</v>
      </c>
      <c r="I458" s="1">
        <v>4.0</v>
      </c>
      <c r="J458" s="1">
        <v>1.0</v>
      </c>
      <c r="K458" s="1">
        <v>1.0</v>
      </c>
      <c r="L458" s="1">
        <v>2.1537853283213E13</v>
      </c>
      <c r="M458" s="1" t="s">
        <v>2230</v>
      </c>
      <c r="N458" s="1" t="str">
        <f t="array" ref="N458">XLOOKUP(A:A,'CategoriasSeções'!A:A,'CategoriasSeções'!B:B)</f>
        <v>Armazém Alfandegado</v>
      </c>
      <c r="O458" s="1" t="s">
        <v>2236</v>
      </c>
      <c r="P458" s="12">
        <v>45251.60763888889</v>
      </c>
      <c r="Q458" s="3">
        <v>45315.5375</v>
      </c>
      <c r="R458" s="1" t="s">
        <v>2354</v>
      </c>
      <c r="S458" s="1" t="s">
        <v>2354</v>
      </c>
      <c r="T458" s="1" t="s">
        <v>38</v>
      </c>
      <c r="U458" s="1" t="s">
        <v>38</v>
      </c>
      <c r="V458" s="1" t="s">
        <v>75</v>
      </c>
      <c r="W458" s="1" t="s">
        <v>69</v>
      </c>
      <c r="X458" s="1" t="s">
        <v>69</v>
      </c>
      <c r="Y458" s="3">
        <v>45315.5375</v>
      </c>
      <c r="AA458" s="1">
        <v>1666192.0</v>
      </c>
      <c r="AB458" s="1" t="s">
        <v>55</v>
      </c>
      <c r="AC458" s="1" t="s">
        <v>55</v>
      </c>
      <c r="AD458" s="1" t="s">
        <v>2355</v>
      </c>
      <c r="AE458" s="1" t="s">
        <v>55</v>
      </c>
    </row>
    <row r="459" ht="56.25" customHeight="1">
      <c r="A459" s="1">
        <v>2.1192934251021E13</v>
      </c>
      <c r="B459" s="2" t="s">
        <v>2356</v>
      </c>
      <c r="C459" s="2" t="s">
        <v>2357</v>
      </c>
      <c r="D459" s="1">
        <v>1.9413022613517E13</v>
      </c>
      <c r="E459" s="1" t="s">
        <v>2229</v>
      </c>
      <c r="F459" s="1" t="b">
        <v>0</v>
      </c>
      <c r="G459" s="1" t="s">
        <v>34</v>
      </c>
      <c r="H459" s="1" t="b">
        <v>0</v>
      </c>
      <c r="I459" s="1">
        <v>4.0</v>
      </c>
      <c r="J459" s="1">
        <v>0.0</v>
      </c>
      <c r="K459" s="1">
        <v>0.0</v>
      </c>
      <c r="L459" s="1">
        <v>3.1974174262285E13</v>
      </c>
      <c r="M459" s="1" t="s">
        <v>2230</v>
      </c>
      <c r="N459" s="1" t="str">
        <f t="array" ref="N459">XLOOKUP(A:A,'CategoriasSeções'!A:A,'CategoriasSeções'!B:B)</f>
        <v>Boas Vindas</v>
      </c>
      <c r="O459" s="1" t="s">
        <v>2320</v>
      </c>
      <c r="P459" s="3">
        <v>45239.82708333333</v>
      </c>
      <c r="Q459" s="12">
        <v>45614.77361111111</v>
      </c>
      <c r="R459" s="1" t="s">
        <v>2358</v>
      </c>
      <c r="S459" s="1" t="s">
        <v>2358</v>
      </c>
      <c r="T459" s="1" t="s">
        <v>38</v>
      </c>
      <c r="U459" s="1" t="s">
        <v>38</v>
      </c>
      <c r="V459" s="1" t="s">
        <v>75</v>
      </c>
      <c r="W459" s="1" t="s">
        <v>69</v>
      </c>
      <c r="X459" s="1" t="s">
        <v>69</v>
      </c>
      <c r="Y459" s="12">
        <v>45244.75763888889</v>
      </c>
      <c r="AA459" s="1">
        <v>1666192.0</v>
      </c>
      <c r="AB459" s="1" t="s">
        <v>55</v>
      </c>
      <c r="AC459" s="1" t="s">
        <v>55</v>
      </c>
      <c r="AD459" s="1" t="s">
        <v>2359</v>
      </c>
      <c r="AE459" s="1" t="s">
        <v>55</v>
      </c>
    </row>
    <row r="460" ht="56.25" customHeight="1">
      <c r="A460" s="1">
        <v>2.1545561544973E13</v>
      </c>
      <c r="B460" s="2" t="s">
        <v>2360</v>
      </c>
      <c r="C460" s="2" t="s">
        <v>2361</v>
      </c>
      <c r="D460" s="1">
        <v>1.9413022613517E13</v>
      </c>
      <c r="E460" s="1" t="s">
        <v>2229</v>
      </c>
      <c r="F460" s="1" t="b">
        <v>0</v>
      </c>
      <c r="G460" s="1" t="s">
        <v>34</v>
      </c>
      <c r="H460" s="1" t="b">
        <v>0</v>
      </c>
      <c r="I460" s="1">
        <v>5.0</v>
      </c>
      <c r="J460" s="1">
        <v>1.0</v>
      </c>
      <c r="K460" s="1">
        <v>1.0</v>
      </c>
      <c r="L460" s="1">
        <v>2.1537853283213E13</v>
      </c>
      <c r="M460" s="1" t="s">
        <v>2230</v>
      </c>
      <c r="N460" s="1" t="str">
        <f t="array" ref="N460">XLOOKUP(A:A,'CategoriasSeções'!A:A,'CategoriasSeções'!B:B)</f>
        <v>Armazém Alfandegado</v>
      </c>
      <c r="O460" s="1" t="s">
        <v>2236</v>
      </c>
      <c r="P460" s="12">
        <v>45251.71875</v>
      </c>
      <c r="Q460" s="12">
        <v>45614.78888888889</v>
      </c>
      <c r="R460" s="1" t="s">
        <v>2362</v>
      </c>
      <c r="S460" s="1" t="s">
        <v>2362</v>
      </c>
      <c r="T460" s="1" t="s">
        <v>38</v>
      </c>
      <c r="U460" s="1" t="s">
        <v>38</v>
      </c>
      <c r="V460" s="1" t="s">
        <v>75</v>
      </c>
      <c r="W460" s="1" t="s">
        <v>69</v>
      </c>
      <c r="X460" s="1" t="s">
        <v>69</v>
      </c>
      <c r="Y460" s="12">
        <v>45614.78888888889</v>
      </c>
      <c r="AA460" s="1">
        <v>1666192.0</v>
      </c>
      <c r="AB460" s="1" t="s">
        <v>55</v>
      </c>
      <c r="AC460" s="1" t="s">
        <v>55</v>
      </c>
      <c r="AD460" s="1" t="s">
        <v>2363</v>
      </c>
      <c r="AE460" s="1" t="s">
        <v>55</v>
      </c>
    </row>
    <row r="461" ht="56.25" customHeight="1">
      <c r="A461" s="1">
        <v>2.1539429059725E13</v>
      </c>
      <c r="B461" s="2" t="s">
        <v>2364</v>
      </c>
      <c r="C461" s="2" t="s">
        <v>2365</v>
      </c>
      <c r="D461" s="1">
        <v>1.9413022613517E13</v>
      </c>
      <c r="E461" s="1" t="s">
        <v>2229</v>
      </c>
      <c r="F461" s="1" t="b">
        <v>0</v>
      </c>
      <c r="G461" s="1" t="s">
        <v>34</v>
      </c>
      <c r="H461" s="1" t="b">
        <v>0</v>
      </c>
      <c r="I461" s="1">
        <v>6.0</v>
      </c>
      <c r="J461" s="1">
        <v>1.0</v>
      </c>
      <c r="K461" s="1">
        <v>1.0</v>
      </c>
      <c r="L461" s="1">
        <v>2.1537853283213E13</v>
      </c>
      <c r="M461" s="1" t="s">
        <v>2230</v>
      </c>
      <c r="N461" s="1" t="str">
        <f t="array" ref="N461">XLOOKUP(A:A,'CategoriasSeções'!A:A,'CategoriasSeções'!B:B)</f>
        <v>Armazém Alfandegado</v>
      </c>
      <c r="O461" s="1" t="s">
        <v>2236</v>
      </c>
      <c r="P461" s="12">
        <v>45251.620833333334</v>
      </c>
      <c r="Q461" s="12">
        <v>45251.725694444445</v>
      </c>
      <c r="R461" s="1" t="s">
        <v>2366</v>
      </c>
      <c r="S461" s="1" t="s">
        <v>2366</v>
      </c>
      <c r="T461" s="1" t="s">
        <v>38</v>
      </c>
      <c r="U461" s="1" t="s">
        <v>38</v>
      </c>
      <c r="V461" s="1" t="s">
        <v>75</v>
      </c>
      <c r="W461" s="1" t="s">
        <v>69</v>
      </c>
      <c r="X461" s="1" t="s">
        <v>69</v>
      </c>
      <c r="Y461" s="12">
        <v>45251.62986111111</v>
      </c>
      <c r="AA461" s="1">
        <v>1666192.0</v>
      </c>
      <c r="AB461" s="1" t="s">
        <v>55</v>
      </c>
      <c r="AC461" s="1" t="s">
        <v>55</v>
      </c>
      <c r="AD461" s="1" t="s">
        <v>2367</v>
      </c>
      <c r="AE461" s="1" t="s">
        <v>55</v>
      </c>
    </row>
    <row r="462" ht="56.25" customHeight="1">
      <c r="A462" s="1">
        <v>2.1539267227661E13</v>
      </c>
      <c r="B462" s="2" t="s">
        <v>2368</v>
      </c>
      <c r="C462" s="2" t="s">
        <v>2369</v>
      </c>
      <c r="D462" s="1">
        <v>1.9413022613517E13</v>
      </c>
      <c r="E462" s="1" t="s">
        <v>2229</v>
      </c>
      <c r="F462" s="1" t="b">
        <v>0</v>
      </c>
      <c r="G462" s="1" t="s">
        <v>34</v>
      </c>
      <c r="H462" s="1" t="b">
        <v>0</v>
      </c>
      <c r="I462" s="1">
        <v>7.0</v>
      </c>
      <c r="J462" s="1">
        <v>0.0</v>
      </c>
      <c r="K462" s="1">
        <v>0.0</v>
      </c>
      <c r="L462" s="1">
        <v>2.1537853283213E13</v>
      </c>
      <c r="M462" s="1" t="s">
        <v>2230</v>
      </c>
      <c r="N462" s="1" t="str">
        <f t="array" ref="N462">XLOOKUP(A:A,'CategoriasSeções'!A:A,'CategoriasSeções'!B:B)</f>
        <v>Armazém Alfandegado</v>
      </c>
      <c r="O462" s="1" t="s">
        <v>2236</v>
      </c>
      <c r="P462" s="12">
        <v>45251.618055555555</v>
      </c>
      <c r="Q462" s="3">
        <v>45315.538194444445</v>
      </c>
      <c r="R462" s="1" t="s">
        <v>2370</v>
      </c>
      <c r="S462" s="1" t="s">
        <v>2370</v>
      </c>
      <c r="T462" s="1" t="s">
        <v>38</v>
      </c>
      <c r="U462" s="1" t="s">
        <v>38</v>
      </c>
      <c r="V462" s="1" t="s">
        <v>75</v>
      </c>
      <c r="W462" s="1" t="s">
        <v>69</v>
      </c>
      <c r="X462" s="1" t="s">
        <v>69</v>
      </c>
      <c r="Y462" s="3">
        <v>45315.538194444445</v>
      </c>
      <c r="AA462" s="1">
        <v>1666192.0</v>
      </c>
      <c r="AB462" s="1" t="s">
        <v>55</v>
      </c>
      <c r="AC462" s="1" t="s">
        <v>55</v>
      </c>
      <c r="AD462" s="1" t="s">
        <v>2371</v>
      </c>
      <c r="AE462" s="1" t="s">
        <v>55</v>
      </c>
    </row>
    <row r="463" ht="56.25" customHeight="1">
      <c r="A463" s="1">
        <v>2.1538565680269E13</v>
      </c>
      <c r="B463" s="2" t="s">
        <v>2372</v>
      </c>
      <c r="C463" s="2" t="s">
        <v>2373</v>
      </c>
      <c r="D463" s="1">
        <v>1.9413022613517E13</v>
      </c>
      <c r="E463" s="1" t="s">
        <v>2229</v>
      </c>
      <c r="F463" s="1" t="b">
        <v>0</v>
      </c>
      <c r="G463" s="1" t="s">
        <v>34</v>
      </c>
      <c r="H463" s="1" t="b">
        <v>0</v>
      </c>
      <c r="I463" s="1">
        <v>8.0</v>
      </c>
      <c r="J463" s="1">
        <v>0.0</v>
      </c>
      <c r="K463" s="1">
        <v>0.0</v>
      </c>
      <c r="L463" s="1">
        <v>2.1537853283213E13</v>
      </c>
      <c r="M463" s="1" t="s">
        <v>2230</v>
      </c>
      <c r="N463" s="1" t="str">
        <f t="array" ref="N463">XLOOKUP(A:A,'CategoriasSeções'!A:A,'CategoriasSeções'!B:B)</f>
        <v>Armazém Alfandegado</v>
      </c>
      <c r="O463" s="1" t="s">
        <v>2236</v>
      </c>
      <c r="P463" s="12">
        <v>45251.604166666664</v>
      </c>
      <c r="Q463" s="12">
        <v>45614.791666666664</v>
      </c>
      <c r="R463" s="1" t="s">
        <v>2374</v>
      </c>
      <c r="S463" s="1" t="s">
        <v>2374</v>
      </c>
      <c r="T463" s="1" t="s">
        <v>38</v>
      </c>
      <c r="U463" s="1" t="s">
        <v>38</v>
      </c>
      <c r="V463" s="1" t="s">
        <v>75</v>
      </c>
      <c r="W463" s="1" t="s">
        <v>69</v>
      </c>
      <c r="X463" s="1" t="s">
        <v>69</v>
      </c>
      <c r="Y463" s="12">
        <v>45614.791666666664</v>
      </c>
      <c r="AA463" s="1">
        <v>1666192.0</v>
      </c>
      <c r="AB463" s="1" t="s">
        <v>55</v>
      </c>
      <c r="AC463" s="1" t="s">
        <v>55</v>
      </c>
      <c r="AD463" s="1" t="s">
        <v>2375</v>
      </c>
      <c r="AE463" s="1" t="s">
        <v>55</v>
      </c>
    </row>
    <row r="464" ht="56.25" customHeight="1"/>
    <row r="465" ht="56.25" customHeight="1"/>
  </sheetData>
  <autoFilter ref="$A$1:$AE$463">
    <sortState ref="A1:AE463">
      <sortCondition descending="1" ref="M1:M463"/>
    </sortState>
  </autoFilter>
  <conditionalFormatting sqref="G2:G465">
    <cfRule type="containsText" dxfId="0" priority="1" operator="containsText" text="Publicado">
      <formula>NOT(ISERROR(SEARCH(("Publicado"),(G2))))</formula>
    </cfRule>
  </conditionalFormatting>
  <conditionalFormatting sqref="G2:G465">
    <cfRule type="containsText" dxfId="1" priority="2" operator="containsText" text="Rascunho">
      <formula>NOT(ISERROR(SEARCH(("Rascunho"),(G2))))</formula>
    </cfRule>
  </conditionalFormatting>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 r:id="rId73" ref="B38"/>
    <hyperlink r:id="rId74" ref="C38"/>
    <hyperlink r:id="rId75" ref="B39"/>
    <hyperlink r:id="rId76" ref="C39"/>
    <hyperlink r:id="rId77" ref="B40"/>
    <hyperlink r:id="rId78" ref="C40"/>
    <hyperlink r:id="rId79" ref="B41"/>
    <hyperlink r:id="rId80" ref="C41"/>
    <hyperlink r:id="rId81" ref="B42"/>
    <hyperlink r:id="rId82" ref="C42"/>
    <hyperlink r:id="rId83" ref="B43"/>
    <hyperlink r:id="rId84" ref="C43"/>
    <hyperlink r:id="rId85" ref="B44"/>
    <hyperlink r:id="rId86" ref="C44"/>
    <hyperlink r:id="rId87" ref="B45"/>
    <hyperlink r:id="rId88" ref="C45"/>
    <hyperlink r:id="rId89" ref="B46"/>
    <hyperlink r:id="rId90" ref="C46"/>
    <hyperlink r:id="rId91" ref="B47"/>
    <hyperlink r:id="rId92" ref="C47"/>
    <hyperlink r:id="rId93" ref="B48"/>
    <hyperlink r:id="rId94" ref="C48"/>
    <hyperlink r:id="rId95" ref="B49"/>
    <hyperlink r:id="rId96" ref="C49"/>
    <hyperlink r:id="rId97" ref="B50"/>
    <hyperlink r:id="rId98" ref="C50"/>
    <hyperlink r:id="rId99" ref="B51"/>
    <hyperlink r:id="rId100" ref="C51"/>
    <hyperlink r:id="rId101" ref="B52"/>
    <hyperlink r:id="rId102" ref="C52"/>
    <hyperlink r:id="rId103" ref="B53"/>
    <hyperlink r:id="rId104" ref="C53"/>
    <hyperlink r:id="rId105" ref="B54"/>
    <hyperlink r:id="rId106" ref="C54"/>
    <hyperlink r:id="rId107" ref="B55"/>
    <hyperlink r:id="rId108" ref="C55"/>
    <hyperlink r:id="rId109" ref="B56"/>
    <hyperlink r:id="rId110" ref="C56"/>
    <hyperlink r:id="rId111" ref="B57"/>
    <hyperlink r:id="rId112" ref="C57"/>
    <hyperlink r:id="rId113" ref="B58"/>
    <hyperlink r:id="rId114" ref="C58"/>
    <hyperlink r:id="rId115" ref="B59"/>
    <hyperlink r:id="rId116" ref="C59"/>
    <hyperlink r:id="rId117" ref="B60"/>
    <hyperlink r:id="rId118" ref="C60"/>
    <hyperlink r:id="rId119" ref="B61"/>
    <hyperlink r:id="rId120" ref="C61"/>
    <hyperlink r:id="rId121" ref="B62"/>
    <hyperlink r:id="rId122" ref="C62"/>
    <hyperlink r:id="rId123" ref="B63"/>
    <hyperlink r:id="rId124" ref="C63"/>
    <hyperlink r:id="rId125" ref="B64"/>
    <hyperlink r:id="rId126" ref="C64"/>
    <hyperlink r:id="rId127" ref="B65"/>
    <hyperlink r:id="rId128" ref="C65"/>
    <hyperlink r:id="rId129" ref="B66"/>
    <hyperlink r:id="rId130" ref="C66"/>
    <hyperlink r:id="rId131" ref="B67"/>
    <hyperlink r:id="rId132" ref="C67"/>
    <hyperlink r:id="rId133" ref="B68"/>
    <hyperlink r:id="rId134" ref="C68"/>
    <hyperlink r:id="rId135" ref="B69"/>
    <hyperlink r:id="rId136" ref="C69"/>
    <hyperlink r:id="rId137" ref="B70"/>
    <hyperlink r:id="rId138" ref="C70"/>
    <hyperlink r:id="rId139" ref="B71"/>
    <hyperlink r:id="rId140" ref="C71"/>
    <hyperlink r:id="rId141" ref="B72"/>
    <hyperlink r:id="rId142" ref="C72"/>
    <hyperlink r:id="rId143" ref="B73"/>
    <hyperlink r:id="rId144" ref="C73"/>
    <hyperlink r:id="rId145" ref="B74"/>
    <hyperlink r:id="rId146" ref="C74"/>
    <hyperlink r:id="rId147" ref="B75"/>
    <hyperlink r:id="rId148" ref="C75"/>
    <hyperlink r:id="rId149" ref="B76"/>
    <hyperlink r:id="rId150" ref="C76"/>
    <hyperlink r:id="rId151" ref="B77"/>
    <hyperlink r:id="rId152" ref="C77"/>
    <hyperlink r:id="rId153" ref="B78"/>
    <hyperlink r:id="rId154" ref="C78"/>
    <hyperlink r:id="rId155" ref="B79"/>
    <hyperlink r:id="rId156" ref="C79"/>
    <hyperlink r:id="rId157" ref="B80"/>
    <hyperlink r:id="rId158" ref="C80"/>
    <hyperlink r:id="rId159" ref="B81"/>
    <hyperlink r:id="rId160" ref="C81"/>
    <hyperlink r:id="rId161" ref="B82"/>
    <hyperlink r:id="rId162" ref="C82"/>
    <hyperlink r:id="rId163" ref="B83"/>
    <hyperlink r:id="rId164" ref="C83"/>
    <hyperlink r:id="rId165" ref="B84"/>
    <hyperlink r:id="rId166" ref="C84"/>
    <hyperlink r:id="rId167" ref="B85"/>
    <hyperlink r:id="rId168" ref="C85"/>
    <hyperlink r:id="rId169" ref="B86"/>
    <hyperlink r:id="rId170" ref="C86"/>
    <hyperlink r:id="rId171" ref="B87"/>
    <hyperlink r:id="rId172" ref="C87"/>
    <hyperlink r:id="rId173" ref="B88"/>
    <hyperlink r:id="rId174" ref="C88"/>
    <hyperlink r:id="rId175" ref="B89"/>
    <hyperlink r:id="rId176" ref="C89"/>
    <hyperlink r:id="rId177" ref="B90"/>
    <hyperlink r:id="rId178" ref="C90"/>
    <hyperlink r:id="rId179" ref="B91"/>
    <hyperlink r:id="rId180" ref="C91"/>
    <hyperlink r:id="rId181" ref="B92"/>
    <hyperlink r:id="rId182" ref="C92"/>
    <hyperlink r:id="rId183" ref="B93"/>
    <hyperlink r:id="rId184" ref="C93"/>
    <hyperlink r:id="rId185" ref="B94"/>
    <hyperlink r:id="rId186" ref="C94"/>
    <hyperlink r:id="rId187" ref="B95"/>
    <hyperlink r:id="rId188" ref="C95"/>
    <hyperlink r:id="rId189" ref="B96"/>
    <hyperlink r:id="rId190" ref="C96"/>
    <hyperlink r:id="rId191" ref="B97"/>
    <hyperlink r:id="rId192" ref="C97"/>
    <hyperlink r:id="rId193" ref="B98"/>
    <hyperlink r:id="rId194" ref="C98"/>
    <hyperlink r:id="rId195" ref="B99"/>
    <hyperlink r:id="rId196" ref="C99"/>
    <hyperlink r:id="rId197" ref="B100"/>
    <hyperlink r:id="rId198" ref="C100"/>
    <hyperlink r:id="rId199" ref="B101"/>
    <hyperlink r:id="rId200" ref="C101"/>
    <hyperlink r:id="rId201" ref="B102"/>
    <hyperlink r:id="rId202" ref="C102"/>
    <hyperlink r:id="rId203" ref="B103"/>
    <hyperlink r:id="rId204" ref="C103"/>
    <hyperlink r:id="rId205" ref="B104"/>
    <hyperlink r:id="rId206" ref="C104"/>
    <hyperlink r:id="rId207" ref="B105"/>
    <hyperlink r:id="rId208" ref="C105"/>
    <hyperlink r:id="rId209" ref="B106"/>
    <hyperlink r:id="rId210" ref="C106"/>
    <hyperlink r:id="rId211" ref="B107"/>
    <hyperlink r:id="rId212" ref="C107"/>
    <hyperlink r:id="rId213" ref="B108"/>
    <hyperlink r:id="rId214" ref="C108"/>
    <hyperlink r:id="rId215" ref="B109"/>
    <hyperlink r:id="rId216" ref="C109"/>
    <hyperlink r:id="rId217" ref="B110"/>
    <hyperlink r:id="rId218" ref="C110"/>
    <hyperlink r:id="rId219" ref="B111"/>
    <hyperlink r:id="rId220" ref="C111"/>
    <hyperlink r:id="rId221" ref="B112"/>
    <hyperlink r:id="rId222" ref="C112"/>
    <hyperlink r:id="rId223" ref="B113"/>
    <hyperlink r:id="rId224" ref="C113"/>
    <hyperlink r:id="rId225" ref="B114"/>
    <hyperlink r:id="rId226" ref="C114"/>
    <hyperlink r:id="rId227" ref="B115"/>
    <hyperlink r:id="rId228" ref="C115"/>
    <hyperlink r:id="rId229" ref="B116"/>
    <hyperlink r:id="rId230" ref="C116"/>
    <hyperlink r:id="rId231" ref="B117"/>
    <hyperlink r:id="rId232" ref="C117"/>
    <hyperlink r:id="rId233" ref="B118"/>
    <hyperlink r:id="rId234" ref="C118"/>
    <hyperlink r:id="rId235" ref="B119"/>
    <hyperlink r:id="rId236" ref="C119"/>
    <hyperlink r:id="rId237" ref="B120"/>
    <hyperlink r:id="rId238" ref="C120"/>
    <hyperlink r:id="rId239" ref="B121"/>
    <hyperlink r:id="rId240" ref="C121"/>
    <hyperlink r:id="rId241" ref="B122"/>
    <hyperlink r:id="rId242" ref="C122"/>
    <hyperlink r:id="rId243" ref="B123"/>
    <hyperlink r:id="rId244" ref="C123"/>
    <hyperlink r:id="rId245" ref="B124"/>
    <hyperlink r:id="rId246" ref="C124"/>
    <hyperlink r:id="rId247" ref="B125"/>
    <hyperlink r:id="rId248" ref="C125"/>
    <hyperlink r:id="rId249" ref="B126"/>
    <hyperlink r:id="rId250" ref="C126"/>
    <hyperlink r:id="rId251" ref="B127"/>
    <hyperlink r:id="rId252" ref="C127"/>
    <hyperlink r:id="rId253" ref="B128"/>
    <hyperlink r:id="rId254" ref="C128"/>
    <hyperlink r:id="rId255" ref="B129"/>
    <hyperlink r:id="rId256" ref="C129"/>
    <hyperlink r:id="rId257" ref="B130"/>
    <hyperlink r:id="rId258" ref="C130"/>
    <hyperlink r:id="rId259" ref="B131"/>
    <hyperlink r:id="rId260" ref="C131"/>
    <hyperlink r:id="rId261" ref="B132"/>
    <hyperlink r:id="rId262" ref="C132"/>
    <hyperlink r:id="rId263" ref="B133"/>
    <hyperlink r:id="rId264" ref="C133"/>
    <hyperlink r:id="rId265" ref="B134"/>
    <hyperlink r:id="rId266" ref="C134"/>
    <hyperlink r:id="rId267" ref="B135"/>
    <hyperlink r:id="rId268" ref="C135"/>
    <hyperlink r:id="rId269" ref="B136"/>
    <hyperlink r:id="rId270" ref="C136"/>
    <hyperlink r:id="rId271" ref="B137"/>
    <hyperlink r:id="rId272" ref="C137"/>
    <hyperlink r:id="rId273" ref="B138"/>
    <hyperlink r:id="rId274" ref="C138"/>
    <hyperlink r:id="rId275" ref="B139"/>
    <hyperlink r:id="rId276" ref="C139"/>
    <hyperlink r:id="rId277" ref="B140"/>
    <hyperlink r:id="rId278" ref="C140"/>
    <hyperlink r:id="rId279" ref="B141"/>
    <hyperlink r:id="rId280" ref="C141"/>
    <hyperlink r:id="rId281" ref="B142"/>
    <hyperlink r:id="rId282" ref="C142"/>
    <hyperlink r:id="rId283" ref="B143"/>
    <hyperlink r:id="rId284" ref="C143"/>
    <hyperlink r:id="rId285" ref="B144"/>
    <hyperlink r:id="rId286" ref="C144"/>
    <hyperlink r:id="rId287" ref="B145"/>
    <hyperlink r:id="rId288" ref="C145"/>
    <hyperlink r:id="rId289" ref="B146"/>
    <hyperlink r:id="rId290" ref="C146"/>
    <hyperlink r:id="rId291" ref="B147"/>
    <hyperlink r:id="rId292" ref="C147"/>
    <hyperlink r:id="rId293" ref="B148"/>
    <hyperlink r:id="rId294" ref="C148"/>
    <hyperlink r:id="rId295" ref="B149"/>
    <hyperlink r:id="rId296" ref="C149"/>
    <hyperlink r:id="rId297" ref="B150"/>
    <hyperlink r:id="rId298" ref="C150"/>
    <hyperlink r:id="rId299" ref="B151"/>
    <hyperlink r:id="rId300" ref="C151"/>
    <hyperlink r:id="rId301" ref="B152"/>
    <hyperlink r:id="rId302" ref="C152"/>
    <hyperlink r:id="rId303" ref="B153"/>
    <hyperlink r:id="rId304" ref="C153"/>
    <hyperlink r:id="rId305" ref="B154"/>
    <hyperlink r:id="rId306" ref="C154"/>
    <hyperlink r:id="rId307" ref="B155"/>
    <hyperlink r:id="rId308" ref="C155"/>
    <hyperlink r:id="rId309" ref="B156"/>
    <hyperlink r:id="rId310" ref="C156"/>
    <hyperlink r:id="rId311" ref="B157"/>
    <hyperlink r:id="rId312" ref="C157"/>
    <hyperlink r:id="rId313" ref="B158"/>
    <hyperlink r:id="rId314" ref="C158"/>
    <hyperlink r:id="rId315" ref="B159"/>
    <hyperlink r:id="rId316" ref="C159"/>
    <hyperlink r:id="rId317" ref="B160"/>
    <hyperlink r:id="rId318" ref="C160"/>
    <hyperlink r:id="rId319" ref="B161"/>
    <hyperlink r:id="rId320" ref="C161"/>
    <hyperlink r:id="rId321" ref="B162"/>
    <hyperlink r:id="rId322" ref="C162"/>
    <hyperlink r:id="rId323" ref="B163"/>
    <hyperlink r:id="rId324" ref="C163"/>
    <hyperlink r:id="rId325" ref="B164"/>
    <hyperlink r:id="rId326" ref="C164"/>
    <hyperlink r:id="rId327" ref="B165"/>
    <hyperlink r:id="rId328" ref="C165"/>
    <hyperlink r:id="rId329" ref="B166"/>
    <hyperlink r:id="rId330" ref="C166"/>
    <hyperlink r:id="rId331" ref="B167"/>
    <hyperlink r:id="rId332" ref="C167"/>
    <hyperlink r:id="rId333" ref="B168"/>
    <hyperlink r:id="rId334" ref="C168"/>
    <hyperlink r:id="rId335" ref="B169"/>
    <hyperlink r:id="rId336" ref="C169"/>
    <hyperlink r:id="rId337" ref="B170"/>
    <hyperlink r:id="rId338" ref="C170"/>
    <hyperlink r:id="rId339" ref="B171"/>
    <hyperlink r:id="rId340" ref="C171"/>
    <hyperlink r:id="rId341" ref="B172"/>
    <hyperlink r:id="rId342" ref="C172"/>
    <hyperlink r:id="rId343" ref="B173"/>
    <hyperlink r:id="rId344" ref="C173"/>
    <hyperlink r:id="rId345" ref="B174"/>
    <hyperlink r:id="rId346" ref="C174"/>
    <hyperlink r:id="rId347" ref="B175"/>
    <hyperlink r:id="rId348" ref="C175"/>
    <hyperlink r:id="rId349" ref="B176"/>
    <hyperlink r:id="rId350" ref="C176"/>
    <hyperlink r:id="rId351" ref="B177"/>
    <hyperlink r:id="rId352" ref="C177"/>
    <hyperlink r:id="rId353" ref="B178"/>
    <hyperlink r:id="rId354" ref="C178"/>
    <hyperlink r:id="rId355" ref="B179"/>
    <hyperlink r:id="rId356" ref="C179"/>
    <hyperlink r:id="rId357" ref="B180"/>
    <hyperlink r:id="rId358" ref="C180"/>
    <hyperlink r:id="rId359" ref="B181"/>
    <hyperlink r:id="rId360" ref="C181"/>
    <hyperlink r:id="rId361" ref="B182"/>
    <hyperlink r:id="rId362" ref="C182"/>
    <hyperlink r:id="rId363" ref="B183"/>
    <hyperlink r:id="rId364" ref="C183"/>
    <hyperlink r:id="rId365" ref="B184"/>
    <hyperlink r:id="rId366" ref="C184"/>
    <hyperlink r:id="rId367" ref="B185"/>
    <hyperlink r:id="rId368" ref="C185"/>
    <hyperlink r:id="rId369" ref="B186"/>
    <hyperlink r:id="rId370" ref="C186"/>
    <hyperlink r:id="rId371" ref="B187"/>
    <hyperlink r:id="rId372" ref="C187"/>
    <hyperlink r:id="rId373" ref="B188"/>
    <hyperlink r:id="rId374" ref="C188"/>
    <hyperlink r:id="rId375" ref="B189"/>
    <hyperlink r:id="rId376" ref="C189"/>
    <hyperlink r:id="rId377" ref="B190"/>
    <hyperlink r:id="rId378" ref="C190"/>
    <hyperlink r:id="rId379" ref="B191"/>
    <hyperlink r:id="rId380" ref="C191"/>
    <hyperlink r:id="rId381" ref="B192"/>
    <hyperlink r:id="rId382" ref="C192"/>
    <hyperlink r:id="rId383" ref="B193"/>
    <hyperlink r:id="rId384" ref="C193"/>
    <hyperlink r:id="rId385" ref="B194"/>
    <hyperlink r:id="rId386" ref="C194"/>
    <hyperlink r:id="rId387" ref="B195"/>
    <hyperlink r:id="rId388" ref="C195"/>
    <hyperlink r:id="rId389" ref="B196"/>
    <hyperlink r:id="rId390" ref="C196"/>
    <hyperlink r:id="rId391" ref="B197"/>
    <hyperlink r:id="rId392" ref="C197"/>
    <hyperlink r:id="rId393" ref="B198"/>
    <hyperlink r:id="rId394" ref="C198"/>
    <hyperlink r:id="rId395" ref="B199"/>
    <hyperlink r:id="rId396" ref="C199"/>
    <hyperlink r:id="rId397" ref="B200"/>
    <hyperlink r:id="rId398" ref="C200"/>
    <hyperlink r:id="rId399" ref="B201"/>
    <hyperlink r:id="rId400" ref="C201"/>
    <hyperlink r:id="rId401" ref="B202"/>
    <hyperlink r:id="rId402" ref="C202"/>
    <hyperlink r:id="rId403" ref="B203"/>
    <hyperlink r:id="rId404" ref="C203"/>
    <hyperlink r:id="rId405" ref="B204"/>
    <hyperlink r:id="rId406" ref="C204"/>
    <hyperlink r:id="rId407" ref="B205"/>
    <hyperlink r:id="rId408" ref="C205"/>
    <hyperlink r:id="rId409" ref="B206"/>
    <hyperlink r:id="rId410" ref="C206"/>
    <hyperlink r:id="rId411" ref="B207"/>
    <hyperlink r:id="rId412" ref="C207"/>
    <hyperlink r:id="rId413" ref="B208"/>
    <hyperlink r:id="rId414" ref="C208"/>
    <hyperlink r:id="rId415" ref="B209"/>
    <hyperlink r:id="rId416" ref="C209"/>
    <hyperlink r:id="rId417" ref="B210"/>
    <hyperlink r:id="rId418" ref="C210"/>
    <hyperlink r:id="rId419" ref="B211"/>
    <hyperlink r:id="rId420" ref="C211"/>
    <hyperlink r:id="rId421" ref="B212"/>
    <hyperlink r:id="rId422" ref="C212"/>
    <hyperlink r:id="rId423" ref="B213"/>
    <hyperlink r:id="rId424" ref="C213"/>
    <hyperlink r:id="rId425" ref="B214"/>
    <hyperlink r:id="rId426" ref="C214"/>
    <hyperlink r:id="rId427" ref="B215"/>
    <hyperlink r:id="rId428" ref="C215"/>
    <hyperlink r:id="rId429" ref="B216"/>
    <hyperlink r:id="rId430" ref="C216"/>
    <hyperlink r:id="rId431" ref="B217"/>
    <hyperlink r:id="rId432" ref="C217"/>
    <hyperlink r:id="rId433" ref="B218"/>
    <hyperlink r:id="rId434" ref="C218"/>
    <hyperlink r:id="rId435" ref="B219"/>
    <hyperlink r:id="rId436" ref="C219"/>
    <hyperlink r:id="rId437" ref="B220"/>
    <hyperlink r:id="rId438" ref="C220"/>
    <hyperlink r:id="rId439" ref="B221"/>
    <hyperlink r:id="rId440" ref="C221"/>
    <hyperlink r:id="rId441" ref="B222"/>
    <hyperlink r:id="rId442" ref="C222"/>
    <hyperlink r:id="rId443" ref="B223"/>
    <hyperlink r:id="rId444" ref="C223"/>
    <hyperlink r:id="rId445" ref="B224"/>
    <hyperlink r:id="rId446" ref="C224"/>
    <hyperlink r:id="rId447" ref="B225"/>
    <hyperlink r:id="rId448" ref="C225"/>
    <hyperlink r:id="rId449" ref="B226"/>
    <hyperlink r:id="rId450" ref="C226"/>
    <hyperlink r:id="rId451" ref="B227"/>
    <hyperlink r:id="rId452" ref="C227"/>
    <hyperlink r:id="rId453" ref="B228"/>
    <hyperlink r:id="rId454" ref="C228"/>
    <hyperlink r:id="rId455" ref="B229"/>
    <hyperlink r:id="rId456" ref="C229"/>
    <hyperlink r:id="rId457" ref="B230"/>
    <hyperlink r:id="rId458" ref="C230"/>
    <hyperlink r:id="rId459" ref="B231"/>
    <hyperlink r:id="rId460" ref="C231"/>
    <hyperlink r:id="rId461" ref="B232"/>
    <hyperlink r:id="rId462" ref="C232"/>
    <hyperlink r:id="rId463" ref="B233"/>
    <hyperlink r:id="rId464" ref="C233"/>
    <hyperlink r:id="rId465" ref="B234"/>
    <hyperlink r:id="rId466" ref="C234"/>
    <hyperlink r:id="rId467" ref="B235"/>
    <hyperlink r:id="rId468" ref="C235"/>
    <hyperlink r:id="rId469" ref="B236"/>
    <hyperlink r:id="rId470" ref="C236"/>
    <hyperlink r:id="rId471" ref="B237"/>
    <hyperlink r:id="rId472" ref="C237"/>
    <hyperlink r:id="rId473" ref="B238"/>
    <hyperlink r:id="rId474" ref="C238"/>
    <hyperlink r:id="rId475" ref="B239"/>
    <hyperlink r:id="rId476" ref="C239"/>
    <hyperlink r:id="rId477" ref="B240"/>
    <hyperlink r:id="rId478" ref="C240"/>
    <hyperlink r:id="rId479" ref="B241"/>
    <hyperlink r:id="rId480" ref="C241"/>
    <hyperlink r:id="rId481" ref="B242"/>
    <hyperlink r:id="rId482" ref="C242"/>
    <hyperlink r:id="rId483" ref="B243"/>
    <hyperlink r:id="rId484" ref="C243"/>
    <hyperlink r:id="rId485" ref="B244"/>
    <hyperlink r:id="rId486" ref="C244"/>
    <hyperlink r:id="rId487" ref="B245"/>
    <hyperlink r:id="rId488" ref="C245"/>
    <hyperlink r:id="rId489" ref="B246"/>
    <hyperlink r:id="rId490" ref="C246"/>
    <hyperlink r:id="rId491" ref="B247"/>
    <hyperlink r:id="rId492" ref="C247"/>
    <hyperlink r:id="rId493" ref="B248"/>
    <hyperlink r:id="rId494" ref="C248"/>
    <hyperlink r:id="rId495" ref="B249"/>
    <hyperlink r:id="rId496" ref="C249"/>
    <hyperlink r:id="rId497" ref="B250"/>
    <hyperlink r:id="rId498" ref="C250"/>
    <hyperlink r:id="rId499" ref="B251"/>
    <hyperlink r:id="rId500" ref="C251"/>
    <hyperlink r:id="rId501" ref="B252"/>
    <hyperlink r:id="rId502" ref="C252"/>
    <hyperlink r:id="rId503" ref="B253"/>
    <hyperlink r:id="rId504" ref="C253"/>
    <hyperlink r:id="rId505" ref="B254"/>
    <hyperlink r:id="rId506" ref="C254"/>
    <hyperlink r:id="rId507" ref="B255"/>
    <hyperlink r:id="rId508" ref="C255"/>
    <hyperlink r:id="rId509" ref="B256"/>
    <hyperlink r:id="rId510" ref="C256"/>
    <hyperlink r:id="rId511" ref="B257"/>
    <hyperlink r:id="rId512" ref="C257"/>
    <hyperlink r:id="rId513" ref="B258"/>
    <hyperlink r:id="rId514" ref="C258"/>
    <hyperlink r:id="rId515" ref="B259"/>
    <hyperlink r:id="rId516" ref="C259"/>
    <hyperlink r:id="rId517" ref="B260"/>
    <hyperlink r:id="rId518" ref="C260"/>
    <hyperlink r:id="rId519" ref="B261"/>
    <hyperlink r:id="rId520" ref="C261"/>
    <hyperlink r:id="rId521" ref="B262"/>
    <hyperlink r:id="rId522" ref="C262"/>
    <hyperlink r:id="rId523" ref="B263"/>
    <hyperlink r:id="rId524" ref="C263"/>
    <hyperlink r:id="rId525" ref="B264"/>
    <hyperlink r:id="rId526" ref="C264"/>
    <hyperlink r:id="rId527" ref="B265"/>
    <hyperlink r:id="rId528" ref="C265"/>
    <hyperlink r:id="rId529" ref="B266"/>
    <hyperlink r:id="rId530" ref="C266"/>
    <hyperlink r:id="rId531" ref="B267"/>
    <hyperlink r:id="rId532" ref="C267"/>
    <hyperlink r:id="rId533" ref="B268"/>
    <hyperlink r:id="rId534" ref="C268"/>
    <hyperlink r:id="rId535" ref="B269"/>
    <hyperlink r:id="rId536" ref="C269"/>
    <hyperlink r:id="rId537" ref="B270"/>
    <hyperlink r:id="rId538" ref="C270"/>
    <hyperlink r:id="rId539" ref="B271"/>
    <hyperlink r:id="rId540" ref="C271"/>
    <hyperlink r:id="rId541" ref="B272"/>
    <hyperlink r:id="rId542" ref="C272"/>
    <hyperlink r:id="rId543" ref="B273"/>
    <hyperlink r:id="rId544" ref="C273"/>
    <hyperlink r:id="rId545" ref="B274"/>
    <hyperlink r:id="rId546" ref="C274"/>
    <hyperlink r:id="rId547" ref="B275"/>
    <hyperlink r:id="rId548" ref="C275"/>
    <hyperlink r:id="rId549" ref="B276"/>
    <hyperlink r:id="rId550" ref="C276"/>
    <hyperlink r:id="rId551" ref="B277"/>
    <hyperlink r:id="rId552" ref="C277"/>
    <hyperlink r:id="rId553" ref="B278"/>
    <hyperlink r:id="rId554" ref="C278"/>
    <hyperlink r:id="rId555" ref="B279"/>
    <hyperlink r:id="rId556" ref="C279"/>
    <hyperlink r:id="rId557" ref="B280"/>
    <hyperlink r:id="rId558" ref="C280"/>
    <hyperlink r:id="rId559" ref="B281"/>
    <hyperlink r:id="rId560" ref="C281"/>
    <hyperlink r:id="rId561" ref="B282"/>
    <hyperlink r:id="rId562" ref="C282"/>
    <hyperlink r:id="rId563" ref="B283"/>
    <hyperlink r:id="rId564" ref="C283"/>
    <hyperlink r:id="rId565" ref="B284"/>
    <hyperlink r:id="rId566" ref="C284"/>
    <hyperlink r:id="rId567" ref="B285"/>
    <hyperlink r:id="rId568" ref="C285"/>
    <hyperlink r:id="rId569" ref="B286"/>
    <hyperlink r:id="rId570" ref="C286"/>
    <hyperlink r:id="rId571" ref="B287"/>
    <hyperlink r:id="rId572" ref="C287"/>
    <hyperlink r:id="rId573" ref="B288"/>
    <hyperlink r:id="rId574" ref="C288"/>
    <hyperlink r:id="rId575" ref="B289"/>
    <hyperlink r:id="rId576" ref="C289"/>
    <hyperlink r:id="rId577" ref="B290"/>
    <hyperlink r:id="rId578" ref="C290"/>
    <hyperlink r:id="rId579" ref="B291"/>
    <hyperlink r:id="rId580" ref="C291"/>
    <hyperlink r:id="rId581" ref="B292"/>
    <hyperlink r:id="rId582" ref="C292"/>
    <hyperlink r:id="rId583" ref="B293"/>
    <hyperlink r:id="rId584" ref="C293"/>
    <hyperlink r:id="rId585" ref="B294"/>
    <hyperlink r:id="rId586" ref="C294"/>
    <hyperlink r:id="rId587" ref="B295"/>
    <hyperlink r:id="rId588" ref="C295"/>
    <hyperlink r:id="rId589" ref="B296"/>
    <hyperlink r:id="rId590" ref="C296"/>
    <hyperlink r:id="rId591" ref="B297"/>
    <hyperlink r:id="rId592" ref="C297"/>
    <hyperlink r:id="rId593" ref="B298"/>
    <hyperlink r:id="rId594" ref="C298"/>
    <hyperlink r:id="rId595" ref="B299"/>
    <hyperlink r:id="rId596" ref="C299"/>
    <hyperlink r:id="rId597" ref="B300"/>
    <hyperlink r:id="rId598" ref="C300"/>
    <hyperlink r:id="rId599" ref="B301"/>
    <hyperlink r:id="rId600" ref="C301"/>
    <hyperlink r:id="rId601" ref="B302"/>
    <hyperlink r:id="rId602" ref="C302"/>
    <hyperlink r:id="rId603" ref="B303"/>
    <hyperlink r:id="rId604" ref="C303"/>
    <hyperlink r:id="rId605" ref="B304"/>
    <hyperlink r:id="rId606" ref="C304"/>
    <hyperlink r:id="rId607" ref="B305"/>
    <hyperlink r:id="rId608" ref="C305"/>
    <hyperlink r:id="rId609" ref="B306"/>
    <hyperlink r:id="rId610" ref="C306"/>
    <hyperlink r:id="rId611" ref="B307"/>
    <hyperlink r:id="rId612" ref="C307"/>
    <hyperlink r:id="rId613" ref="B308"/>
    <hyperlink r:id="rId614" ref="C308"/>
    <hyperlink r:id="rId615" ref="B309"/>
    <hyperlink r:id="rId616" ref="C309"/>
    <hyperlink r:id="rId617" ref="B310"/>
    <hyperlink r:id="rId618" ref="C310"/>
    <hyperlink r:id="rId619" ref="B311"/>
    <hyperlink r:id="rId620" ref="C311"/>
    <hyperlink r:id="rId621" ref="B312"/>
    <hyperlink r:id="rId622" ref="C312"/>
    <hyperlink r:id="rId623" ref="B313"/>
    <hyperlink r:id="rId624" ref="C313"/>
    <hyperlink r:id="rId625" ref="B314"/>
    <hyperlink r:id="rId626" ref="C314"/>
    <hyperlink r:id="rId627" ref="B315"/>
    <hyperlink r:id="rId628" ref="C315"/>
    <hyperlink r:id="rId629" ref="B316"/>
    <hyperlink r:id="rId630" ref="C316"/>
    <hyperlink r:id="rId631" ref="B317"/>
    <hyperlink r:id="rId632" ref="C317"/>
    <hyperlink r:id="rId633" ref="B318"/>
    <hyperlink r:id="rId634" ref="C318"/>
    <hyperlink r:id="rId635" ref="B319"/>
    <hyperlink r:id="rId636" ref="C319"/>
    <hyperlink r:id="rId637" ref="B320"/>
    <hyperlink r:id="rId638" ref="C320"/>
    <hyperlink r:id="rId639" ref="B321"/>
    <hyperlink r:id="rId640" ref="C321"/>
    <hyperlink r:id="rId641" ref="B322"/>
    <hyperlink r:id="rId642" ref="C322"/>
    <hyperlink r:id="rId643" ref="B323"/>
    <hyperlink r:id="rId644" ref="C323"/>
    <hyperlink r:id="rId645" ref="B324"/>
    <hyperlink r:id="rId646" ref="C324"/>
    <hyperlink r:id="rId647" ref="B325"/>
    <hyperlink r:id="rId648" ref="C325"/>
    <hyperlink r:id="rId649" ref="B326"/>
    <hyperlink r:id="rId650" ref="C326"/>
    <hyperlink r:id="rId651" ref="B327"/>
    <hyperlink r:id="rId652" ref="C327"/>
    <hyperlink r:id="rId653" ref="B328"/>
    <hyperlink r:id="rId654" ref="C328"/>
    <hyperlink r:id="rId655" ref="B329"/>
    <hyperlink r:id="rId656" ref="C329"/>
    <hyperlink r:id="rId657" ref="B330"/>
    <hyperlink r:id="rId658" ref="C330"/>
    <hyperlink r:id="rId659" ref="B331"/>
    <hyperlink r:id="rId660" ref="C331"/>
    <hyperlink r:id="rId661" ref="B332"/>
    <hyperlink r:id="rId662" ref="C332"/>
    <hyperlink r:id="rId663" ref="B333"/>
    <hyperlink r:id="rId664" ref="C333"/>
    <hyperlink r:id="rId665" ref="B334"/>
    <hyperlink r:id="rId666" ref="C334"/>
    <hyperlink r:id="rId667" ref="B335"/>
    <hyperlink r:id="rId668" ref="C335"/>
    <hyperlink r:id="rId669" ref="B336"/>
    <hyperlink r:id="rId670" ref="C336"/>
    <hyperlink r:id="rId671" ref="B337"/>
    <hyperlink r:id="rId672" ref="C337"/>
    <hyperlink r:id="rId673" ref="B338"/>
    <hyperlink r:id="rId674" ref="C338"/>
    <hyperlink r:id="rId675" ref="B339"/>
    <hyperlink r:id="rId676" ref="C339"/>
    <hyperlink r:id="rId677" ref="B340"/>
    <hyperlink r:id="rId678" ref="C340"/>
    <hyperlink r:id="rId679" ref="B341"/>
    <hyperlink r:id="rId680" ref="C341"/>
    <hyperlink r:id="rId681" ref="B342"/>
    <hyperlink r:id="rId682" ref="C342"/>
    <hyperlink r:id="rId683" ref="B343"/>
    <hyperlink r:id="rId684" ref="C343"/>
    <hyperlink r:id="rId685" ref="B344"/>
    <hyperlink r:id="rId686" ref="C344"/>
    <hyperlink r:id="rId687" ref="B345"/>
    <hyperlink r:id="rId688" ref="C345"/>
    <hyperlink r:id="rId689" ref="B346"/>
    <hyperlink r:id="rId690" ref="C346"/>
    <hyperlink r:id="rId691" ref="B347"/>
    <hyperlink r:id="rId692" ref="C347"/>
    <hyperlink r:id="rId693" ref="B348"/>
    <hyperlink r:id="rId694" ref="C348"/>
    <hyperlink r:id="rId695" ref="B349"/>
    <hyperlink r:id="rId696" ref="C349"/>
    <hyperlink r:id="rId697" ref="B350"/>
    <hyperlink r:id="rId698" ref="C350"/>
    <hyperlink r:id="rId699" ref="B351"/>
    <hyperlink r:id="rId700" ref="C351"/>
    <hyperlink r:id="rId701" ref="B352"/>
    <hyperlink r:id="rId702" ref="C352"/>
    <hyperlink r:id="rId703" ref="B353"/>
    <hyperlink r:id="rId704" ref="C353"/>
    <hyperlink r:id="rId705" ref="B354"/>
    <hyperlink r:id="rId706" ref="C354"/>
    <hyperlink r:id="rId707" ref="B355"/>
    <hyperlink r:id="rId708" ref="C355"/>
    <hyperlink r:id="rId709" ref="B356"/>
    <hyperlink r:id="rId710" ref="C356"/>
    <hyperlink r:id="rId711" ref="B357"/>
    <hyperlink r:id="rId712" ref="C357"/>
    <hyperlink r:id="rId713" ref="B358"/>
    <hyperlink r:id="rId714" ref="C358"/>
    <hyperlink r:id="rId715" ref="B359"/>
    <hyperlink r:id="rId716" ref="C359"/>
    <hyperlink r:id="rId717" ref="B360"/>
    <hyperlink r:id="rId718" ref="C360"/>
    <hyperlink r:id="rId719" ref="B361"/>
    <hyperlink r:id="rId720" ref="C361"/>
    <hyperlink r:id="rId721" ref="B362"/>
    <hyperlink r:id="rId722" ref="C362"/>
    <hyperlink r:id="rId723" ref="B363"/>
    <hyperlink r:id="rId724" ref="C363"/>
    <hyperlink r:id="rId725" ref="B364"/>
    <hyperlink r:id="rId726" ref="C364"/>
    <hyperlink r:id="rId727" ref="B365"/>
    <hyperlink r:id="rId728" ref="C365"/>
    <hyperlink r:id="rId729" ref="B366"/>
    <hyperlink r:id="rId730" ref="C366"/>
    <hyperlink r:id="rId731" ref="B367"/>
    <hyperlink r:id="rId732" ref="C367"/>
    <hyperlink r:id="rId733" ref="B368"/>
    <hyperlink r:id="rId734" ref="C368"/>
    <hyperlink r:id="rId735" ref="B369"/>
    <hyperlink r:id="rId736" ref="C369"/>
    <hyperlink r:id="rId737" ref="B370"/>
    <hyperlink r:id="rId738" ref="C370"/>
    <hyperlink r:id="rId739" ref="B371"/>
    <hyperlink r:id="rId740" ref="C371"/>
    <hyperlink r:id="rId741" ref="B372"/>
    <hyperlink r:id="rId742" ref="C372"/>
    <hyperlink r:id="rId743" ref="B373"/>
    <hyperlink r:id="rId744" ref="C373"/>
    <hyperlink r:id="rId745" ref="B374"/>
    <hyperlink r:id="rId746" ref="C374"/>
    <hyperlink r:id="rId747" ref="B375"/>
    <hyperlink r:id="rId748" ref="C375"/>
    <hyperlink r:id="rId749" ref="B376"/>
    <hyperlink r:id="rId750" ref="C376"/>
    <hyperlink r:id="rId751" ref="B377"/>
    <hyperlink r:id="rId752" ref="C377"/>
    <hyperlink r:id="rId753" ref="B378"/>
    <hyperlink r:id="rId754" ref="C378"/>
    <hyperlink r:id="rId755" ref="B379"/>
    <hyperlink r:id="rId756" ref="C379"/>
    <hyperlink r:id="rId757" ref="B380"/>
    <hyperlink r:id="rId758" ref="C380"/>
    <hyperlink r:id="rId759" ref="B381"/>
    <hyperlink r:id="rId760" ref="C381"/>
    <hyperlink r:id="rId761" ref="B382"/>
    <hyperlink r:id="rId762" ref="C382"/>
    <hyperlink r:id="rId763" ref="B383"/>
    <hyperlink r:id="rId764" ref="C383"/>
    <hyperlink r:id="rId765" ref="B384"/>
    <hyperlink r:id="rId766" ref="C384"/>
    <hyperlink r:id="rId767" ref="B385"/>
    <hyperlink r:id="rId768" ref="C385"/>
    <hyperlink r:id="rId769" ref="B386"/>
    <hyperlink r:id="rId770" ref="C386"/>
    <hyperlink r:id="rId771" ref="B387"/>
    <hyperlink r:id="rId772" ref="C387"/>
    <hyperlink r:id="rId773" ref="B388"/>
    <hyperlink r:id="rId774" ref="C388"/>
    <hyperlink r:id="rId775" ref="B389"/>
    <hyperlink r:id="rId776" ref="C389"/>
    <hyperlink r:id="rId777" ref="B390"/>
    <hyperlink r:id="rId778" ref="C390"/>
    <hyperlink r:id="rId779" ref="B391"/>
    <hyperlink r:id="rId780" ref="C391"/>
    <hyperlink r:id="rId781" ref="B392"/>
    <hyperlink r:id="rId782" ref="C392"/>
    <hyperlink r:id="rId783" ref="B393"/>
    <hyperlink r:id="rId784" ref="C393"/>
    <hyperlink r:id="rId785" ref="B394"/>
    <hyperlink r:id="rId786" ref="C394"/>
    <hyperlink r:id="rId787" ref="B395"/>
    <hyperlink r:id="rId788" ref="C395"/>
    <hyperlink r:id="rId789" ref="B396"/>
    <hyperlink r:id="rId790" ref="C396"/>
    <hyperlink r:id="rId791" ref="B397"/>
    <hyperlink r:id="rId792" ref="C397"/>
    <hyperlink r:id="rId793" ref="B398"/>
    <hyperlink r:id="rId794" ref="C398"/>
    <hyperlink r:id="rId795" ref="B399"/>
    <hyperlink r:id="rId796" ref="C399"/>
    <hyperlink r:id="rId797" ref="B400"/>
    <hyperlink r:id="rId798" ref="C400"/>
    <hyperlink r:id="rId799" ref="B401"/>
    <hyperlink r:id="rId800" ref="C401"/>
    <hyperlink r:id="rId801" ref="B402"/>
    <hyperlink r:id="rId802" ref="C402"/>
    <hyperlink r:id="rId803" ref="B403"/>
    <hyperlink r:id="rId804" ref="C403"/>
    <hyperlink r:id="rId805" ref="B404"/>
    <hyperlink r:id="rId806" ref="C404"/>
    <hyperlink r:id="rId807" ref="B405"/>
    <hyperlink r:id="rId808" ref="C405"/>
    <hyperlink r:id="rId809" ref="B406"/>
    <hyperlink r:id="rId810" ref="C406"/>
    <hyperlink r:id="rId811" ref="B407"/>
    <hyperlink r:id="rId812" ref="C407"/>
    <hyperlink r:id="rId813" ref="B408"/>
    <hyperlink r:id="rId814" ref="C408"/>
    <hyperlink r:id="rId815" ref="B409"/>
    <hyperlink r:id="rId816" ref="C409"/>
    <hyperlink r:id="rId817" ref="B410"/>
    <hyperlink r:id="rId818" ref="C410"/>
    <hyperlink r:id="rId819" ref="B411"/>
    <hyperlink r:id="rId820" ref="C411"/>
    <hyperlink r:id="rId821" ref="B412"/>
    <hyperlink r:id="rId822" ref="C412"/>
    <hyperlink r:id="rId823" ref="B413"/>
    <hyperlink r:id="rId824" ref="C413"/>
    <hyperlink r:id="rId825" ref="B414"/>
    <hyperlink r:id="rId826" ref="C414"/>
    <hyperlink r:id="rId827" ref="B415"/>
    <hyperlink r:id="rId828" ref="C415"/>
    <hyperlink r:id="rId829" ref="B416"/>
    <hyperlink r:id="rId830" ref="C416"/>
    <hyperlink r:id="rId831" ref="B417"/>
    <hyperlink r:id="rId832" ref="C417"/>
    <hyperlink r:id="rId833" ref="B418"/>
    <hyperlink r:id="rId834" ref="C418"/>
    <hyperlink r:id="rId835" ref="B419"/>
    <hyperlink r:id="rId836" ref="C419"/>
    <hyperlink r:id="rId837" ref="B420"/>
    <hyperlink r:id="rId838" ref="C420"/>
    <hyperlink r:id="rId839" ref="B421"/>
    <hyperlink r:id="rId840" ref="C421"/>
    <hyperlink r:id="rId841" ref="B422"/>
    <hyperlink r:id="rId842" ref="C422"/>
    <hyperlink r:id="rId843" ref="B423"/>
    <hyperlink r:id="rId844" ref="C423"/>
    <hyperlink r:id="rId845" ref="B424"/>
    <hyperlink r:id="rId846" ref="C424"/>
    <hyperlink r:id="rId847" ref="B425"/>
    <hyperlink r:id="rId848" ref="C425"/>
    <hyperlink r:id="rId849" ref="B426"/>
    <hyperlink r:id="rId850" ref="C426"/>
    <hyperlink r:id="rId851" ref="B427"/>
    <hyperlink r:id="rId852" ref="C427"/>
    <hyperlink r:id="rId853" ref="B428"/>
    <hyperlink r:id="rId854" ref="C428"/>
    <hyperlink r:id="rId855" ref="B429"/>
    <hyperlink r:id="rId856" ref="C429"/>
    <hyperlink r:id="rId857" ref="B430"/>
    <hyperlink r:id="rId858" ref="C430"/>
    <hyperlink r:id="rId859" ref="B431"/>
    <hyperlink r:id="rId860" ref="C431"/>
    <hyperlink r:id="rId861" ref="B432"/>
    <hyperlink r:id="rId862" ref="C432"/>
    <hyperlink r:id="rId863" ref="B433"/>
    <hyperlink r:id="rId864" ref="C433"/>
    <hyperlink r:id="rId865" ref="B434"/>
    <hyperlink r:id="rId866" ref="C434"/>
    <hyperlink r:id="rId867" ref="B435"/>
    <hyperlink r:id="rId868" ref="C435"/>
    <hyperlink r:id="rId869" ref="B436"/>
    <hyperlink r:id="rId870" ref="C436"/>
    <hyperlink r:id="rId871" ref="B437"/>
    <hyperlink r:id="rId872" ref="C437"/>
    <hyperlink r:id="rId873" ref="B438"/>
    <hyperlink r:id="rId874" ref="C438"/>
    <hyperlink r:id="rId875" ref="B439"/>
    <hyperlink r:id="rId876" ref="C439"/>
    <hyperlink r:id="rId877" ref="B440"/>
    <hyperlink r:id="rId878" ref="C440"/>
    <hyperlink r:id="rId879" ref="B441"/>
    <hyperlink r:id="rId880" ref="C441"/>
    <hyperlink r:id="rId881" ref="B442"/>
    <hyperlink r:id="rId882" ref="C442"/>
    <hyperlink r:id="rId883" ref="B443"/>
    <hyperlink r:id="rId884" ref="C443"/>
    <hyperlink r:id="rId885" ref="B444"/>
    <hyperlink r:id="rId886" ref="C444"/>
    <hyperlink r:id="rId887" ref="B445"/>
    <hyperlink r:id="rId888" ref="C445"/>
    <hyperlink r:id="rId889" ref="B446"/>
    <hyperlink r:id="rId890" ref="C446"/>
    <hyperlink r:id="rId891" ref="B447"/>
    <hyperlink r:id="rId892" ref="C447"/>
    <hyperlink r:id="rId893" ref="B448"/>
    <hyperlink r:id="rId894" ref="C448"/>
    <hyperlink r:id="rId895" ref="B449"/>
    <hyperlink r:id="rId896" ref="C449"/>
    <hyperlink r:id="rId897" ref="B450"/>
    <hyperlink r:id="rId898" ref="C450"/>
    <hyperlink r:id="rId899" ref="B451"/>
    <hyperlink r:id="rId900" ref="C451"/>
    <hyperlink r:id="rId901" ref="B452"/>
    <hyperlink r:id="rId902" ref="C452"/>
    <hyperlink r:id="rId903" ref="B453"/>
    <hyperlink r:id="rId904" ref="C453"/>
    <hyperlink r:id="rId905" ref="B454"/>
    <hyperlink r:id="rId906" ref="C454"/>
    <hyperlink r:id="rId907" ref="B455"/>
    <hyperlink r:id="rId908" ref="C455"/>
    <hyperlink r:id="rId909" ref="B456"/>
    <hyperlink r:id="rId910" ref="C456"/>
    <hyperlink r:id="rId911" ref="B457"/>
    <hyperlink r:id="rId912" ref="C457"/>
    <hyperlink r:id="rId913" ref="B458"/>
    <hyperlink r:id="rId914" ref="C458"/>
    <hyperlink r:id="rId915" ref="B459"/>
    <hyperlink r:id="rId916" ref="C459"/>
    <hyperlink r:id="rId917" ref="B460"/>
    <hyperlink r:id="rId918" ref="C460"/>
    <hyperlink r:id="rId919" ref="B461"/>
    <hyperlink r:id="rId920" ref="C461"/>
    <hyperlink r:id="rId921" ref="B462"/>
    <hyperlink r:id="rId922" ref="C462"/>
    <hyperlink r:id="rId923" ref="B463"/>
    <hyperlink r:id="rId924" ref="C463"/>
  </hyperlinks>
  <drawing r:id="rId9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0"/>
    <col customWidth="1" hidden="1" min="5" max="5" width="14.0"/>
    <col customWidth="1" min="6" max="6" width="19.75"/>
    <col customWidth="1" min="7" max="7" width="18.75"/>
  </cols>
  <sheetData>
    <row r="1">
      <c r="A1" s="1" t="s">
        <v>0</v>
      </c>
      <c r="B1" s="1" t="s">
        <v>2</v>
      </c>
      <c r="C1" s="1" t="s">
        <v>4</v>
      </c>
      <c r="D1" s="1" t="s">
        <v>6</v>
      </c>
      <c r="E1" s="1" t="s">
        <v>7</v>
      </c>
      <c r="F1" s="1" t="s">
        <v>12</v>
      </c>
      <c r="G1" s="1" t="s">
        <v>13</v>
      </c>
      <c r="H1" s="1" t="s">
        <v>14</v>
      </c>
      <c r="I1" s="1" t="s">
        <v>15</v>
      </c>
      <c r="J1" s="1" t="s">
        <v>16</v>
      </c>
      <c r="K1" s="1" t="s">
        <v>17</v>
      </c>
      <c r="L1" s="1" t="s">
        <v>18</v>
      </c>
      <c r="M1" s="1" t="s">
        <v>20</v>
      </c>
      <c r="N1" s="1" t="s">
        <v>21</v>
      </c>
      <c r="O1" s="1" t="s">
        <v>22</v>
      </c>
      <c r="P1" s="1" t="s">
        <v>23</v>
      </c>
      <c r="Q1" s="1" t="s">
        <v>24</v>
      </c>
      <c r="R1" s="1" t="s">
        <v>28</v>
      </c>
      <c r="S1" s="1" t="s">
        <v>29</v>
      </c>
    </row>
    <row r="2" ht="62.25" customHeight="1">
      <c r="A2" s="1">
        <v>4.4508084248973E13</v>
      </c>
      <c r="B2" s="2" t="s">
        <v>32</v>
      </c>
      <c r="C2" s="1" t="s">
        <v>33</v>
      </c>
      <c r="D2" s="1" t="s">
        <v>34</v>
      </c>
      <c r="E2" s="1" t="b">
        <v>1</v>
      </c>
      <c r="F2" s="1" t="s">
        <v>35</v>
      </c>
      <c r="G2" s="1" t="str">
        <f t="array" ref="G2">XLOOKUP(A:A,'CategoriasSeções'!A:A,'CategoriasSeções'!B:B)</f>
        <v>APOIO ATENDIMENTO</v>
      </c>
      <c r="H2" s="1" t="s">
        <v>36</v>
      </c>
      <c r="I2" s="3">
        <v>46104.53055555555</v>
      </c>
      <c r="J2" s="3">
        <v>46104.532638888886</v>
      </c>
      <c r="K2" s="1" t="s">
        <v>37</v>
      </c>
      <c r="L2" s="1" t="s">
        <v>37</v>
      </c>
      <c r="M2" s="1" t="s">
        <v>38</v>
      </c>
      <c r="N2" s="1" t="s">
        <v>39</v>
      </c>
      <c r="O2" s="1" t="s">
        <v>39</v>
      </c>
      <c r="P2" s="1" t="s">
        <v>39</v>
      </c>
      <c r="Q2" s="3">
        <v>46104.53194444445</v>
      </c>
      <c r="R2" s="1" t="s">
        <v>42</v>
      </c>
      <c r="S2" s="1" t="s">
        <v>43</v>
      </c>
    </row>
    <row r="3" ht="62.25" customHeight="1">
      <c r="A3" s="1">
        <v>4.4507889059469E13</v>
      </c>
      <c r="B3" s="2" t="s">
        <v>46</v>
      </c>
      <c r="C3" s="1" t="s">
        <v>33</v>
      </c>
      <c r="D3" s="1" t="s">
        <v>47</v>
      </c>
      <c r="E3" s="1" t="b">
        <v>1</v>
      </c>
      <c r="F3" s="1" t="s">
        <v>35</v>
      </c>
      <c r="G3" s="1" t="str">
        <f t="array" ref="G3">XLOOKUP(A:A,'CategoriasSeções'!A:A,'CategoriasSeções'!B:B)</f>
        <v>APOIO ATENDIMENTO</v>
      </c>
      <c r="H3" s="1" t="s">
        <v>36</v>
      </c>
      <c r="I3" s="3">
        <v>46104.52638888889</v>
      </c>
      <c r="J3" s="3">
        <v>46104.52638888889</v>
      </c>
      <c r="K3" s="1" t="s">
        <v>37</v>
      </c>
      <c r="L3" s="1" t="s">
        <v>37</v>
      </c>
      <c r="M3" s="1" t="s">
        <v>38</v>
      </c>
      <c r="N3" s="1" t="s">
        <v>39</v>
      </c>
      <c r="O3" s="1" t="s">
        <v>39</v>
      </c>
      <c r="P3" s="1" t="s">
        <v>39</v>
      </c>
      <c r="Q3" s="3">
        <v>46104.52638888889</v>
      </c>
      <c r="R3" s="1" t="s">
        <v>42</v>
      </c>
      <c r="S3" s="1" t="s">
        <v>49</v>
      </c>
    </row>
    <row r="4" ht="62.25" customHeight="1">
      <c r="A4" s="1">
        <v>4.1600964186509E13</v>
      </c>
      <c r="B4" s="2" t="s">
        <v>51</v>
      </c>
      <c r="C4" s="1" t="s">
        <v>52</v>
      </c>
      <c r="D4" s="1" t="s">
        <v>34</v>
      </c>
      <c r="E4" s="1" t="b">
        <v>0</v>
      </c>
      <c r="F4" s="1" t="s">
        <v>35</v>
      </c>
      <c r="G4" s="1" t="str">
        <f t="array" ref="G4">XLOOKUP(A:A,'CategoriasSeções'!A:A,'CategoriasSeções'!B:B)</f>
        <v>APOIO ATENDIMENTO</v>
      </c>
      <c r="H4" s="1" t="s">
        <v>53</v>
      </c>
      <c r="I4" s="3">
        <v>45993.81527777778</v>
      </c>
      <c r="J4" s="3">
        <v>45993.81527777778</v>
      </c>
      <c r="K4" s="1" t="s">
        <v>54</v>
      </c>
      <c r="L4" s="1" t="s">
        <v>54</v>
      </c>
      <c r="M4" s="1" t="s">
        <v>38</v>
      </c>
      <c r="N4" s="1" t="s">
        <v>39</v>
      </c>
      <c r="O4" s="1" t="s">
        <v>39</v>
      </c>
      <c r="P4" s="1" t="s">
        <v>39</v>
      </c>
      <c r="Q4" s="3">
        <v>45993.81527777778</v>
      </c>
      <c r="R4" s="1" t="s">
        <v>55</v>
      </c>
      <c r="S4" s="1" t="s">
        <v>56</v>
      </c>
    </row>
    <row r="5" ht="62.25" customHeight="1">
      <c r="A5" s="4">
        <v>4.1483147497613E13</v>
      </c>
      <c r="B5" s="5" t="s">
        <v>58</v>
      </c>
      <c r="C5" s="4" t="s">
        <v>52</v>
      </c>
      <c r="D5" s="4" t="s">
        <v>34</v>
      </c>
      <c r="E5" s="4" t="b">
        <v>0</v>
      </c>
      <c r="F5" s="4" t="s">
        <v>35</v>
      </c>
      <c r="G5" s="4" t="str">
        <f t="array" ref="G5">XLOOKUP(A:A,'CategoriasSeções'!A:A,'CategoriasSeções'!B:B)</f>
        <v>APOIO ATENDIMENTO</v>
      </c>
      <c r="H5" s="4" t="s">
        <v>53</v>
      </c>
      <c r="I5" s="6">
        <v>45988.91180555556</v>
      </c>
      <c r="J5" s="6">
        <v>45988.91180555556</v>
      </c>
      <c r="K5" s="4" t="s">
        <v>59</v>
      </c>
      <c r="L5" s="4" t="s">
        <v>59</v>
      </c>
      <c r="M5" s="4" t="s">
        <v>38</v>
      </c>
      <c r="N5" s="4" t="s">
        <v>39</v>
      </c>
      <c r="O5" s="4" t="s">
        <v>39</v>
      </c>
      <c r="P5" s="4" t="s">
        <v>39</v>
      </c>
      <c r="Q5" s="6">
        <v>45988.91180555556</v>
      </c>
      <c r="R5" s="4" t="s">
        <v>55</v>
      </c>
      <c r="S5" s="4" t="s">
        <v>60</v>
      </c>
    </row>
    <row r="6" ht="62.25" customHeight="1">
      <c r="A6" s="8">
        <v>4.1454970746765E13</v>
      </c>
      <c r="B6" s="9" t="s">
        <v>62</v>
      </c>
      <c r="C6" s="8" t="s">
        <v>63</v>
      </c>
      <c r="D6" s="8" t="s">
        <v>34</v>
      </c>
      <c r="E6" s="8" t="b">
        <v>0</v>
      </c>
      <c r="F6" s="8" t="s">
        <v>35</v>
      </c>
      <c r="G6" s="8" t="str">
        <f t="array" ref="G6">XLOOKUP(A:A,'CategoriasSeções'!A:A,'CategoriasSeções'!B:B)</f>
        <v>APOIO ATENDIMENTO</v>
      </c>
      <c r="H6" s="8" t="s">
        <v>53</v>
      </c>
      <c r="I6" s="10">
        <v>45987.82708333333</v>
      </c>
      <c r="J6" s="10">
        <v>45987.82708333333</v>
      </c>
      <c r="K6" s="8" t="s">
        <v>64</v>
      </c>
      <c r="L6" s="8" t="s">
        <v>64</v>
      </c>
      <c r="M6" s="8" t="s">
        <v>38</v>
      </c>
      <c r="N6" s="8" t="s">
        <v>39</v>
      </c>
      <c r="O6" s="8" t="s">
        <v>39</v>
      </c>
      <c r="P6" s="8" t="s">
        <v>39</v>
      </c>
      <c r="Q6" s="10">
        <v>45987.82708333333</v>
      </c>
      <c r="R6" s="8" t="s">
        <v>55</v>
      </c>
      <c r="S6" s="8" t="s">
        <v>65</v>
      </c>
    </row>
    <row r="7" ht="62.25" customHeight="1">
      <c r="A7" s="8">
        <v>4.1421370993293E13</v>
      </c>
      <c r="B7" s="9" t="s">
        <v>67</v>
      </c>
      <c r="C7" s="8" t="s">
        <v>52</v>
      </c>
      <c r="D7" s="8" t="s">
        <v>34</v>
      </c>
      <c r="E7" s="8" t="b">
        <v>0</v>
      </c>
      <c r="F7" s="8" t="s">
        <v>35</v>
      </c>
      <c r="G7" s="8" t="str">
        <f t="array" ref="G7">XLOOKUP(A:A,'CategoriasSeções'!A:A,'CategoriasSeções'!B:B)</f>
        <v>APOIO ATENDIMENTO</v>
      </c>
      <c r="H7" s="8" t="s">
        <v>53</v>
      </c>
      <c r="I7" s="10">
        <v>45986.7875</v>
      </c>
      <c r="J7" s="10">
        <v>45988.74791666667</v>
      </c>
      <c r="K7" s="8" t="s">
        <v>68</v>
      </c>
      <c r="L7" s="8" t="s">
        <v>68</v>
      </c>
      <c r="M7" s="8" t="s">
        <v>38</v>
      </c>
      <c r="N7" s="8" t="s">
        <v>39</v>
      </c>
      <c r="O7" s="8" t="s">
        <v>69</v>
      </c>
      <c r="P7" s="8" t="s">
        <v>69</v>
      </c>
      <c r="Q7" s="10">
        <v>45988.74791666667</v>
      </c>
      <c r="R7" s="8" t="s">
        <v>55</v>
      </c>
      <c r="S7" s="8" t="s">
        <v>70</v>
      </c>
    </row>
    <row r="8" ht="62.25" customHeight="1">
      <c r="A8" s="1">
        <v>4.1414964107277E13</v>
      </c>
      <c r="B8" s="2" t="s">
        <v>72</v>
      </c>
      <c r="C8" s="1" t="s">
        <v>73</v>
      </c>
      <c r="D8" s="1" t="s">
        <v>34</v>
      </c>
      <c r="E8" s="1" t="b">
        <v>0</v>
      </c>
      <c r="F8" s="1" t="s">
        <v>35</v>
      </c>
      <c r="G8" s="1" t="str">
        <f t="array" ref="G8">XLOOKUP(A:A,'CategoriasSeções'!A:A,'CategoriasSeções'!B:B)</f>
        <v>APOIO ATENDIMENTO</v>
      </c>
      <c r="H8" s="1" t="s">
        <v>53</v>
      </c>
      <c r="I8" s="12">
        <v>45986.66736111111</v>
      </c>
      <c r="J8" s="12">
        <v>45986.66805555556</v>
      </c>
      <c r="K8" s="1" t="s">
        <v>74</v>
      </c>
      <c r="L8" s="1" t="s">
        <v>74</v>
      </c>
      <c r="M8" s="1" t="s">
        <v>38</v>
      </c>
      <c r="N8" s="1" t="s">
        <v>75</v>
      </c>
      <c r="O8" s="1" t="s">
        <v>39</v>
      </c>
      <c r="P8" s="1" t="s">
        <v>39</v>
      </c>
      <c r="Q8" s="12">
        <v>45986.66736111111</v>
      </c>
      <c r="R8" s="1" t="s">
        <v>55</v>
      </c>
      <c r="S8" s="1" t="s">
        <v>76</v>
      </c>
    </row>
    <row r="9" ht="62.25" customHeight="1">
      <c r="A9" s="1">
        <v>3.9796803468557E13</v>
      </c>
      <c r="B9" s="2" t="s">
        <v>78</v>
      </c>
      <c r="C9" s="1" t="s">
        <v>33</v>
      </c>
      <c r="D9" s="1" t="s">
        <v>34</v>
      </c>
      <c r="E9" s="1" t="b">
        <v>0</v>
      </c>
      <c r="F9" s="1" t="s">
        <v>35</v>
      </c>
      <c r="G9" s="1" t="str">
        <f t="array" ref="G9">XLOOKUP(A:A,'CategoriasSeções'!A:A,'CategoriasSeções'!B:B)</f>
        <v>APOIO ATENDIMENTO</v>
      </c>
      <c r="H9" s="1" t="s">
        <v>36</v>
      </c>
      <c r="I9" s="3">
        <v>45923.68194444444</v>
      </c>
      <c r="J9" s="3">
        <v>45923.68263888889</v>
      </c>
      <c r="K9" s="1" t="s">
        <v>79</v>
      </c>
      <c r="L9" s="1" t="s">
        <v>79</v>
      </c>
      <c r="M9" s="1" t="s">
        <v>38</v>
      </c>
      <c r="N9" s="1" t="s">
        <v>39</v>
      </c>
      <c r="O9" s="1" t="s">
        <v>69</v>
      </c>
      <c r="P9" s="1" t="s">
        <v>69</v>
      </c>
      <c r="Q9" s="3">
        <v>45923.68263888889</v>
      </c>
      <c r="R9" s="1" t="s">
        <v>55</v>
      </c>
      <c r="S9" s="1" t="s">
        <v>81</v>
      </c>
    </row>
    <row r="10" ht="62.25" customHeight="1">
      <c r="A10" s="1">
        <v>3.9605716395661E13</v>
      </c>
      <c r="B10" s="2" t="s">
        <v>83</v>
      </c>
      <c r="C10" s="1" t="s">
        <v>84</v>
      </c>
      <c r="D10" s="1" t="s">
        <v>47</v>
      </c>
      <c r="E10" s="1" t="b">
        <v>0</v>
      </c>
      <c r="F10" s="1" t="s">
        <v>35</v>
      </c>
      <c r="G10" s="1" t="str">
        <f t="array" ref="G10">XLOOKUP(A:A,'CategoriasSeções'!A:A,'CategoriasSeções'!B:B)</f>
        <v>Dúvidas Gerais</v>
      </c>
      <c r="H10" s="1" t="s">
        <v>85</v>
      </c>
      <c r="I10" s="3">
        <v>45916.50208333333</v>
      </c>
      <c r="J10" s="3">
        <v>45916.50208333333</v>
      </c>
      <c r="K10" s="1" t="s">
        <v>86</v>
      </c>
      <c r="L10" s="1" t="s">
        <v>86</v>
      </c>
      <c r="M10" s="1" t="s">
        <v>38</v>
      </c>
      <c r="N10" s="1" t="s">
        <v>75</v>
      </c>
      <c r="O10" s="1" t="s">
        <v>39</v>
      </c>
      <c r="P10" s="1" t="s">
        <v>39</v>
      </c>
      <c r="Q10" s="3">
        <v>45916.50208333333</v>
      </c>
      <c r="R10" s="1" t="s">
        <v>55</v>
      </c>
      <c r="S10" s="1" t="s">
        <v>87</v>
      </c>
    </row>
    <row r="11" ht="62.25" customHeight="1">
      <c r="A11" s="1">
        <v>3.9493737922701E13</v>
      </c>
      <c r="B11" s="2" t="s">
        <v>89</v>
      </c>
      <c r="C11" s="1" t="s">
        <v>90</v>
      </c>
      <c r="D11" s="1" t="s">
        <v>34</v>
      </c>
      <c r="E11" s="1" t="b">
        <v>0</v>
      </c>
      <c r="F11" s="1" t="s">
        <v>35</v>
      </c>
      <c r="G11" s="1" t="str">
        <f t="array" ref="G11">XLOOKUP(A:A,'CategoriasSeções'!A:A,'CategoriasSeções'!B:B)</f>
        <v>APOIO ATENDIMENTO</v>
      </c>
      <c r="H11" s="1" t="s">
        <v>53</v>
      </c>
      <c r="I11" s="3">
        <v>45911.566666666666</v>
      </c>
      <c r="J11" s="3">
        <v>45911.566666666666</v>
      </c>
      <c r="K11" s="1" t="s">
        <v>91</v>
      </c>
      <c r="L11" s="1" t="s">
        <v>91</v>
      </c>
      <c r="M11" s="1" t="s">
        <v>38</v>
      </c>
      <c r="N11" s="1" t="s">
        <v>39</v>
      </c>
      <c r="O11" s="1" t="s">
        <v>39</v>
      </c>
      <c r="P11" s="1" t="s">
        <v>39</v>
      </c>
      <c r="Q11" s="3">
        <v>45911.566666666666</v>
      </c>
      <c r="R11" s="1" t="s">
        <v>55</v>
      </c>
      <c r="S11" s="1" t="s">
        <v>92</v>
      </c>
    </row>
    <row r="12" ht="62.25" customHeight="1">
      <c r="A12" s="1">
        <v>3.9441645259661E13</v>
      </c>
      <c r="B12" s="2" t="s">
        <v>94</v>
      </c>
      <c r="C12" s="1" t="s">
        <v>95</v>
      </c>
      <c r="D12" s="1" t="s">
        <v>34</v>
      </c>
      <c r="E12" s="1" t="b">
        <v>0</v>
      </c>
      <c r="F12" s="1" t="s">
        <v>35</v>
      </c>
      <c r="G12" s="1" t="str">
        <f t="array" ref="G12">XLOOKUP(A:A,'CategoriasSeções'!A:A,'CategoriasSeções'!B:B)</f>
        <v>Dúvidas Gerais</v>
      </c>
      <c r="H12" s="1" t="s">
        <v>96</v>
      </c>
      <c r="I12" s="3">
        <v>45909.717361111114</v>
      </c>
      <c r="J12" s="3">
        <v>45912.604166666664</v>
      </c>
      <c r="K12" s="1" t="s">
        <v>97</v>
      </c>
      <c r="L12" s="1" t="s">
        <v>97</v>
      </c>
      <c r="M12" s="1" t="s">
        <v>38</v>
      </c>
      <c r="N12" s="1" t="s">
        <v>75</v>
      </c>
      <c r="O12" s="1" t="s">
        <v>69</v>
      </c>
      <c r="P12" s="1" t="s">
        <v>69</v>
      </c>
      <c r="Q12" s="3">
        <v>45912.604166666664</v>
      </c>
      <c r="R12" s="1" t="s">
        <v>99</v>
      </c>
      <c r="S12" s="1" t="s">
        <v>100</v>
      </c>
    </row>
    <row r="13" ht="62.25" customHeight="1">
      <c r="A13" s="1">
        <v>3.9441546144909E13</v>
      </c>
      <c r="B13" s="2" t="s">
        <v>102</v>
      </c>
      <c r="C13" s="1" t="s">
        <v>95</v>
      </c>
      <c r="D13" s="1" t="s">
        <v>34</v>
      </c>
      <c r="E13" s="1" t="b">
        <v>0</v>
      </c>
      <c r="F13" s="1" t="s">
        <v>35</v>
      </c>
      <c r="G13" s="1" t="str">
        <f t="array" ref="G13">XLOOKUP(A:A,'CategoriasSeções'!A:A,'CategoriasSeções'!B:B)</f>
        <v>Dúvidas Gerais</v>
      </c>
      <c r="H13" s="1" t="s">
        <v>103</v>
      </c>
      <c r="I13" s="3">
        <v>45909.71597222222</v>
      </c>
      <c r="J13" s="3">
        <v>45912.60833333333</v>
      </c>
      <c r="K13" s="1" t="s">
        <v>104</v>
      </c>
      <c r="L13" s="1" t="s">
        <v>104</v>
      </c>
      <c r="M13" s="1" t="s">
        <v>38</v>
      </c>
      <c r="N13" s="1" t="s">
        <v>75</v>
      </c>
      <c r="O13" s="1" t="s">
        <v>69</v>
      </c>
      <c r="P13" s="1" t="s">
        <v>69</v>
      </c>
      <c r="Q13" s="3">
        <v>45912.60833333333</v>
      </c>
      <c r="R13" s="1" t="s">
        <v>106</v>
      </c>
      <c r="S13" s="1" t="s">
        <v>107</v>
      </c>
    </row>
    <row r="14" ht="62.25" customHeight="1">
      <c r="A14" s="1">
        <v>3.9441453704461E13</v>
      </c>
      <c r="B14" s="2" t="s">
        <v>109</v>
      </c>
      <c r="C14" s="1" t="s">
        <v>95</v>
      </c>
      <c r="D14" s="1" t="s">
        <v>34</v>
      </c>
      <c r="E14" s="1" t="b">
        <v>0</v>
      </c>
      <c r="F14" s="1" t="s">
        <v>35</v>
      </c>
      <c r="G14" s="1" t="str">
        <f t="array" ref="G14">XLOOKUP(A:A,'CategoriasSeções'!A:A,'CategoriasSeções'!B:B)</f>
        <v>Dúvidas Gerais</v>
      </c>
      <c r="H14" s="1" t="s">
        <v>85</v>
      </c>
      <c r="I14" s="3">
        <v>45909.71388888889</v>
      </c>
      <c r="J14" s="3">
        <v>45912.6125</v>
      </c>
      <c r="K14" s="1" t="s">
        <v>110</v>
      </c>
      <c r="L14" s="1" t="s">
        <v>110</v>
      </c>
      <c r="M14" s="1" t="s">
        <v>38</v>
      </c>
      <c r="N14" s="1" t="s">
        <v>75</v>
      </c>
      <c r="O14" s="1" t="s">
        <v>69</v>
      </c>
      <c r="P14" s="1" t="s">
        <v>69</v>
      </c>
      <c r="Q14" s="3">
        <v>45912.6125</v>
      </c>
      <c r="R14" s="1" t="s">
        <v>112</v>
      </c>
      <c r="S14" s="1" t="s">
        <v>113</v>
      </c>
    </row>
    <row r="15" ht="62.25" customHeight="1">
      <c r="A15" s="1">
        <v>3.9441330577549E13</v>
      </c>
      <c r="B15" s="2" t="s">
        <v>115</v>
      </c>
      <c r="C15" s="1" t="s">
        <v>95</v>
      </c>
      <c r="D15" s="1" t="s">
        <v>34</v>
      </c>
      <c r="E15" s="1" t="b">
        <v>0</v>
      </c>
      <c r="F15" s="1" t="s">
        <v>35</v>
      </c>
      <c r="G15" s="1" t="str">
        <f t="array" ref="G15">XLOOKUP(A:A,'CategoriasSeções'!A:A,'CategoriasSeções'!B:B)</f>
        <v>Dúvidas Gerais</v>
      </c>
      <c r="H15" s="1" t="s">
        <v>116</v>
      </c>
      <c r="I15" s="3">
        <v>45909.711805555555</v>
      </c>
      <c r="J15" s="3">
        <v>45912.60555555556</v>
      </c>
      <c r="K15" s="1" t="s">
        <v>117</v>
      </c>
      <c r="L15" s="1" t="s">
        <v>117</v>
      </c>
      <c r="M15" s="1" t="s">
        <v>38</v>
      </c>
      <c r="N15" s="1" t="s">
        <v>75</v>
      </c>
      <c r="O15" s="1" t="s">
        <v>69</v>
      </c>
      <c r="P15" s="1" t="s">
        <v>69</v>
      </c>
      <c r="Q15" s="3">
        <v>45912.60555555556</v>
      </c>
      <c r="R15" s="1" t="s">
        <v>119</v>
      </c>
      <c r="S15" s="1" t="s">
        <v>120</v>
      </c>
    </row>
    <row r="16" ht="62.25" customHeight="1">
      <c r="A16" s="1">
        <v>3.9441101772813E13</v>
      </c>
      <c r="B16" s="2" t="s">
        <v>122</v>
      </c>
      <c r="C16" s="1" t="s">
        <v>95</v>
      </c>
      <c r="D16" s="1" t="s">
        <v>34</v>
      </c>
      <c r="E16" s="1" t="b">
        <v>0</v>
      </c>
      <c r="F16" s="1" t="s">
        <v>35</v>
      </c>
      <c r="G16" s="1" t="str">
        <f t="array" ref="G16">XLOOKUP(A:A,'CategoriasSeções'!A:A,'CategoriasSeções'!B:B)</f>
        <v>Dúvidas Gerais</v>
      </c>
      <c r="H16" s="1" t="s">
        <v>85</v>
      </c>
      <c r="I16" s="3">
        <v>45909.709027777775</v>
      </c>
      <c r="J16" s="3">
        <v>45912.61319444444</v>
      </c>
      <c r="K16" s="1" t="s">
        <v>123</v>
      </c>
      <c r="L16" s="1" t="s">
        <v>123</v>
      </c>
      <c r="M16" s="1" t="s">
        <v>38</v>
      </c>
      <c r="N16" s="1" t="s">
        <v>75</v>
      </c>
      <c r="O16" s="1" t="s">
        <v>69</v>
      </c>
      <c r="P16" s="1" t="s">
        <v>69</v>
      </c>
      <c r="Q16" s="3">
        <v>45912.61319444444</v>
      </c>
      <c r="R16" s="1" t="s">
        <v>125</v>
      </c>
      <c r="S16" s="1" t="s">
        <v>126</v>
      </c>
    </row>
    <row r="17" ht="62.25" customHeight="1">
      <c r="A17" s="1">
        <v>3.9440345586957E13</v>
      </c>
      <c r="B17" s="2" t="s">
        <v>128</v>
      </c>
      <c r="C17" s="1" t="s">
        <v>95</v>
      </c>
      <c r="D17" s="1" t="s">
        <v>34</v>
      </c>
      <c r="E17" s="1" t="b">
        <v>0</v>
      </c>
      <c r="F17" s="1" t="s">
        <v>35</v>
      </c>
      <c r="G17" s="1" t="str">
        <f t="array" ref="G17">XLOOKUP(A:A,'CategoriasSeções'!A:A,'CategoriasSeções'!B:B)</f>
        <v>Dúvidas Gerais</v>
      </c>
      <c r="H17" s="1" t="s">
        <v>129</v>
      </c>
      <c r="I17" s="3">
        <v>45909.69583333333</v>
      </c>
      <c r="J17" s="3">
        <v>45912.61111111111</v>
      </c>
      <c r="K17" s="1" t="s">
        <v>130</v>
      </c>
      <c r="L17" s="1" t="s">
        <v>130</v>
      </c>
      <c r="M17" s="1" t="s">
        <v>38</v>
      </c>
      <c r="N17" s="1" t="s">
        <v>75</v>
      </c>
      <c r="O17" s="1" t="s">
        <v>69</v>
      </c>
      <c r="P17" s="1" t="s">
        <v>69</v>
      </c>
      <c r="Q17" s="3">
        <v>45912.61111111111</v>
      </c>
      <c r="R17" s="1" t="s">
        <v>132</v>
      </c>
      <c r="S17" s="1" t="s">
        <v>133</v>
      </c>
    </row>
    <row r="18" ht="62.25" customHeight="1">
      <c r="A18" s="1">
        <v>3.8750663731597E13</v>
      </c>
      <c r="B18" s="2" t="s">
        <v>135</v>
      </c>
      <c r="C18" s="1" t="s">
        <v>95</v>
      </c>
      <c r="D18" s="1" t="s">
        <v>34</v>
      </c>
      <c r="E18" s="1" t="b">
        <v>0</v>
      </c>
      <c r="F18" s="1" t="s">
        <v>35</v>
      </c>
      <c r="G18" s="1" t="str">
        <f t="array" ref="G18">XLOOKUP(A:A,'CategoriasSeções'!A:A,'CategoriasSeções'!B:B)</f>
        <v>APOIO ATENDIMENTO</v>
      </c>
      <c r="H18" s="1" t="s">
        <v>36</v>
      </c>
      <c r="I18" s="3">
        <v>45881.521527777775</v>
      </c>
      <c r="J18" s="3">
        <v>45881.521527777775</v>
      </c>
      <c r="K18" s="1" t="s">
        <v>136</v>
      </c>
      <c r="L18" s="1" t="s">
        <v>136</v>
      </c>
      <c r="M18" s="1" t="s">
        <v>38</v>
      </c>
      <c r="N18" s="1" t="s">
        <v>75</v>
      </c>
      <c r="O18" s="1" t="s">
        <v>39</v>
      </c>
      <c r="P18" s="1" t="s">
        <v>39</v>
      </c>
      <c r="Q18" s="3">
        <v>45881.521527777775</v>
      </c>
      <c r="R18" s="1" t="s">
        <v>55</v>
      </c>
      <c r="S18" s="1" t="s">
        <v>138</v>
      </c>
    </row>
    <row r="19" ht="62.25" customHeight="1">
      <c r="A19" s="1">
        <v>3.8750474751501E13</v>
      </c>
      <c r="B19" s="2" t="s">
        <v>140</v>
      </c>
      <c r="C19" s="1" t="s">
        <v>95</v>
      </c>
      <c r="D19" s="1" t="s">
        <v>34</v>
      </c>
      <c r="E19" s="1" t="b">
        <v>0</v>
      </c>
      <c r="F19" s="1" t="s">
        <v>35</v>
      </c>
      <c r="G19" s="1" t="str">
        <f t="array" ref="G19">XLOOKUP(A:A,'CategoriasSeções'!A:A,'CategoriasSeções'!B:B)</f>
        <v>APOIO ATENDIMENTO</v>
      </c>
      <c r="H19" s="1" t="s">
        <v>36</v>
      </c>
      <c r="I19" s="3">
        <v>45881.51597222222</v>
      </c>
      <c r="J19" s="3">
        <v>45881.51597222222</v>
      </c>
      <c r="K19" s="1" t="s">
        <v>141</v>
      </c>
      <c r="L19" s="1" t="s">
        <v>141</v>
      </c>
      <c r="M19" s="1" t="s">
        <v>38</v>
      </c>
      <c r="N19" s="1" t="s">
        <v>75</v>
      </c>
      <c r="O19" s="1" t="s">
        <v>39</v>
      </c>
      <c r="P19" s="1" t="s">
        <v>39</v>
      </c>
      <c r="Q19" s="3">
        <v>45881.51597222222</v>
      </c>
      <c r="R19" s="1" t="s">
        <v>55</v>
      </c>
      <c r="S19" s="1" t="s">
        <v>143</v>
      </c>
    </row>
    <row r="20" ht="62.25" customHeight="1">
      <c r="A20" s="1">
        <v>3.8750034735245E13</v>
      </c>
      <c r="B20" s="2" t="s">
        <v>145</v>
      </c>
      <c r="C20" s="1" t="s">
        <v>95</v>
      </c>
      <c r="D20" s="1" t="s">
        <v>34</v>
      </c>
      <c r="E20" s="1" t="b">
        <v>0</v>
      </c>
      <c r="F20" s="1" t="s">
        <v>35</v>
      </c>
      <c r="G20" s="1" t="str">
        <f t="array" ref="G20">XLOOKUP(A:A,'CategoriasSeções'!A:A,'CategoriasSeções'!B:B)</f>
        <v>APOIO ATENDIMENTO</v>
      </c>
      <c r="H20" s="1" t="s">
        <v>36</v>
      </c>
      <c r="I20" s="3">
        <v>45881.50277777778</v>
      </c>
      <c r="J20" s="3">
        <v>45881.51111111111</v>
      </c>
      <c r="K20" s="1" t="s">
        <v>146</v>
      </c>
      <c r="L20" s="1" t="s">
        <v>146</v>
      </c>
      <c r="M20" s="1" t="s">
        <v>38</v>
      </c>
      <c r="N20" s="1" t="s">
        <v>75</v>
      </c>
      <c r="O20" s="1" t="s">
        <v>39</v>
      </c>
      <c r="P20" s="1" t="s">
        <v>39</v>
      </c>
      <c r="Q20" s="3">
        <v>45881.51111111111</v>
      </c>
      <c r="R20" s="1" t="s">
        <v>55</v>
      </c>
      <c r="S20" s="1" t="s">
        <v>148</v>
      </c>
    </row>
    <row r="21" ht="62.25" customHeight="1">
      <c r="A21" s="1">
        <v>3.8589735513741E13</v>
      </c>
      <c r="B21" s="2" t="s">
        <v>150</v>
      </c>
      <c r="C21" s="1" t="s">
        <v>95</v>
      </c>
      <c r="D21" s="1" t="s">
        <v>34</v>
      </c>
      <c r="E21" s="1" t="b">
        <v>0</v>
      </c>
      <c r="F21" s="1" t="s">
        <v>35</v>
      </c>
      <c r="G21" s="1" t="str">
        <f t="array" ref="G21">XLOOKUP(A:A,'CategoriasSeções'!A:A,'CategoriasSeções'!B:B)</f>
        <v>APOIO ATENDIMENTO</v>
      </c>
      <c r="H21" s="1" t="s">
        <v>151</v>
      </c>
      <c r="I21" s="3">
        <v>45874.75347222222</v>
      </c>
      <c r="J21" s="3">
        <v>45911.5375</v>
      </c>
      <c r="K21" s="1" t="s">
        <v>152</v>
      </c>
      <c r="L21" s="1" t="s">
        <v>152</v>
      </c>
      <c r="M21" s="1" t="s">
        <v>38</v>
      </c>
      <c r="N21" s="1" t="s">
        <v>39</v>
      </c>
      <c r="O21" s="1" t="s">
        <v>39</v>
      </c>
      <c r="P21" s="1" t="s">
        <v>39</v>
      </c>
      <c r="Q21" s="3">
        <v>45874.75347222222</v>
      </c>
      <c r="R21" s="1" t="s">
        <v>55</v>
      </c>
      <c r="S21" s="1" t="s">
        <v>154</v>
      </c>
    </row>
    <row r="22" ht="62.25" customHeight="1">
      <c r="A22" s="1">
        <v>3.8589596521357E13</v>
      </c>
      <c r="B22" s="2" t="s">
        <v>156</v>
      </c>
      <c r="C22" s="1" t="s">
        <v>95</v>
      </c>
      <c r="D22" s="1" t="s">
        <v>34</v>
      </c>
      <c r="E22" s="1" t="b">
        <v>0</v>
      </c>
      <c r="F22" s="1" t="s">
        <v>35</v>
      </c>
      <c r="G22" s="1" t="str">
        <f t="array" ref="G22">XLOOKUP(A:A,'CategoriasSeções'!A:A,'CategoriasSeções'!B:B)</f>
        <v>APOIO ATENDIMENTO</v>
      </c>
      <c r="H22" s="1" t="s">
        <v>36</v>
      </c>
      <c r="I22" s="3">
        <v>45874.751388888886</v>
      </c>
      <c r="J22" s="3">
        <v>45874.75347222222</v>
      </c>
      <c r="K22" s="1" t="s">
        <v>152</v>
      </c>
      <c r="L22" s="1" t="s">
        <v>152</v>
      </c>
      <c r="M22" s="1" t="s">
        <v>38</v>
      </c>
      <c r="N22" s="1" t="s">
        <v>39</v>
      </c>
      <c r="O22" s="1" t="s">
        <v>39</v>
      </c>
      <c r="P22" s="1" t="s">
        <v>39</v>
      </c>
      <c r="Q22" s="3">
        <v>45874.75347222222</v>
      </c>
      <c r="R22" s="1" t="s">
        <v>55</v>
      </c>
      <c r="S22" s="1" t="s">
        <v>154</v>
      </c>
    </row>
    <row r="23" ht="62.25" customHeight="1">
      <c r="A23" s="1">
        <v>3.8589581068685E13</v>
      </c>
      <c r="B23" s="2" t="s">
        <v>158</v>
      </c>
      <c r="C23" s="1" t="s">
        <v>95</v>
      </c>
      <c r="D23" s="1" t="s">
        <v>34</v>
      </c>
      <c r="E23" s="1" t="b">
        <v>0</v>
      </c>
      <c r="F23" s="1" t="s">
        <v>35</v>
      </c>
      <c r="G23" s="1" t="str">
        <f t="array" ref="G23">XLOOKUP(A:A,'CategoriasSeções'!A:A,'CategoriasSeções'!B:B)</f>
        <v>APOIO ATENDIMENTO</v>
      </c>
      <c r="H23" s="1" t="s">
        <v>53</v>
      </c>
      <c r="I23" s="3">
        <v>45874.751388888886</v>
      </c>
      <c r="J23" s="3">
        <v>45874.75347222222</v>
      </c>
      <c r="K23" s="1" t="s">
        <v>152</v>
      </c>
      <c r="L23" s="1" t="s">
        <v>152</v>
      </c>
      <c r="M23" s="1" t="s">
        <v>38</v>
      </c>
      <c r="N23" s="1" t="s">
        <v>39</v>
      </c>
      <c r="O23" s="1" t="s">
        <v>39</v>
      </c>
      <c r="P23" s="1" t="s">
        <v>39</v>
      </c>
      <c r="Q23" s="3">
        <v>45874.75347222222</v>
      </c>
      <c r="R23" s="1" t="s">
        <v>55</v>
      </c>
      <c r="S23" s="1" t="s">
        <v>154</v>
      </c>
    </row>
    <row r="24" ht="62.25" customHeight="1">
      <c r="A24" s="1">
        <v>3.8351856848781E13</v>
      </c>
      <c r="B24" s="2" t="s">
        <v>161</v>
      </c>
      <c r="C24" s="1" t="s">
        <v>84</v>
      </c>
      <c r="D24" s="1" t="s">
        <v>34</v>
      </c>
      <c r="E24" s="1" t="b">
        <v>0</v>
      </c>
      <c r="F24" s="1" t="s">
        <v>35</v>
      </c>
      <c r="G24" s="1" t="str">
        <f t="array" ref="G24">XLOOKUP(A:A,'CategoriasSeções'!A:A,'CategoriasSeções'!B:B)</f>
        <v>APOIO ATENDIMENTO</v>
      </c>
      <c r="H24" s="1" t="s">
        <v>36</v>
      </c>
      <c r="I24" s="3">
        <v>45864.7625</v>
      </c>
      <c r="J24" s="3">
        <v>45864.7625</v>
      </c>
      <c r="K24" s="1" t="s">
        <v>162</v>
      </c>
      <c r="L24" s="1" t="s">
        <v>162</v>
      </c>
      <c r="M24" s="1" t="s">
        <v>38</v>
      </c>
      <c r="N24" s="1" t="s">
        <v>75</v>
      </c>
      <c r="O24" s="1" t="s">
        <v>39</v>
      </c>
      <c r="P24" s="1" t="s">
        <v>163</v>
      </c>
      <c r="Q24" s="3">
        <v>45864.7625</v>
      </c>
      <c r="R24" s="1" t="s">
        <v>55</v>
      </c>
      <c r="S24" s="1" t="s">
        <v>164</v>
      </c>
    </row>
    <row r="25" ht="62.25" customHeight="1">
      <c r="A25" s="1">
        <v>3.7399282484493E13</v>
      </c>
      <c r="B25" s="2" t="s">
        <v>167</v>
      </c>
      <c r="C25" s="1" t="s">
        <v>95</v>
      </c>
      <c r="D25" s="1" t="s">
        <v>34</v>
      </c>
      <c r="E25" s="1" t="b">
        <v>0</v>
      </c>
      <c r="F25" s="1" t="s">
        <v>35</v>
      </c>
      <c r="G25" s="1" t="str">
        <f t="array" ref="G25">XLOOKUP(A:A,'CategoriasSeções'!A:A,'CategoriasSeções'!B:B)</f>
        <v>APOIO ATENDIMENTO</v>
      </c>
      <c r="H25" s="1" t="s">
        <v>36</v>
      </c>
      <c r="I25" s="3">
        <v>45824.59027777778</v>
      </c>
      <c r="J25" s="3">
        <v>45824.59097222222</v>
      </c>
      <c r="K25" s="1" t="s">
        <v>168</v>
      </c>
      <c r="L25" s="1" t="s">
        <v>168</v>
      </c>
      <c r="M25" s="1" t="s">
        <v>38</v>
      </c>
      <c r="N25" s="1" t="s">
        <v>39</v>
      </c>
      <c r="O25" s="1" t="s">
        <v>39</v>
      </c>
      <c r="P25" s="1" t="s">
        <v>39</v>
      </c>
      <c r="Q25" s="3">
        <v>45824.59097222222</v>
      </c>
      <c r="R25" s="1" t="s">
        <v>55</v>
      </c>
      <c r="S25" s="1" t="s">
        <v>170</v>
      </c>
    </row>
    <row r="26" ht="62.25" customHeight="1">
      <c r="A26" s="1">
        <v>3.7399135154189E13</v>
      </c>
      <c r="B26" s="2" t="s">
        <v>172</v>
      </c>
      <c r="C26" s="1" t="s">
        <v>95</v>
      </c>
      <c r="D26" s="1" t="s">
        <v>34</v>
      </c>
      <c r="E26" s="1" t="b">
        <v>0</v>
      </c>
      <c r="F26" s="1" t="s">
        <v>35</v>
      </c>
      <c r="G26" s="1" t="str">
        <f t="array" ref="G26">XLOOKUP(A:A,'CategoriasSeções'!A:A,'CategoriasSeções'!B:B)</f>
        <v>APOIO ATENDIMENTO</v>
      </c>
      <c r="H26" s="1" t="s">
        <v>36</v>
      </c>
      <c r="I26" s="3">
        <v>45824.586805555555</v>
      </c>
      <c r="J26" s="3">
        <v>45824.586805555555</v>
      </c>
      <c r="K26" s="1" t="s">
        <v>173</v>
      </c>
      <c r="L26" s="1" t="s">
        <v>173</v>
      </c>
      <c r="M26" s="1" t="s">
        <v>38</v>
      </c>
      <c r="N26" s="1" t="s">
        <v>39</v>
      </c>
      <c r="O26" s="1" t="s">
        <v>39</v>
      </c>
      <c r="P26" s="1" t="s">
        <v>39</v>
      </c>
      <c r="Q26" s="3">
        <v>45824.586805555555</v>
      </c>
      <c r="R26" s="1" t="s">
        <v>55</v>
      </c>
      <c r="S26" s="1" t="s">
        <v>175</v>
      </c>
    </row>
    <row r="27" ht="62.25" customHeight="1">
      <c r="A27" s="1">
        <v>3.7398719932685E13</v>
      </c>
      <c r="B27" s="2" t="s">
        <v>177</v>
      </c>
      <c r="C27" s="1" t="s">
        <v>95</v>
      </c>
      <c r="D27" s="1" t="s">
        <v>34</v>
      </c>
      <c r="E27" s="1" t="b">
        <v>0</v>
      </c>
      <c r="F27" s="1" t="s">
        <v>35</v>
      </c>
      <c r="G27" s="1" t="str">
        <f t="array" ref="G27">XLOOKUP(A:A,'CategoriasSeções'!A:A,'CategoriasSeções'!B:B)</f>
        <v>APOIO ATENDIMENTO</v>
      </c>
      <c r="H27" s="1" t="s">
        <v>36</v>
      </c>
      <c r="I27" s="3">
        <v>45824.57986111111</v>
      </c>
      <c r="J27" s="3">
        <v>45824.57986111111</v>
      </c>
      <c r="K27" s="1" t="s">
        <v>178</v>
      </c>
      <c r="L27" s="1" t="s">
        <v>178</v>
      </c>
      <c r="M27" s="1" t="s">
        <v>38</v>
      </c>
      <c r="N27" s="1" t="s">
        <v>39</v>
      </c>
      <c r="O27" s="1" t="s">
        <v>39</v>
      </c>
      <c r="P27" s="1" t="s">
        <v>39</v>
      </c>
      <c r="Q27" s="3">
        <v>45824.57986111111</v>
      </c>
      <c r="R27" s="1" t="s">
        <v>55</v>
      </c>
      <c r="S27" s="1" t="s">
        <v>179</v>
      </c>
    </row>
    <row r="28" ht="62.25" customHeight="1">
      <c r="A28" s="1">
        <v>3.7398529659277E13</v>
      </c>
      <c r="B28" s="2" t="s">
        <v>181</v>
      </c>
      <c r="C28" s="1" t="s">
        <v>95</v>
      </c>
      <c r="D28" s="1" t="s">
        <v>34</v>
      </c>
      <c r="E28" s="1" t="b">
        <v>0</v>
      </c>
      <c r="F28" s="1" t="s">
        <v>35</v>
      </c>
      <c r="G28" s="1" t="str">
        <f t="array" ref="G28">XLOOKUP(A:A,'CategoriasSeções'!A:A,'CategoriasSeções'!B:B)</f>
        <v>APOIO ATENDIMENTO</v>
      </c>
      <c r="H28" s="1" t="s">
        <v>36</v>
      </c>
      <c r="I28" s="3">
        <v>45824.575694444444</v>
      </c>
      <c r="J28" s="3">
        <v>45824.575694444444</v>
      </c>
      <c r="K28" s="1" t="s">
        <v>182</v>
      </c>
      <c r="L28" s="1" t="s">
        <v>182</v>
      </c>
      <c r="M28" s="1" t="s">
        <v>38</v>
      </c>
      <c r="N28" s="1" t="s">
        <v>39</v>
      </c>
      <c r="O28" s="1" t="s">
        <v>39</v>
      </c>
      <c r="P28" s="1" t="s">
        <v>39</v>
      </c>
      <c r="Q28" s="3">
        <v>45824.575694444444</v>
      </c>
      <c r="R28" s="1" t="s">
        <v>55</v>
      </c>
      <c r="S28" s="1" t="s">
        <v>183</v>
      </c>
    </row>
    <row r="29" ht="62.25" customHeight="1">
      <c r="A29" s="1">
        <v>3.7398134287757E13</v>
      </c>
      <c r="B29" s="2" t="s">
        <v>185</v>
      </c>
      <c r="C29" s="1" t="s">
        <v>95</v>
      </c>
      <c r="D29" s="1" t="s">
        <v>34</v>
      </c>
      <c r="E29" s="1" t="b">
        <v>0</v>
      </c>
      <c r="F29" s="1" t="s">
        <v>35</v>
      </c>
      <c r="G29" s="1" t="str">
        <f t="array" ref="G29">XLOOKUP(A:A,'CategoriasSeções'!A:A,'CategoriasSeções'!B:B)</f>
        <v>APOIO ATENDIMENTO</v>
      </c>
      <c r="H29" s="1" t="s">
        <v>36</v>
      </c>
      <c r="I29" s="3">
        <v>45824.56736111111</v>
      </c>
      <c r="J29" s="3">
        <v>45824.56736111111</v>
      </c>
      <c r="K29" s="1" t="s">
        <v>186</v>
      </c>
      <c r="L29" s="1" t="s">
        <v>186</v>
      </c>
      <c r="M29" s="1" t="s">
        <v>38</v>
      </c>
      <c r="N29" s="1" t="s">
        <v>39</v>
      </c>
      <c r="O29" s="1" t="s">
        <v>39</v>
      </c>
      <c r="P29" s="1" t="s">
        <v>39</v>
      </c>
      <c r="Q29" s="3">
        <v>45824.56736111111</v>
      </c>
      <c r="R29" s="1" t="s">
        <v>55</v>
      </c>
      <c r="S29" s="1" t="s">
        <v>188</v>
      </c>
    </row>
    <row r="30" ht="62.25" customHeight="1">
      <c r="A30" s="1">
        <v>3.7396586698509E13</v>
      </c>
      <c r="B30" s="2" t="s">
        <v>190</v>
      </c>
      <c r="C30" s="1" t="s">
        <v>95</v>
      </c>
      <c r="D30" s="1" t="s">
        <v>34</v>
      </c>
      <c r="E30" s="1" t="b">
        <v>0</v>
      </c>
      <c r="F30" s="1" t="s">
        <v>35</v>
      </c>
      <c r="G30" s="1" t="str">
        <f t="array" ref="G30">XLOOKUP(A:A,'CategoriasSeções'!A:A,'CategoriasSeções'!B:B)</f>
        <v>APOIO ATENDIMENTO</v>
      </c>
      <c r="H30" s="1" t="s">
        <v>36</v>
      </c>
      <c r="I30" s="3">
        <v>45824.53472222222</v>
      </c>
      <c r="J30" s="3">
        <v>45824.53472222222</v>
      </c>
      <c r="K30" s="1" t="s">
        <v>191</v>
      </c>
      <c r="L30" s="1" t="s">
        <v>191</v>
      </c>
      <c r="M30" s="1" t="s">
        <v>38</v>
      </c>
      <c r="N30" s="1" t="s">
        <v>39</v>
      </c>
      <c r="O30" s="1" t="s">
        <v>39</v>
      </c>
      <c r="P30" s="1" t="s">
        <v>39</v>
      </c>
      <c r="Q30" s="3">
        <v>45824.53472222222</v>
      </c>
      <c r="R30" s="1" t="s">
        <v>55</v>
      </c>
      <c r="S30" s="1" t="s">
        <v>193</v>
      </c>
    </row>
    <row r="31" ht="62.25" customHeight="1">
      <c r="A31" s="1">
        <v>3.7396408254861E13</v>
      </c>
      <c r="B31" s="2" t="s">
        <v>195</v>
      </c>
      <c r="C31" s="1" t="s">
        <v>95</v>
      </c>
      <c r="D31" s="1" t="s">
        <v>34</v>
      </c>
      <c r="E31" s="1" t="b">
        <v>0</v>
      </c>
      <c r="F31" s="1" t="s">
        <v>35</v>
      </c>
      <c r="G31" s="1" t="str">
        <f t="array" ref="G31">XLOOKUP(A:A,'CategoriasSeções'!A:A,'CategoriasSeções'!B:B)</f>
        <v>APOIO ATENDIMENTO</v>
      </c>
      <c r="H31" s="1" t="s">
        <v>151</v>
      </c>
      <c r="I31" s="3">
        <v>45824.529861111114</v>
      </c>
      <c r="J31" s="3">
        <v>45824.529861111114</v>
      </c>
      <c r="K31" s="1" t="s">
        <v>196</v>
      </c>
      <c r="L31" s="1" t="s">
        <v>196</v>
      </c>
      <c r="M31" s="1" t="s">
        <v>38</v>
      </c>
      <c r="N31" s="1" t="s">
        <v>39</v>
      </c>
      <c r="O31" s="1" t="s">
        <v>39</v>
      </c>
      <c r="P31" s="1" t="s">
        <v>39</v>
      </c>
      <c r="Q31" s="3">
        <v>45824.529861111114</v>
      </c>
      <c r="R31" s="1" t="s">
        <v>55</v>
      </c>
      <c r="S31" s="1" t="s">
        <v>198</v>
      </c>
    </row>
    <row r="32" ht="62.25" customHeight="1">
      <c r="A32" s="1">
        <v>3.7396243677069E13</v>
      </c>
      <c r="B32" s="2" t="s">
        <v>200</v>
      </c>
      <c r="C32" s="1" t="s">
        <v>95</v>
      </c>
      <c r="D32" s="1" t="s">
        <v>34</v>
      </c>
      <c r="E32" s="1" t="b">
        <v>0</v>
      </c>
      <c r="F32" s="1" t="s">
        <v>35</v>
      </c>
      <c r="G32" s="1" t="str">
        <f t="array" ref="G32">XLOOKUP(A:A,'CategoriasSeções'!A:A,'CategoriasSeções'!B:B)</f>
        <v>APOIO ATENDIMENTO</v>
      </c>
      <c r="H32" s="1" t="s">
        <v>36</v>
      </c>
      <c r="I32" s="3">
        <v>45824.52569444444</v>
      </c>
      <c r="J32" s="3">
        <v>45824.52569444444</v>
      </c>
      <c r="K32" s="1" t="s">
        <v>201</v>
      </c>
      <c r="L32" s="1" t="s">
        <v>201</v>
      </c>
      <c r="M32" s="1" t="s">
        <v>38</v>
      </c>
      <c r="N32" s="1" t="s">
        <v>39</v>
      </c>
      <c r="O32" s="1" t="s">
        <v>39</v>
      </c>
      <c r="P32" s="1" t="s">
        <v>39</v>
      </c>
      <c r="Q32" s="3">
        <v>45824.52569444444</v>
      </c>
      <c r="R32" s="1" t="s">
        <v>55</v>
      </c>
      <c r="S32" s="1" t="s">
        <v>203</v>
      </c>
    </row>
    <row r="33" ht="62.25" customHeight="1">
      <c r="A33" s="1">
        <v>3.7172030444813E13</v>
      </c>
      <c r="B33" s="2" t="s">
        <v>205</v>
      </c>
      <c r="C33" s="1" t="s">
        <v>206</v>
      </c>
      <c r="D33" s="1" t="s">
        <v>47</v>
      </c>
      <c r="E33" s="1" t="b">
        <v>0</v>
      </c>
      <c r="F33" s="1" t="s">
        <v>35</v>
      </c>
      <c r="G33" s="1" t="str">
        <f t="array" ref="G33">XLOOKUP(A:A,'CategoriasSeções'!A:A,'CategoriasSeções'!B:B)</f>
        <v>APOIO ATENDIMENTO</v>
      </c>
      <c r="H33" s="1" t="s">
        <v>36</v>
      </c>
      <c r="I33" s="3">
        <v>45813.82708333333</v>
      </c>
      <c r="J33" s="3">
        <v>45813.82708333333</v>
      </c>
      <c r="K33" s="1" t="s">
        <v>207</v>
      </c>
      <c r="L33" s="1" t="s">
        <v>207</v>
      </c>
      <c r="M33" s="1" t="s">
        <v>38</v>
      </c>
      <c r="N33" s="1" t="s">
        <v>39</v>
      </c>
      <c r="O33" s="1" t="s">
        <v>39</v>
      </c>
      <c r="P33" s="1" t="s">
        <v>39</v>
      </c>
      <c r="Q33" s="3">
        <v>45813.82708333333</v>
      </c>
      <c r="R33" s="1" t="s">
        <v>55</v>
      </c>
      <c r="S33" s="1" t="s">
        <v>208</v>
      </c>
    </row>
    <row r="34" ht="62.25" customHeight="1">
      <c r="A34" s="1">
        <v>3.7068658033805E13</v>
      </c>
      <c r="B34" s="2" t="s">
        <v>210</v>
      </c>
      <c r="C34" s="1" t="s">
        <v>33</v>
      </c>
      <c r="D34" s="1" t="s">
        <v>47</v>
      </c>
      <c r="E34" s="1" t="b">
        <v>0</v>
      </c>
      <c r="F34" s="1" t="s">
        <v>35</v>
      </c>
      <c r="G34" s="1" t="str">
        <f t="array" ref="G34">XLOOKUP(A:A,'CategoriasSeções'!A:A,'CategoriasSeções'!B:B)</f>
        <v>APOIO ATENDIMENTO</v>
      </c>
      <c r="H34" s="1" t="s">
        <v>53</v>
      </c>
      <c r="I34" s="3">
        <v>45810.51736111111</v>
      </c>
      <c r="J34" s="3">
        <v>45810.51736111111</v>
      </c>
      <c r="K34" s="1" t="s">
        <v>211</v>
      </c>
      <c r="L34" s="1" t="s">
        <v>211</v>
      </c>
      <c r="M34" s="1" t="s">
        <v>38</v>
      </c>
      <c r="N34" s="1" t="s">
        <v>39</v>
      </c>
      <c r="O34" s="1" t="s">
        <v>69</v>
      </c>
      <c r="P34" s="1" t="s">
        <v>69</v>
      </c>
      <c r="Q34" s="3">
        <v>45810.51736111111</v>
      </c>
      <c r="R34" s="1" t="s">
        <v>55</v>
      </c>
      <c r="S34" s="1" t="s">
        <v>212</v>
      </c>
    </row>
    <row r="35" ht="62.25" customHeight="1">
      <c r="A35" s="1">
        <v>3.6675349937549E13</v>
      </c>
      <c r="B35" s="2" t="s">
        <v>214</v>
      </c>
      <c r="C35" s="1" t="s">
        <v>95</v>
      </c>
      <c r="D35" s="1" t="s">
        <v>47</v>
      </c>
      <c r="E35" s="1" t="b">
        <v>0</v>
      </c>
      <c r="F35" s="1" t="s">
        <v>35</v>
      </c>
      <c r="G35" s="1" t="str">
        <f t="array" ref="G35">XLOOKUP(A:A,'CategoriasSeções'!A:A,'CategoriasSeções'!B:B)</f>
        <v>APOIO ATENDIMENTO</v>
      </c>
      <c r="H35" s="1" t="s">
        <v>36</v>
      </c>
      <c r="I35" s="3">
        <v>45793.79722222222</v>
      </c>
      <c r="J35" s="3">
        <v>45793.79722222222</v>
      </c>
      <c r="K35" s="1" t="s">
        <v>215</v>
      </c>
      <c r="L35" s="1" t="s">
        <v>215</v>
      </c>
      <c r="M35" s="1" t="s">
        <v>38</v>
      </c>
      <c r="N35" s="1" t="s">
        <v>75</v>
      </c>
      <c r="O35" s="1" t="s">
        <v>39</v>
      </c>
      <c r="P35" s="1" t="s">
        <v>39</v>
      </c>
      <c r="Q35" s="3">
        <v>45793.79722222222</v>
      </c>
      <c r="R35" s="1" t="s">
        <v>55</v>
      </c>
      <c r="S35" s="1" t="s">
        <v>216</v>
      </c>
    </row>
    <row r="36" ht="62.25" customHeight="1">
      <c r="A36" s="1">
        <v>3.6546556060813E13</v>
      </c>
      <c r="B36" s="2" t="s">
        <v>218</v>
      </c>
      <c r="C36" s="1" t="s">
        <v>33</v>
      </c>
      <c r="D36" s="1" t="s">
        <v>47</v>
      </c>
      <c r="E36" s="1" t="b">
        <v>0</v>
      </c>
      <c r="F36" s="1" t="s">
        <v>35</v>
      </c>
      <c r="G36" s="1" t="str">
        <f t="array" ref="G36">XLOOKUP(A:A,'CategoriasSeções'!A:A,'CategoriasSeções'!B:B)</f>
        <v>APOIO ATENDIMENTO</v>
      </c>
      <c r="H36" s="1" t="s">
        <v>53</v>
      </c>
      <c r="I36" s="3">
        <v>45789.74375</v>
      </c>
      <c r="J36" s="3">
        <v>45789.74375</v>
      </c>
      <c r="K36" s="1" t="s">
        <v>219</v>
      </c>
      <c r="L36" s="1" t="s">
        <v>219</v>
      </c>
      <c r="M36" s="1" t="s">
        <v>38</v>
      </c>
      <c r="N36" s="1" t="s">
        <v>39</v>
      </c>
      <c r="O36" s="1" t="s">
        <v>69</v>
      </c>
      <c r="P36" s="1" t="s">
        <v>69</v>
      </c>
      <c r="Q36" s="3">
        <v>45789.74375</v>
      </c>
      <c r="R36" s="1" t="s">
        <v>55</v>
      </c>
      <c r="S36" s="1" t="s">
        <v>220</v>
      </c>
    </row>
    <row r="37" ht="62.25" customHeight="1">
      <c r="A37" s="1">
        <v>3.5520846588173E13</v>
      </c>
      <c r="B37" s="2" t="s">
        <v>222</v>
      </c>
      <c r="C37" s="1" t="s">
        <v>33</v>
      </c>
      <c r="D37" s="1" t="s">
        <v>47</v>
      </c>
      <c r="E37" s="1" t="b">
        <v>0</v>
      </c>
      <c r="F37" s="1" t="s">
        <v>35</v>
      </c>
      <c r="G37" s="1" t="str">
        <f t="array" ref="G37">XLOOKUP(A:A,'CategoriasSeções'!A:A,'CategoriasSeções'!B:B)</f>
        <v>APOIO ATENDIMENTO</v>
      </c>
      <c r="H37" s="1" t="s">
        <v>53</v>
      </c>
      <c r="I37" s="3">
        <v>45749.62222222222</v>
      </c>
      <c r="J37" s="3">
        <v>45749.62222222222</v>
      </c>
      <c r="K37" s="1" t="s">
        <v>223</v>
      </c>
      <c r="L37" s="1" t="s">
        <v>223</v>
      </c>
      <c r="M37" s="1" t="s">
        <v>38</v>
      </c>
      <c r="N37" s="1" t="s">
        <v>39</v>
      </c>
      <c r="O37" s="1" t="s">
        <v>69</v>
      </c>
      <c r="P37" s="1" t="s">
        <v>69</v>
      </c>
      <c r="Q37" s="3">
        <v>45749.62222222222</v>
      </c>
      <c r="R37" s="1" t="s">
        <v>55</v>
      </c>
      <c r="S37" s="1" t="s">
        <v>225</v>
      </c>
    </row>
    <row r="38" ht="62.25" customHeight="1">
      <c r="A38" s="1">
        <v>3.5218213469069E13</v>
      </c>
      <c r="B38" s="2" t="s">
        <v>227</v>
      </c>
      <c r="C38" s="1" t="s">
        <v>228</v>
      </c>
      <c r="D38" s="1" t="s">
        <v>34</v>
      </c>
      <c r="E38" s="1" t="b">
        <v>0</v>
      </c>
      <c r="F38" s="1" t="s">
        <v>35</v>
      </c>
      <c r="G38" s="1" t="str">
        <f t="array" ref="G38">XLOOKUP(A:A,'CategoriasSeções'!A:A,'CategoriasSeções'!B:B)</f>
        <v>Comunicados</v>
      </c>
      <c r="H38" s="1" t="s">
        <v>229</v>
      </c>
      <c r="I38" s="3">
        <v>45737.819444444445</v>
      </c>
      <c r="J38" s="3">
        <v>45737.819444444445</v>
      </c>
      <c r="K38" s="1" t="s">
        <v>230</v>
      </c>
      <c r="L38" s="1" t="s">
        <v>230</v>
      </c>
      <c r="M38" s="1" t="s">
        <v>38</v>
      </c>
      <c r="N38" s="1" t="s">
        <v>75</v>
      </c>
      <c r="O38" s="1" t="s">
        <v>69</v>
      </c>
      <c r="P38" s="1" t="s">
        <v>69</v>
      </c>
      <c r="Q38" s="3">
        <v>45737.819444444445</v>
      </c>
      <c r="R38" s="1" t="s">
        <v>232</v>
      </c>
      <c r="S38" s="1" t="s">
        <v>233</v>
      </c>
    </row>
    <row r="39" ht="62.25" customHeight="1">
      <c r="A39" s="1">
        <v>3.5175755935373E13</v>
      </c>
      <c r="B39" s="2" t="s">
        <v>235</v>
      </c>
      <c r="C39" s="1" t="s">
        <v>33</v>
      </c>
      <c r="D39" s="1" t="s">
        <v>34</v>
      </c>
      <c r="E39" s="1" t="b">
        <v>0</v>
      </c>
      <c r="F39" s="1" t="s">
        <v>35</v>
      </c>
      <c r="G39" s="1" t="str">
        <f t="array" ref="G39">XLOOKUP(A:A,'CategoriasSeções'!A:A,'CategoriasSeções'!B:B)</f>
        <v>APOIO ATENDIMENTO</v>
      </c>
      <c r="H39" s="1" t="s">
        <v>53</v>
      </c>
      <c r="I39" s="3">
        <v>45736.59930555556</v>
      </c>
      <c r="J39" s="3">
        <v>45810.82638888889</v>
      </c>
      <c r="K39" s="1" t="s">
        <v>236</v>
      </c>
      <c r="L39" s="1" t="s">
        <v>236</v>
      </c>
      <c r="M39" s="1" t="s">
        <v>38</v>
      </c>
      <c r="N39" s="1" t="s">
        <v>39</v>
      </c>
      <c r="O39" s="1" t="s">
        <v>39</v>
      </c>
      <c r="P39" s="1" t="s">
        <v>39</v>
      </c>
      <c r="Q39" s="3">
        <v>45810.82638888889</v>
      </c>
      <c r="R39" s="1" t="s">
        <v>238</v>
      </c>
      <c r="S39" s="1" t="s">
        <v>239</v>
      </c>
    </row>
    <row r="40" ht="62.25" customHeight="1">
      <c r="A40" s="1">
        <v>3.4794054641165E13</v>
      </c>
      <c r="B40" s="2" t="s">
        <v>241</v>
      </c>
      <c r="C40" s="1" t="s">
        <v>95</v>
      </c>
      <c r="D40" s="1" t="s">
        <v>47</v>
      </c>
      <c r="E40" s="1" t="b">
        <v>0</v>
      </c>
      <c r="F40" s="1" t="s">
        <v>35</v>
      </c>
      <c r="G40" s="1" t="str">
        <f t="array" ref="G40">XLOOKUP(A:A,'CategoriasSeções'!A:A,'CategoriasSeções'!B:B)</f>
        <v>APOIO ATENDIMENTO</v>
      </c>
      <c r="H40" s="1" t="s">
        <v>36</v>
      </c>
      <c r="I40" s="3">
        <v>45722.825694444444</v>
      </c>
      <c r="J40" s="3">
        <v>45722.825694444444</v>
      </c>
      <c r="K40" s="1" t="s">
        <v>242</v>
      </c>
      <c r="L40" s="1" t="s">
        <v>242</v>
      </c>
      <c r="M40" s="1" t="s">
        <v>38</v>
      </c>
      <c r="N40" s="1" t="s">
        <v>75</v>
      </c>
      <c r="O40" s="1" t="s">
        <v>39</v>
      </c>
      <c r="P40" s="1" t="s">
        <v>39</v>
      </c>
      <c r="Q40" s="3">
        <v>45722.825694444444</v>
      </c>
      <c r="R40" s="1" t="s">
        <v>55</v>
      </c>
      <c r="S40" s="1" t="s">
        <v>243</v>
      </c>
    </row>
    <row r="41" ht="62.25" customHeight="1">
      <c r="A41" s="1">
        <v>3.4785884296717E13</v>
      </c>
      <c r="B41" s="2" t="s">
        <v>245</v>
      </c>
      <c r="C41" s="1" t="s">
        <v>95</v>
      </c>
      <c r="D41" s="1" t="s">
        <v>34</v>
      </c>
      <c r="E41" s="1" t="b">
        <v>0</v>
      </c>
      <c r="F41" s="1" t="s">
        <v>35</v>
      </c>
      <c r="G41" s="1" t="str">
        <f t="array" ref="G41">XLOOKUP(A:A,'CategoriasSeções'!A:A,'CategoriasSeções'!B:B)</f>
        <v>APOIO ATENDIMENTO</v>
      </c>
      <c r="H41" s="1" t="s">
        <v>36</v>
      </c>
      <c r="I41" s="3">
        <v>45722.71041666667</v>
      </c>
      <c r="J41" s="3">
        <v>45722.720138888886</v>
      </c>
      <c r="K41" s="1" t="s">
        <v>246</v>
      </c>
      <c r="L41" s="1" t="s">
        <v>246</v>
      </c>
      <c r="M41" s="1" t="s">
        <v>38</v>
      </c>
      <c r="N41" s="1" t="s">
        <v>75</v>
      </c>
      <c r="O41" s="1" t="s">
        <v>39</v>
      </c>
      <c r="P41" s="1" t="s">
        <v>39</v>
      </c>
      <c r="Q41" s="3">
        <v>45722.720138888886</v>
      </c>
      <c r="R41" s="1" t="s">
        <v>55</v>
      </c>
      <c r="S41" s="1" t="s">
        <v>248</v>
      </c>
    </row>
    <row r="42" ht="62.25" customHeight="1">
      <c r="A42" s="1">
        <v>3.4785442835469E13</v>
      </c>
      <c r="B42" s="2" t="s">
        <v>250</v>
      </c>
      <c r="C42" s="1" t="s">
        <v>251</v>
      </c>
      <c r="D42" s="1" t="s">
        <v>47</v>
      </c>
      <c r="E42" s="1" t="b">
        <v>0</v>
      </c>
      <c r="F42" s="1" t="s">
        <v>35</v>
      </c>
      <c r="G42" s="1" t="str">
        <f t="array" ref="G42">XLOOKUP(A:A,'CategoriasSeções'!A:A,'CategoriasSeções'!B:B)</f>
        <v>APOIO ATENDIMENTO</v>
      </c>
      <c r="H42" s="1" t="s">
        <v>36</v>
      </c>
      <c r="I42" s="3">
        <v>45722.70416666667</v>
      </c>
      <c r="J42" s="3">
        <v>45722.70416666667</v>
      </c>
      <c r="K42" s="1" t="s">
        <v>252</v>
      </c>
      <c r="L42" s="1" t="s">
        <v>252</v>
      </c>
      <c r="M42" s="1" t="s">
        <v>38</v>
      </c>
      <c r="N42" s="1" t="s">
        <v>75</v>
      </c>
      <c r="O42" s="1" t="s">
        <v>39</v>
      </c>
      <c r="P42" s="1" t="s">
        <v>39</v>
      </c>
      <c r="Q42" s="3">
        <v>45722.70416666667</v>
      </c>
      <c r="R42" s="1" t="s">
        <v>254</v>
      </c>
      <c r="S42" s="1" t="s">
        <v>255</v>
      </c>
    </row>
    <row r="43" ht="62.25" customHeight="1">
      <c r="A43" s="1">
        <v>3.4775675603213E13</v>
      </c>
      <c r="B43" s="2" t="s">
        <v>257</v>
      </c>
      <c r="C43" s="1" t="s">
        <v>258</v>
      </c>
      <c r="D43" s="1" t="s">
        <v>34</v>
      </c>
      <c r="E43" s="1" t="b">
        <v>0</v>
      </c>
      <c r="F43" s="1" t="s">
        <v>35</v>
      </c>
      <c r="G43" s="1" t="str">
        <f t="array" ref="G43">XLOOKUP(A:A,'CategoriasSeções'!A:A,'CategoriasSeções'!B:B)</f>
        <v>Dúvidas Gerais</v>
      </c>
      <c r="H43" s="1" t="s">
        <v>129</v>
      </c>
      <c r="I43" s="3">
        <v>45722.518055555556</v>
      </c>
      <c r="J43" s="3">
        <v>45912.61041666667</v>
      </c>
      <c r="K43" s="1" t="s">
        <v>259</v>
      </c>
      <c r="L43" s="1" t="s">
        <v>259</v>
      </c>
      <c r="M43" s="1" t="s">
        <v>38</v>
      </c>
      <c r="N43" s="1" t="s">
        <v>75</v>
      </c>
      <c r="O43" s="1" t="s">
        <v>39</v>
      </c>
      <c r="P43" s="1" t="s">
        <v>39</v>
      </c>
      <c r="Q43" s="3">
        <v>45912.61041666667</v>
      </c>
      <c r="R43" s="1" t="s">
        <v>55</v>
      </c>
      <c r="S43" s="1" t="s">
        <v>261</v>
      </c>
    </row>
    <row r="44" ht="62.25" customHeight="1">
      <c r="A44" s="1">
        <v>3.4753844548493E13</v>
      </c>
      <c r="B44" s="2" t="s">
        <v>263</v>
      </c>
      <c r="C44" s="1" t="s">
        <v>258</v>
      </c>
      <c r="D44" s="1" t="s">
        <v>34</v>
      </c>
      <c r="E44" s="1" t="b">
        <v>0</v>
      </c>
      <c r="F44" s="1" t="s">
        <v>35</v>
      </c>
      <c r="G44" s="1" t="str">
        <f t="array" ref="G44">XLOOKUP(A:A,'CategoriasSeções'!A:A,'CategoriasSeções'!B:B)</f>
        <v>APOIO ATENDIMENTO</v>
      </c>
      <c r="H44" s="1" t="s">
        <v>36</v>
      </c>
      <c r="I44" s="3">
        <v>45721.725694444445</v>
      </c>
      <c r="J44" s="3">
        <v>45721.725694444445</v>
      </c>
      <c r="K44" s="1" t="s">
        <v>264</v>
      </c>
      <c r="L44" s="1" t="s">
        <v>264</v>
      </c>
      <c r="M44" s="1" t="s">
        <v>38</v>
      </c>
      <c r="N44" s="1" t="s">
        <v>39</v>
      </c>
      <c r="O44" s="1" t="s">
        <v>39</v>
      </c>
      <c r="P44" s="1" t="s">
        <v>39</v>
      </c>
      <c r="Q44" s="3">
        <v>45721.725694444445</v>
      </c>
      <c r="R44" s="1" t="s">
        <v>55</v>
      </c>
      <c r="S44" s="1" t="s">
        <v>266</v>
      </c>
    </row>
    <row r="45" ht="62.25" customHeight="1">
      <c r="A45" s="1">
        <v>3.4753608699533E13</v>
      </c>
      <c r="B45" s="2" t="s">
        <v>268</v>
      </c>
      <c r="C45" s="1" t="s">
        <v>258</v>
      </c>
      <c r="D45" s="1" t="s">
        <v>34</v>
      </c>
      <c r="E45" s="1" t="b">
        <v>0</v>
      </c>
      <c r="F45" s="1" t="s">
        <v>35</v>
      </c>
      <c r="G45" s="1" t="str">
        <f t="array" ref="G45">XLOOKUP(A:A,'CategoriasSeções'!A:A,'CategoriasSeções'!B:B)</f>
        <v>APOIO ATENDIMENTO</v>
      </c>
      <c r="H45" s="1" t="s">
        <v>36</v>
      </c>
      <c r="I45" s="3">
        <v>45721.720138888886</v>
      </c>
      <c r="J45" s="3">
        <v>45722.51875</v>
      </c>
      <c r="K45" s="1" t="s">
        <v>269</v>
      </c>
      <c r="L45" s="1" t="s">
        <v>269</v>
      </c>
      <c r="M45" s="1" t="s">
        <v>38</v>
      </c>
      <c r="N45" s="1" t="s">
        <v>39</v>
      </c>
      <c r="O45" s="1" t="s">
        <v>39</v>
      </c>
      <c r="P45" s="1" t="s">
        <v>39</v>
      </c>
      <c r="Q45" s="3">
        <v>45722.51875</v>
      </c>
      <c r="R45" s="1" t="s">
        <v>55</v>
      </c>
      <c r="S45" s="1" t="s">
        <v>271</v>
      </c>
    </row>
    <row r="46" ht="62.25" customHeight="1">
      <c r="A46" s="1">
        <v>3.4752710223245E13</v>
      </c>
      <c r="B46" s="2" t="s">
        <v>273</v>
      </c>
      <c r="C46" s="1" t="s">
        <v>258</v>
      </c>
      <c r="D46" s="1" t="s">
        <v>34</v>
      </c>
      <c r="E46" s="1" t="b">
        <v>0</v>
      </c>
      <c r="F46" s="1" t="s">
        <v>35</v>
      </c>
      <c r="G46" s="1" t="str">
        <f t="array" ref="G46">XLOOKUP(A:A,'CategoriasSeções'!A:A,'CategoriasSeções'!B:B)</f>
        <v>APOIO ATENDIMENTO</v>
      </c>
      <c r="H46" s="1" t="s">
        <v>36</v>
      </c>
      <c r="I46" s="3">
        <v>45721.705555555556</v>
      </c>
      <c r="J46" s="3">
        <v>45722.52361111111</v>
      </c>
      <c r="K46" s="1" t="s">
        <v>274</v>
      </c>
      <c r="L46" s="1" t="s">
        <v>274</v>
      </c>
      <c r="M46" s="1" t="s">
        <v>38</v>
      </c>
      <c r="N46" s="1" t="s">
        <v>39</v>
      </c>
      <c r="O46" s="1" t="s">
        <v>39</v>
      </c>
      <c r="P46" s="1" t="s">
        <v>39</v>
      </c>
      <c r="Q46" s="3">
        <v>45722.52361111111</v>
      </c>
      <c r="R46" s="1" t="s">
        <v>55</v>
      </c>
      <c r="S46" s="1" t="s">
        <v>276</v>
      </c>
    </row>
    <row r="47" ht="62.25" customHeight="1">
      <c r="A47" s="1">
        <v>3.4540951766413E13</v>
      </c>
      <c r="B47" s="2" t="s">
        <v>278</v>
      </c>
      <c r="C47" s="1" t="s">
        <v>258</v>
      </c>
      <c r="D47" s="1" t="s">
        <v>34</v>
      </c>
      <c r="E47" s="1" t="b">
        <v>0</v>
      </c>
      <c r="F47" s="1" t="s">
        <v>35</v>
      </c>
      <c r="G47" s="1" t="str">
        <f t="array" ref="G47">XLOOKUP(A:A,'CategoriasSeções'!A:A,'CategoriasSeções'!B:B)</f>
        <v>APOIO ATENDIMENTO</v>
      </c>
      <c r="H47" s="1" t="s">
        <v>36</v>
      </c>
      <c r="I47" s="3">
        <v>45713.6375</v>
      </c>
      <c r="J47" s="3">
        <v>45722.52013888889</v>
      </c>
      <c r="K47" s="1" t="s">
        <v>279</v>
      </c>
      <c r="L47" s="1" t="s">
        <v>279</v>
      </c>
      <c r="M47" s="1" t="s">
        <v>38</v>
      </c>
      <c r="N47" s="1" t="s">
        <v>75</v>
      </c>
      <c r="O47" s="1" t="s">
        <v>39</v>
      </c>
      <c r="P47" s="1" t="s">
        <v>39</v>
      </c>
      <c r="Q47" s="3">
        <v>45722.52013888889</v>
      </c>
      <c r="R47" s="1" t="s">
        <v>55</v>
      </c>
      <c r="S47" s="1" t="s">
        <v>281</v>
      </c>
    </row>
    <row r="48" ht="62.25" customHeight="1">
      <c r="A48" s="1">
        <v>3.4283158492045E13</v>
      </c>
      <c r="B48" s="2" t="s">
        <v>283</v>
      </c>
      <c r="C48" s="1" t="s">
        <v>228</v>
      </c>
      <c r="D48" s="1" t="s">
        <v>34</v>
      </c>
      <c r="E48" s="1" t="b">
        <v>0</v>
      </c>
      <c r="F48" s="1" t="s">
        <v>35</v>
      </c>
      <c r="G48" s="1" t="str">
        <f t="array" ref="G48">XLOOKUP(A:A,'CategoriasSeções'!A:A,'CategoriasSeções'!B:B)</f>
        <v>Comunicados</v>
      </c>
      <c r="H48" s="1" t="s">
        <v>229</v>
      </c>
      <c r="I48" s="3">
        <v>45702.57986111111</v>
      </c>
      <c r="J48" s="3">
        <v>45702.57986111111</v>
      </c>
      <c r="K48" s="1" t="s">
        <v>284</v>
      </c>
      <c r="L48" s="1" t="s">
        <v>284</v>
      </c>
      <c r="M48" s="1" t="s">
        <v>38</v>
      </c>
      <c r="N48" s="1" t="s">
        <v>75</v>
      </c>
      <c r="O48" s="1" t="s">
        <v>69</v>
      </c>
      <c r="P48" s="1" t="s">
        <v>69</v>
      </c>
      <c r="Q48" s="3">
        <v>45702.57986111111</v>
      </c>
      <c r="R48" s="1" t="s">
        <v>55</v>
      </c>
      <c r="S48" s="1" t="s">
        <v>286</v>
      </c>
    </row>
    <row r="49" ht="62.25" customHeight="1">
      <c r="A49" s="1">
        <v>3.4283089416717E13</v>
      </c>
      <c r="B49" s="2" t="s">
        <v>288</v>
      </c>
      <c r="C49" s="1" t="s">
        <v>228</v>
      </c>
      <c r="D49" s="1" t="s">
        <v>34</v>
      </c>
      <c r="E49" s="1" t="b">
        <v>0</v>
      </c>
      <c r="F49" s="1" t="s">
        <v>35</v>
      </c>
      <c r="G49" s="1" t="str">
        <f t="array" ref="G49">XLOOKUP(A:A,'CategoriasSeções'!A:A,'CategoriasSeções'!B:B)</f>
        <v>Comunicados</v>
      </c>
      <c r="H49" s="1" t="s">
        <v>229</v>
      </c>
      <c r="I49" s="3">
        <v>45702.57847222222</v>
      </c>
      <c r="J49" s="3">
        <v>45702.57847222222</v>
      </c>
      <c r="K49" s="1" t="s">
        <v>289</v>
      </c>
      <c r="L49" s="1" t="s">
        <v>289</v>
      </c>
      <c r="M49" s="1" t="s">
        <v>38</v>
      </c>
      <c r="N49" s="1" t="s">
        <v>75</v>
      </c>
      <c r="O49" s="1" t="s">
        <v>69</v>
      </c>
      <c r="P49" s="1" t="s">
        <v>69</v>
      </c>
      <c r="Q49" s="3">
        <v>45702.57847222222</v>
      </c>
      <c r="R49" s="1" t="s">
        <v>55</v>
      </c>
      <c r="S49" s="1" t="s">
        <v>291</v>
      </c>
    </row>
    <row r="50" ht="62.25" customHeight="1">
      <c r="A50" s="1">
        <v>3.4283041708045E13</v>
      </c>
      <c r="B50" s="2" t="s">
        <v>293</v>
      </c>
      <c r="C50" s="1" t="s">
        <v>228</v>
      </c>
      <c r="D50" s="1" t="s">
        <v>34</v>
      </c>
      <c r="E50" s="1" t="b">
        <v>0</v>
      </c>
      <c r="F50" s="1" t="s">
        <v>35</v>
      </c>
      <c r="G50" s="1" t="str">
        <f t="array" ref="G50">XLOOKUP(A:A,'CategoriasSeções'!A:A,'CategoriasSeções'!B:B)</f>
        <v>Comunicados</v>
      </c>
      <c r="H50" s="1" t="s">
        <v>229</v>
      </c>
      <c r="I50" s="3">
        <v>45702.57638888889</v>
      </c>
      <c r="J50" s="3">
        <v>45702.57638888889</v>
      </c>
      <c r="K50" s="1" t="s">
        <v>294</v>
      </c>
      <c r="L50" s="1" t="s">
        <v>294</v>
      </c>
      <c r="M50" s="1" t="s">
        <v>38</v>
      </c>
      <c r="N50" s="1" t="s">
        <v>75</v>
      </c>
      <c r="O50" s="1" t="s">
        <v>69</v>
      </c>
      <c r="P50" s="1" t="s">
        <v>69</v>
      </c>
      <c r="Q50" s="3">
        <v>45702.57638888889</v>
      </c>
      <c r="R50" s="1" t="s">
        <v>55</v>
      </c>
      <c r="S50" s="1" t="s">
        <v>296</v>
      </c>
    </row>
    <row r="51" ht="62.25" customHeight="1">
      <c r="A51" s="1">
        <v>3.4282873411469E13</v>
      </c>
      <c r="B51" s="2" t="s">
        <v>298</v>
      </c>
      <c r="C51" s="1" t="s">
        <v>228</v>
      </c>
      <c r="D51" s="1" t="s">
        <v>34</v>
      </c>
      <c r="E51" s="1" t="b">
        <v>0</v>
      </c>
      <c r="F51" s="1" t="s">
        <v>35</v>
      </c>
      <c r="G51" s="1" t="str">
        <f t="array" ref="G51">XLOOKUP(A:A,'CategoriasSeções'!A:A,'CategoriasSeções'!B:B)</f>
        <v>Comunicados</v>
      </c>
      <c r="H51" s="1" t="s">
        <v>299</v>
      </c>
      <c r="I51" s="3">
        <v>45702.57361111111</v>
      </c>
      <c r="J51" s="3">
        <v>45702.57361111111</v>
      </c>
      <c r="K51" s="1" t="s">
        <v>300</v>
      </c>
      <c r="L51" s="1" t="s">
        <v>300</v>
      </c>
      <c r="M51" s="1" t="s">
        <v>38</v>
      </c>
      <c r="N51" s="1" t="s">
        <v>75</v>
      </c>
      <c r="O51" s="1" t="s">
        <v>69</v>
      </c>
      <c r="P51" s="1" t="s">
        <v>69</v>
      </c>
      <c r="Q51" s="3">
        <v>45702.57361111111</v>
      </c>
      <c r="R51" s="1" t="s">
        <v>55</v>
      </c>
      <c r="S51" s="1" t="s">
        <v>302</v>
      </c>
    </row>
    <row r="52" ht="62.25" customHeight="1">
      <c r="A52" s="1">
        <v>3.3908704901645E13</v>
      </c>
      <c r="B52" s="2" t="s">
        <v>304</v>
      </c>
      <c r="C52" s="1" t="s">
        <v>228</v>
      </c>
      <c r="D52" s="1" t="s">
        <v>34</v>
      </c>
      <c r="E52" s="1" t="b">
        <v>0</v>
      </c>
      <c r="F52" s="1" t="s">
        <v>35</v>
      </c>
      <c r="G52" s="1" t="str">
        <f t="array" ref="G52">XLOOKUP(A:A,'CategoriasSeções'!A:A,'CategoriasSeções'!B:B)</f>
        <v>APOIO ATENDIMENTO</v>
      </c>
      <c r="H52" s="1" t="s">
        <v>36</v>
      </c>
      <c r="I52" s="3">
        <v>45687.57847222222</v>
      </c>
      <c r="J52" s="3">
        <v>45687.57847222222</v>
      </c>
      <c r="K52" s="1" t="s">
        <v>305</v>
      </c>
      <c r="L52" s="1" t="s">
        <v>305</v>
      </c>
      <c r="M52" s="1" t="s">
        <v>38</v>
      </c>
      <c r="N52" s="1" t="s">
        <v>75</v>
      </c>
      <c r="O52" s="1" t="s">
        <v>39</v>
      </c>
      <c r="P52" s="1" t="s">
        <v>39</v>
      </c>
      <c r="Q52" s="3">
        <v>45687.57847222222</v>
      </c>
      <c r="R52" s="1" t="s">
        <v>307</v>
      </c>
      <c r="S52" s="1" t="s">
        <v>308</v>
      </c>
    </row>
    <row r="53" ht="62.25" customHeight="1">
      <c r="A53" s="1">
        <v>3.2752013473421E13</v>
      </c>
      <c r="B53" s="2" t="s">
        <v>310</v>
      </c>
      <c r="C53" s="1" t="s">
        <v>228</v>
      </c>
      <c r="D53" s="1" t="s">
        <v>34</v>
      </c>
      <c r="E53" s="1" t="b">
        <v>0</v>
      </c>
      <c r="F53" s="1" t="s">
        <v>35</v>
      </c>
      <c r="G53" s="1" t="str">
        <f t="array" ref="G53">XLOOKUP(A:A,'CategoriasSeções'!A:A,'CategoriasSeções'!B:B)</f>
        <v>APOIO ATENDIMENTO</v>
      </c>
      <c r="H53" s="1" t="s">
        <v>36</v>
      </c>
      <c r="I53" s="12">
        <v>45642.61875</v>
      </c>
      <c r="J53" s="12">
        <v>45642.691666666666</v>
      </c>
      <c r="K53" s="1" t="s">
        <v>311</v>
      </c>
      <c r="L53" s="1" t="s">
        <v>311</v>
      </c>
      <c r="M53" s="1" t="s">
        <v>38</v>
      </c>
      <c r="N53" s="1" t="s">
        <v>75</v>
      </c>
      <c r="O53" s="1" t="s">
        <v>39</v>
      </c>
      <c r="P53" s="1" t="s">
        <v>39</v>
      </c>
      <c r="Q53" s="12">
        <v>45642.691666666666</v>
      </c>
      <c r="R53" s="1" t="s">
        <v>313</v>
      </c>
      <c r="S53" s="1" t="s">
        <v>314</v>
      </c>
    </row>
    <row r="54" ht="62.25" customHeight="1">
      <c r="A54" s="1">
        <v>3.1609567057421E13</v>
      </c>
      <c r="B54" s="2" t="s">
        <v>316</v>
      </c>
      <c r="C54" s="1" t="s">
        <v>206</v>
      </c>
      <c r="D54" s="1" t="s">
        <v>47</v>
      </c>
      <c r="E54" s="1" t="b">
        <v>0</v>
      </c>
      <c r="F54" s="1" t="s">
        <v>35</v>
      </c>
      <c r="G54" s="1" t="str">
        <f t="array" ref="G54">XLOOKUP(A:A,'CategoriasSeções'!A:A,'CategoriasSeções'!B:B)</f>
        <v>APOIO ATENDIMENTO</v>
      </c>
      <c r="H54" s="1" t="s">
        <v>36</v>
      </c>
      <c r="I54" s="3">
        <v>45600.89722222222</v>
      </c>
      <c r="J54" s="3">
        <v>45749.69097222222</v>
      </c>
      <c r="K54" s="1" t="s">
        <v>317</v>
      </c>
      <c r="L54" s="1" t="s">
        <v>317</v>
      </c>
      <c r="M54" s="1" t="s">
        <v>38</v>
      </c>
      <c r="N54" s="1" t="s">
        <v>39</v>
      </c>
      <c r="O54" s="1" t="s">
        <v>39</v>
      </c>
      <c r="P54" s="1" t="s">
        <v>39</v>
      </c>
      <c r="Q54" s="3">
        <v>45749.69097222222</v>
      </c>
      <c r="R54" s="1" t="s">
        <v>55</v>
      </c>
      <c r="S54" s="1" t="s">
        <v>319</v>
      </c>
    </row>
    <row r="55" ht="62.25" customHeight="1">
      <c r="A55" s="1">
        <v>3.0609408808973E13</v>
      </c>
      <c r="B55" s="2" t="s">
        <v>321</v>
      </c>
      <c r="C55" s="1" t="s">
        <v>95</v>
      </c>
      <c r="D55" s="1" t="s">
        <v>47</v>
      </c>
      <c r="E55" s="1" t="b">
        <v>0</v>
      </c>
      <c r="F55" s="1" t="s">
        <v>35</v>
      </c>
      <c r="G55" s="1" t="str">
        <f t="array" ref="G55">XLOOKUP(A:A,'CategoriasSeções'!A:A,'CategoriasSeções'!B:B)</f>
        <v>APOIO ATENDIMENTO</v>
      </c>
      <c r="H55" s="1" t="s">
        <v>53</v>
      </c>
      <c r="I55" s="3">
        <v>45562.490277777775</v>
      </c>
      <c r="J55" s="3">
        <v>45562.490277777775</v>
      </c>
      <c r="K55" s="1" t="s">
        <v>322</v>
      </c>
      <c r="L55" s="1" t="s">
        <v>322</v>
      </c>
      <c r="M55" s="1" t="s">
        <v>38</v>
      </c>
      <c r="N55" s="1" t="s">
        <v>75</v>
      </c>
      <c r="O55" s="1" t="s">
        <v>39</v>
      </c>
      <c r="P55" s="1" t="s">
        <v>39</v>
      </c>
      <c r="Q55" s="3">
        <v>45562.490277777775</v>
      </c>
      <c r="R55" s="1" t="s">
        <v>324</v>
      </c>
      <c r="S55" s="1" t="s">
        <v>325</v>
      </c>
    </row>
    <row r="56" ht="62.25" customHeight="1">
      <c r="A56" s="1">
        <v>2.9462863199501E13</v>
      </c>
      <c r="B56" s="2" t="s">
        <v>327</v>
      </c>
      <c r="C56" s="1" t="s">
        <v>228</v>
      </c>
      <c r="D56" s="1" t="s">
        <v>34</v>
      </c>
      <c r="E56" s="1" t="b">
        <v>0</v>
      </c>
      <c r="F56" s="1" t="s">
        <v>35</v>
      </c>
      <c r="G56" s="1" t="str">
        <f t="array" ref="G56">XLOOKUP(A:A,'CategoriasSeções'!A:A,'CategoriasSeções'!B:B)</f>
        <v>Dúvidas Gerais</v>
      </c>
      <c r="H56" s="1" t="s">
        <v>85</v>
      </c>
      <c r="I56" s="3">
        <v>45525.64375</v>
      </c>
      <c r="J56" s="3">
        <v>45525.645833333336</v>
      </c>
      <c r="K56" s="1" t="s">
        <v>328</v>
      </c>
      <c r="L56" s="1" t="s">
        <v>328</v>
      </c>
      <c r="M56" s="1" t="s">
        <v>38</v>
      </c>
      <c r="N56" s="1" t="s">
        <v>75</v>
      </c>
      <c r="O56" s="1" t="s">
        <v>69</v>
      </c>
      <c r="P56" s="1" t="s">
        <v>69</v>
      </c>
      <c r="Q56" s="3">
        <v>45525.645833333336</v>
      </c>
      <c r="R56" s="1" t="s">
        <v>330</v>
      </c>
      <c r="S56" s="1" t="s">
        <v>331</v>
      </c>
    </row>
    <row r="57" ht="62.25" customHeight="1">
      <c r="A57" s="1">
        <v>2.9407516852109E13</v>
      </c>
      <c r="B57" s="2" t="s">
        <v>333</v>
      </c>
      <c r="C57" s="1" t="s">
        <v>84</v>
      </c>
      <c r="D57" s="1" t="s">
        <v>34</v>
      </c>
      <c r="E57" s="1" t="b">
        <v>0</v>
      </c>
      <c r="F57" s="1" t="s">
        <v>35</v>
      </c>
      <c r="G57" s="1" t="str">
        <f t="array" ref="G57">XLOOKUP(A:A,'CategoriasSeções'!A:A,'CategoriasSeções'!B:B)</f>
        <v>APOIO ATENDIMENTO</v>
      </c>
      <c r="H57" s="1" t="s">
        <v>36</v>
      </c>
      <c r="I57" s="3">
        <v>45523.90347222222</v>
      </c>
      <c r="J57" s="3">
        <v>45714.822916666664</v>
      </c>
      <c r="K57" s="1" t="s">
        <v>334</v>
      </c>
      <c r="L57" s="1" t="s">
        <v>334</v>
      </c>
      <c r="M57" s="1" t="s">
        <v>38</v>
      </c>
      <c r="N57" s="1" t="s">
        <v>75</v>
      </c>
      <c r="O57" s="1" t="s">
        <v>69</v>
      </c>
      <c r="P57" s="1" t="s">
        <v>69</v>
      </c>
      <c r="Q57" s="3">
        <v>45530.870833333334</v>
      </c>
      <c r="R57" s="1" t="s">
        <v>336</v>
      </c>
      <c r="S57" s="1" t="s">
        <v>337</v>
      </c>
    </row>
    <row r="58" ht="62.25" customHeight="1">
      <c r="A58" s="1">
        <v>2.9368705103245E13</v>
      </c>
      <c r="B58" s="2" t="s">
        <v>339</v>
      </c>
      <c r="C58" s="1" t="s">
        <v>228</v>
      </c>
      <c r="D58" s="1" t="s">
        <v>34</v>
      </c>
      <c r="E58" s="1" t="b">
        <v>0</v>
      </c>
      <c r="F58" s="1" t="s">
        <v>35</v>
      </c>
      <c r="G58" s="1" t="str">
        <f t="array" ref="G58">XLOOKUP(A:A,'CategoriasSeções'!A:A,'CategoriasSeções'!B:B)</f>
        <v>APOIO ATENDIMENTO</v>
      </c>
      <c r="H58" s="1" t="s">
        <v>36</v>
      </c>
      <c r="I58" s="3">
        <v>45522.475</v>
      </c>
      <c r="J58" s="3">
        <v>45522.51666666667</v>
      </c>
      <c r="K58" s="1" t="s">
        <v>340</v>
      </c>
      <c r="L58" s="1" t="s">
        <v>340</v>
      </c>
      <c r="M58" s="1" t="s">
        <v>38</v>
      </c>
      <c r="N58" s="1" t="s">
        <v>39</v>
      </c>
      <c r="O58" s="1" t="s">
        <v>39</v>
      </c>
      <c r="P58" s="1" t="s">
        <v>39</v>
      </c>
      <c r="Q58" s="3">
        <v>45522.51597222222</v>
      </c>
      <c r="R58" s="1" t="s">
        <v>342</v>
      </c>
      <c r="S58" s="1" t="s">
        <v>343</v>
      </c>
    </row>
    <row r="59" ht="62.25" customHeight="1">
      <c r="A59" s="1">
        <v>2.8274881247117E13</v>
      </c>
      <c r="B59" s="2" t="s">
        <v>345</v>
      </c>
      <c r="C59" s="1" t="s">
        <v>228</v>
      </c>
      <c r="D59" s="1" t="s">
        <v>34</v>
      </c>
      <c r="E59" s="1" t="b">
        <v>0</v>
      </c>
      <c r="F59" s="1" t="s">
        <v>35</v>
      </c>
      <c r="G59" s="1" t="str">
        <f t="array" ref="G59">XLOOKUP(A:A,'CategoriasSeções'!A:A,'CategoriasSeções'!B:B)</f>
        <v>APOIO ATENDIMENTO</v>
      </c>
      <c r="H59" s="1" t="s">
        <v>36</v>
      </c>
      <c r="I59" s="3">
        <v>45482.83541666667</v>
      </c>
      <c r="J59" s="3">
        <v>45482.83611111111</v>
      </c>
      <c r="K59" s="1" t="s">
        <v>346</v>
      </c>
      <c r="L59" s="1" t="s">
        <v>346</v>
      </c>
      <c r="M59" s="1" t="s">
        <v>38</v>
      </c>
      <c r="N59" s="1" t="s">
        <v>75</v>
      </c>
      <c r="O59" s="1" t="s">
        <v>39</v>
      </c>
      <c r="P59" s="1" t="s">
        <v>39</v>
      </c>
      <c r="Q59" s="3">
        <v>45482.83611111111</v>
      </c>
      <c r="R59" s="1" t="s">
        <v>347</v>
      </c>
      <c r="S59" s="1" t="s">
        <v>348</v>
      </c>
    </row>
    <row r="60" ht="62.25" customHeight="1">
      <c r="A60" s="1">
        <v>2.8261675994253E13</v>
      </c>
      <c r="B60" s="2" t="s">
        <v>350</v>
      </c>
      <c r="C60" s="1" t="s">
        <v>228</v>
      </c>
      <c r="D60" s="1" t="s">
        <v>34</v>
      </c>
      <c r="E60" s="1" t="b">
        <v>0</v>
      </c>
      <c r="F60" s="1" t="s">
        <v>35</v>
      </c>
      <c r="G60" s="1" t="str">
        <f t="array" ref="G60">XLOOKUP(A:A,'CategoriasSeções'!A:A,'CategoriasSeções'!B:B)</f>
        <v>APOIO ATENDIMENTO</v>
      </c>
      <c r="H60" s="1" t="s">
        <v>36</v>
      </c>
      <c r="I60" s="3">
        <v>45482.575</v>
      </c>
      <c r="J60" s="3">
        <v>45482.78958333333</v>
      </c>
      <c r="K60" s="1" t="s">
        <v>351</v>
      </c>
      <c r="L60" s="1" t="s">
        <v>351</v>
      </c>
      <c r="M60" s="1" t="s">
        <v>38</v>
      </c>
      <c r="N60" s="1" t="s">
        <v>75</v>
      </c>
      <c r="O60" s="1" t="s">
        <v>39</v>
      </c>
      <c r="P60" s="1" t="s">
        <v>39</v>
      </c>
      <c r="Q60" s="3">
        <v>45482.575694444444</v>
      </c>
      <c r="R60" s="1" t="s">
        <v>352</v>
      </c>
      <c r="S60" s="1" t="s">
        <v>353</v>
      </c>
    </row>
    <row r="61" ht="62.25" customHeight="1">
      <c r="A61" s="1">
        <v>2.8123310185997E13</v>
      </c>
      <c r="B61" s="2" t="s">
        <v>355</v>
      </c>
      <c r="C61" s="1" t="s">
        <v>84</v>
      </c>
      <c r="D61" s="1" t="s">
        <v>34</v>
      </c>
      <c r="E61" s="1" t="b">
        <v>0</v>
      </c>
      <c r="F61" s="1" t="s">
        <v>35</v>
      </c>
      <c r="G61" s="1" t="str">
        <f t="array" ref="G61">XLOOKUP(A:A,'CategoriasSeções'!A:A,'CategoriasSeções'!B:B)</f>
        <v>APOIO ATENDIMENTO</v>
      </c>
      <c r="H61" s="1" t="s">
        <v>36</v>
      </c>
      <c r="I61" s="3">
        <v>45476.816666666666</v>
      </c>
      <c r="J61" s="3">
        <v>45722.52638888889</v>
      </c>
      <c r="K61" s="1" t="s">
        <v>356</v>
      </c>
      <c r="L61" s="1" t="s">
        <v>356</v>
      </c>
      <c r="M61" s="1" t="s">
        <v>38</v>
      </c>
      <c r="N61" s="1" t="s">
        <v>75</v>
      </c>
      <c r="O61" s="1" t="s">
        <v>69</v>
      </c>
      <c r="P61" s="1" t="s">
        <v>69</v>
      </c>
      <c r="Q61" s="3">
        <v>45722.52638888889</v>
      </c>
      <c r="R61" s="1" t="s">
        <v>357</v>
      </c>
      <c r="S61" s="1" t="s">
        <v>358</v>
      </c>
    </row>
    <row r="62" ht="62.25" customHeight="1">
      <c r="A62" s="1">
        <v>2.7948299859213E13</v>
      </c>
      <c r="B62" s="2" t="s">
        <v>360</v>
      </c>
      <c r="C62" s="1" t="s">
        <v>84</v>
      </c>
      <c r="D62" s="1" t="s">
        <v>34</v>
      </c>
      <c r="E62" s="1" t="b">
        <v>0</v>
      </c>
      <c r="F62" s="1" t="s">
        <v>35</v>
      </c>
      <c r="G62" s="1" t="str">
        <f t="array" ref="G62">XLOOKUP(A:A,'CategoriasSeções'!A:A,'CategoriasSeções'!B:B)</f>
        <v>Dúvidas Gerais</v>
      </c>
      <c r="H62" s="1" t="s">
        <v>116</v>
      </c>
      <c r="I62" s="3">
        <v>45470.709027777775</v>
      </c>
      <c r="J62" s="12">
        <v>45954.896527777775</v>
      </c>
      <c r="K62" s="1" t="s">
        <v>361</v>
      </c>
      <c r="L62" s="1" t="s">
        <v>361</v>
      </c>
      <c r="M62" s="1" t="s">
        <v>38</v>
      </c>
      <c r="N62" s="1" t="s">
        <v>75</v>
      </c>
      <c r="O62" s="1" t="s">
        <v>69</v>
      </c>
      <c r="P62" s="1" t="s">
        <v>69</v>
      </c>
      <c r="Q62" s="12">
        <v>45954.896527777775</v>
      </c>
      <c r="R62" s="1" t="s">
        <v>363</v>
      </c>
      <c r="S62" s="1" t="s">
        <v>364</v>
      </c>
    </row>
    <row r="63" ht="62.25" customHeight="1">
      <c r="A63" s="1">
        <v>2.7772709459853E13</v>
      </c>
      <c r="B63" s="2" t="s">
        <v>366</v>
      </c>
      <c r="C63" s="1" t="s">
        <v>228</v>
      </c>
      <c r="D63" s="1" t="s">
        <v>34</v>
      </c>
      <c r="E63" s="1" t="b">
        <v>0</v>
      </c>
      <c r="F63" s="1" t="s">
        <v>35</v>
      </c>
      <c r="G63" s="1" t="str">
        <f t="array" ref="G63">XLOOKUP(A:A,'CategoriasSeções'!A:A,'CategoriasSeções'!B:B)</f>
        <v>APOIO ATENDIMENTO</v>
      </c>
      <c r="H63" s="1" t="s">
        <v>36</v>
      </c>
      <c r="I63" s="3">
        <v>45464.73402777778</v>
      </c>
      <c r="J63" s="3">
        <v>45464.73472222222</v>
      </c>
      <c r="K63" s="1" t="s">
        <v>367</v>
      </c>
      <c r="L63" s="1" t="s">
        <v>367</v>
      </c>
      <c r="M63" s="1" t="s">
        <v>38</v>
      </c>
      <c r="N63" s="1" t="s">
        <v>75</v>
      </c>
      <c r="O63" s="1" t="s">
        <v>39</v>
      </c>
      <c r="P63" s="1" t="s">
        <v>39</v>
      </c>
      <c r="Q63" s="3">
        <v>45464.73472222222</v>
      </c>
      <c r="R63" s="1" t="s">
        <v>369</v>
      </c>
      <c r="S63" s="1" t="s">
        <v>370</v>
      </c>
    </row>
    <row r="64" ht="62.25" customHeight="1">
      <c r="A64" s="1">
        <v>2.7707345547405E13</v>
      </c>
      <c r="B64" s="2" t="s">
        <v>372</v>
      </c>
      <c r="C64" s="1" t="s">
        <v>228</v>
      </c>
      <c r="D64" s="1" t="s">
        <v>34</v>
      </c>
      <c r="E64" s="1" t="b">
        <v>0</v>
      </c>
      <c r="F64" s="1" t="s">
        <v>35</v>
      </c>
      <c r="G64" s="1" t="str">
        <f t="array" ref="G64">XLOOKUP(A:A,'CategoriasSeções'!A:A,'CategoriasSeções'!B:B)</f>
        <v>APOIO ATENDIMENTO</v>
      </c>
      <c r="H64" s="1" t="s">
        <v>36</v>
      </c>
      <c r="I64" s="3">
        <v>45462.69652777778</v>
      </c>
      <c r="J64" s="3">
        <v>45462.69652777778</v>
      </c>
      <c r="K64" s="1" t="s">
        <v>373</v>
      </c>
      <c r="L64" s="1" t="s">
        <v>373</v>
      </c>
      <c r="M64" s="1" t="s">
        <v>38</v>
      </c>
      <c r="N64" s="1" t="s">
        <v>75</v>
      </c>
      <c r="O64" s="1" t="s">
        <v>39</v>
      </c>
      <c r="P64" s="1" t="s">
        <v>39</v>
      </c>
      <c r="Q64" s="3">
        <v>45462.69652777778</v>
      </c>
      <c r="R64" s="1" t="s">
        <v>375</v>
      </c>
      <c r="S64" s="1" t="s">
        <v>376</v>
      </c>
    </row>
    <row r="65" ht="62.25" customHeight="1">
      <c r="A65" s="1">
        <v>2.7696971298701E13</v>
      </c>
      <c r="B65" s="2" t="s">
        <v>378</v>
      </c>
      <c r="C65" s="1" t="s">
        <v>228</v>
      </c>
      <c r="D65" s="1" t="s">
        <v>34</v>
      </c>
      <c r="E65" s="1" t="b">
        <v>0</v>
      </c>
      <c r="F65" s="1" t="s">
        <v>35</v>
      </c>
      <c r="G65" s="1" t="str">
        <f t="array" ref="G65">XLOOKUP(A:A,'CategoriasSeções'!A:A,'CategoriasSeções'!B:B)</f>
        <v>APOIO ATENDIMENTO</v>
      </c>
      <c r="H65" s="1" t="s">
        <v>36</v>
      </c>
      <c r="I65" s="3">
        <v>45462.444444444445</v>
      </c>
      <c r="J65" s="3">
        <v>45526.55972222222</v>
      </c>
      <c r="K65" s="1" t="s">
        <v>379</v>
      </c>
      <c r="L65" s="1" t="s">
        <v>379</v>
      </c>
      <c r="M65" s="1" t="s">
        <v>38</v>
      </c>
      <c r="N65" s="1" t="s">
        <v>75</v>
      </c>
      <c r="O65" s="1" t="s">
        <v>39</v>
      </c>
      <c r="P65" s="1" t="s">
        <v>39</v>
      </c>
      <c r="Q65" s="3">
        <v>45462.447222222225</v>
      </c>
      <c r="R65" s="1" t="s">
        <v>381</v>
      </c>
      <c r="S65" s="1" t="s">
        <v>382</v>
      </c>
    </row>
    <row r="66" ht="62.25" customHeight="1">
      <c r="A66" s="1">
        <v>2.7637289639309E13</v>
      </c>
      <c r="B66" s="2" t="s">
        <v>384</v>
      </c>
      <c r="C66" s="1" t="s">
        <v>228</v>
      </c>
      <c r="D66" s="1" t="s">
        <v>34</v>
      </c>
      <c r="E66" s="1" t="b">
        <v>0</v>
      </c>
      <c r="F66" s="1" t="s">
        <v>35</v>
      </c>
      <c r="G66" s="1" t="str">
        <f t="array" ref="G66">XLOOKUP(A:A,'CategoriasSeções'!A:A,'CategoriasSeções'!B:B)</f>
        <v>APOIO ATENDIMENTO</v>
      </c>
      <c r="H66" s="1" t="s">
        <v>36</v>
      </c>
      <c r="I66" s="3">
        <v>45460.62777777778</v>
      </c>
      <c r="J66" s="3">
        <v>45526.55972222222</v>
      </c>
      <c r="K66" s="1" t="s">
        <v>385</v>
      </c>
      <c r="L66" s="1" t="s">
        <v>385</v>
      </c>
      <c r="M66" s="1" t="s">
        <v>38</v>
      </c>
      <c r="N66" s="1" t="s">
        <v>75</v>
      </c>
      <c r="O66" s="1" t="s">
        <v>39</v>
      </c>
      <c r="P66" s="1" t="s">
        <v>39</v>
      </c>
      <c r="Q66" s="3">
        <v>45460.62777777778</v>
      </c>
      <c r="R66" s="1" t="s">
        <v>387</v>
      </c>
      <c r="S66" s="1" t="s">
        <v>388</v>
      </c>
    </row>
    <row r="67" ht="62.25" customHeight="1">
      <c r="A67" s="1">
        <v>2.7519478089613E13</v>
      </c>
      <c r="B67" s="2" t="s">
        <v>390</v>
      </c>
      <c r="C67" s="1" t="s">
        <v>228</v>
      </c>
      <c r="D67" s="1" t="s">
        <v>34</v>
      </c>
      <c r="E67" s="1" t="b">
        <v>0</v>
      </c>
      <c r="F67" s="1" t="s">
        <v>35</v>
      </c>
      <c r="G67" s="1" t="str">
        <f t="array" ref="G67">XLOOKUP(A:A,'CategoriasSeções'!A:A,'CategoriasSeções'!B:B)</f>
        <v>APOIO ATENDIMENTO</v>
      </c>
      <c r="H67" s="1" t="s">
        <v>36</v>
      </c>
      <c r="I67" s="3">
        <v>45455.72361111111</v>
      </c>
      <c r="J67" s="3">
        <v>45455.76458333333</v>
      </c>
      <c r="K67" s="1" t="s">
        <v>391</v>
      </c>
      <c r="L67" s="1" t="s">
        <v>391</v>
      </c>
      <c r="M67" s="1" t="s">
        <v>38</v>
      </c>
      <c r="N67" s="1" t="s">
        <v>75</v>
      </c>
      <c r="O67" s="1" t="s">
        <v>39</v>
      </c>
      <c r="P67" s="1" t="s">
        <v>39</v>
      </c>
      <c r="Q67" s="3">
        <v>45455.76458333333</v>
      </c>
      <c r="R67" s="1" t="s">
        <v>392</v>
      </c>
      <c r="S67" s="1" t="s">
        <v>393</v>
      </c>
    </row>
    <row r="68" ht="62.25" customHeight="1">
      <c r="A68" s="1">
        <v>2.7100081298445E13</v>
      </c>
      <c r="B68" s="2" t="s">
        <v>395</v>
      </c>
      <c r="C68" s="1" t="s">
        <v>84</v>
      </c>
      <c r="D68" s="1" t="s">
        <v>34</v>
      </c>
      <c r="E68" s="1" t="b">
        <v>0</v>
      </c>
      <c r="F68" s="1" t="s">
        <v>35</v>
      </c>
      <c r="G68" s="1" t="str">
        <f t="array" ref="G68">XLOOKUP(A:A,'CategoriasSeções'!A:A,'CategoriasSeções'!B:B)</f>
        <v>Comunicados</v>
      </c>
      <c r="H68" s="1" t="s">
        <v>229</v>
      </c>
      <c r="I68" s="3">
        <v>45440.64027777778</v>
      </c>
      <c r="J68" s="3">
        <v>45867.59097222222</v>
      </c>
      <c r="K68" s="1" t="s">
        <v>396</v>
      </c>
      <c r="L68" s="1" t="s">
        <v>396</v>
      </c>
      <c r="M68" s="1" t="s">
        <v>38</v>
      </c>
      <c r="N68" s="1" t="s">
        <v>75</v>
      </c>
      <c r="O68" s="1" t="s">
        <v>69</v>
      </c>
      <c r="P68" s="1" t="s">
        <v>69</v>
      </c>
      <c r="Q68" s="3">
        <v>45867.59097222222</v>
      </c>
      <c r="R68" s="1" t="s">
        <v>398</v>
      </c>
      <c r="S68" s="1" t="s">
        <v>399</v>
      </c>
    </row>
    <row r="69" ht="62.25" customHeight="1">
      <c r="A69" s="1">
        <v>2.6874963139085E13</v>
      </c>
      <c r="B69" s="2" t="s">
        <v>401</v>
      </c>
      <c r="C69" s="1" t="s">
        <v>33</v>
      </c>
      <c r="D69" s="1" t="s">
        <v>34</v>
      </c>
      <c r="E69" s="1" t="b">
        <v>0</v>
      </c>
      <c r="F69" s="1" t="s">
        <v>35</v>
      </c>
      <c r="G69" s="1" t="str">
        <f t="array" ref="G69">XLOOKUP(A:A,'CategoriasSeções'!A:A,'CategoriasSeções'!B:B)</f>
        <v>APOIO ATENDIMENTO</v>
      </c>
      <c r="H69" s="1" t="s">
        <v>36</v>
      </c>
      <c r="I69" s="3">
        <v>45432.74444444444</v>
      </c>
      <c r="J69" s="3">
        <v>45432.74444444444</v>
      </c>
      <c r="K69" s="1" t="s">
        <v>402</v>
      </c>
      <c r="L69" s="1" t="s">
        <v>402</v>
      </c>
      <c r="M69" s="1" t="s">
        <v>38</v>
      </c>
      <c r="N69" s="1" t="s">
        <v>39</v>
      </c>
      <c r="O69" s="1" t="s">
        <v>39</v>
      </c>
      <c r="P69" s="1" t="s">
        <v>39</v>
      </c>
      <c r="Q69" s="3">
        <v>45432.74444444444</v>
      </c>
      <c r="R69" s="1" t="s">
        <v>55</v>
      </c>
      <c r="S69" s="1" t="s">
        <v>403</v>
      </c>
    </row>
    <row r="70" ht="62.25" customHeight="1">
      <c r="A70" s="1">
        <v>2.6862583438733E13</v>
      </c>
      <c r="B70" s="2" t="s">
        <v>405</v>
      </c>
      <c r="C70" s="1" t="s">
        <v>33</v>
      </c>
      <c r="D70" s="1" t="s">
        <v>34</v>
      </c>
      <c r="E70" s="1" t="b">
        <v>0</v>
      </c>
      <c r="F70" s="1" t="s">
        <v>35</v>
      </c>
      <c r="G70" s="1" t="str">
        <f t="array" ref="G70">XLOOKUP(A:A,'CategoriasSeções'!A:A,'CategoriasSeções'!B:B)</f>
        <v>Dúvidas Gerais</v>
      </c>
      <c r="H70" s="1" t="s">
        <v>129</v>
      </c>
      <c r="I70" s="3">
        <v>45432.50625</v>
      </c>
      <c r="J70" s="3">
        <v>45432.506944444445</v>
      </c>
      <c r="K70" s="1" t="s">
        <v>406</v>
      </c>
      <c r="L70" s="1" t="s">
        <v>406</v>
      </c>
      <c r="M70" s="1" t="s">
        <v>38</v>
      </c>
      <c r="N70" s="1" t="s">
        <v>39</v>
      </c>
      <c r="O70" s="1" t="s">
        <v>39</v>
      </c>
      <c r="P70" s="1" t="s">
        <v>39</v>
      </c>
      <c r="Q70" s="3">
        <v>45432.506944444445</v>
      </c>
      <c r="R70" s="1" t="s">
        <v>55</v>
      </c>
      <c r="S70" s="1" t="s">
        <v>407</v>
      </c>
    </row>
    <row r="71" ht="62.25" customHeight="1">
      <c r="A71" s="1">
        <v>2.6833115189645E13</v>
      </c>
      <c r="B71" s="2" t="s">
        <v>409</v>
      </c>
      <c r="C71" s="1" t="s">
        <v>410</v>
      </c>
      <c r="D71" s="1" t="s">
        <v>47</v>
      </c>
      <c r="E71" s="1" t="b">
        <v>0</v>
      </c>
      <c r="F71" s="1" t="s">
        <v>35</v>
      </c>
      <c r="G71" s="1" t="str">
        <f t="array" ref="G71">XLOOKUP(A:A,'CategoriasSeções'!A:A,'CategoriasSeções'!B:B)</f>
        <v>APOIO ATENDIMENTO</v>
      </c>
      <c r="H71" s="1" t="s">
        <v>36</v>
      </c>
      <c r="I71" s="3">
        <v>45430.65277777778</v>
      </c>
      <c r="J71" s="3">
        <v>45430.65277777778</v>
      </c>
      <c r="K71" s="1" t="s">
        <v>411</v>
      </c>
      <c r="L71" s="1" t="s">
        <v>411</v>
      </c>
      <c r="M71" s="1" t="s">
        <v>38</v>
      </c>
      <c r="N71" s="1" t="s">
        <v>75</v>
      </c>
      <c r="O71" s="1" t="s">
        <v>39</v>
      </c>
      <c r="P71" s="1" t="s">
        <v>39</v>
      </c>
      <c r="Q71" s="3">
        <v>45430.65277777778</v>
      </c>
      <c r="R71" s="1" t="s">
        <v>55</v>
      </c>
      <c r="S71" s="1" t="s">
        <v>412</v>
      </c>
    </row>
    <row r="72" ht="62.25" customHeight="1">
      <c r="A72" s="1">
        <v>2.6832096452621E13</v>
      </c>
      <c r="B72" s="2" t="s">
        <v>414</v>
      </c>
      <c r="C72" s="1" t="s">
        <v>415</v>
      </c>
      <c r="D72" s="1" t="s">
        <v>47</v>
      </c>
      <c r="E72" s="1" t="b">
        <v>0</v>
      </c>
      <c r="F72" s="1" t="s">
        <v>35</v>
      </c>
      <c r="G72" s="1" t="str">
        <f t="array" ref="G72">XLOOKUP(A:A,'CategoriasSeções'!A:A,'CategoriasSeções'!B:B)</f>
        <v>APOIO ATENDIMENTO</v>
      </c>
      <c r="H72" s="1" t="s">
        <v>36</v>
      </c>
      <c r="I72" s="3">
        <v>45430.61388888889</v>
      </c>
      <c r="J72" s="3">
        <v>45430.618055555555</v>
      </c>
      <c r="K72" s="1" t="s">
        <v>416</v>
      </c>
      <c r="L72" s="1" t="s">
        <v>416</v>
      </c>
      <c r="M72" s="1" t="s">
        <v>38</v>
      </c>
      <c r="N72" s="1" t="s">
        <v>75</v>
      </c>
      <c r="O72" s="1" t="s">
        <v>39</v>
      </c>
      <c r="P72" s="1" t="s">
        <v>39</v>
      </c>
      <c r="Q72" s="3">
        <v>45430.618055555555</v>
      </c>
      <c r="R72" s="1" t="s">
        <v>418</v>
      </c>
      <c r="S72" s="1" t="s">
        <v>419</v>
      </c>
    </row>
    <row r="73" ht="62.25" customHeight="1">
      <c r="A73" s="1">
        <v>2.6238146165645E13</v>
      </c>
      <c r="B73" s="2" t="s">
        <v>421</v>
      </c>
      <c r="C73" s="1" t="s">
        <v>84</v>
      </c>
      <c r="D73" s="1" t="s">
        <v>34</v>
      </c>
      <c r="E73" s="1" t="b">
        <v>0</v>
      </c>
      <c r="F73" s="1" t="s">
        <v>35</v>
      </c>
      <c r="G73" s="1" t="str">
        <f t="array" ref="G73">XLOOKUP(A:A,'CategoriasSeções'!A:A,'CategoriasSeções'!B:B)</f>
        <v>APOIO ATENDIMENTO</v>
      </c>
      <c r="H73" s="1" t="s">
        <v>36</v>
      </c>
      <c r="I73" s="3">
        <v>45408.73472222222</v>
      </c>
      <c r="J73" s="3">
        <v>45408.73472222222</v>
      </c>
      <c r="K73" s="1" t="s">
        <v>422</v>
      </c>
      <c r="L73" s="1" t="s">
        <v>422</v>
      </c>
      <c r="M73" s="1" t="s">
        <v>38</v>
      </c>
      <c r="N73" s="1" t="s">
        <v>75</v>
      </c>
      <c r="O73" s="1" t="s">
        <v>39</v>
      </c>
      <c r="P73" s="1" t="s">
        <v>39</v>
      </c>
      <c r="Q73" s="3">
        <v>45408.73472222222</v>
      </c>
      <c r="R73" s="1" t="s">
        <v>424</v>
      </c>
      <c r="S73" s="1" t="s">
        <v>425</v>
      </c>
    </row>
    <row r="74" ht="62.25" customHeight="1">
      <c r="A74" s="1">
        <v>2.6116851130893E13</v>
      </c>
      <c r="B74" s="2" t="s">
        <v>427</v>
      </c>
      <c r="C74" s="1" t="s">
        <v>84</v>
      </c>
      <c r="D74" s="1" t="s">
        <v>34</v>
      </c>
      <c r="E74" s="1" t="b">
        <v>0</v>
      </c>
      <c r="F74" s="1" t="s">
        <v>35</v>
      </c>
      <c r="G74" s="1" t="str">
        <f t="array" ref="G74">XLOOKUP(A:A,'CategoriasSeções'!A:A,'CategoriasSeções'!B:B)</f>
        <v>APOIO ATENDIMENTO</v>
      </c>
      <c r="H74" s="1" t="s">
        <v>36</v>
      </c>
      <c r="I74" s="3">
        <v>45404.91527777778</v>
      </c>
      <c r="J74" s="3">
        <v>45526.620833333334</v>
      </c>
      <c r="K74" s="1" t="s">
        <v>428</v>
      </c>
      <c r="L74" s="1" t="s">
        <v>428</v>
      </c>
      <c r="M74" s="1" t="s">
        <v>38</v>
      </c>
      <c r="N74" s="1" t="s">
        <v>75</v>
      </c>
      <c r="O74" s="1" t="s">
        <v>39</v>
      </c>
      <c r="P74" s="1" t="s">
        <v>39</v>
      </c>
      <c r="Q74" s="3">
        <v>45404.91527777778</v>
      </c>
      <c r="R74" s="1" t="s">
        <v>429</v>
      </c>
      <c r="S74" s="1" t="s">
        <v>430</v>
      </c>
    </row>
    <row r="75" ht="62.25" customHeight="1">
      <c r="A75" s="1">
        <v>2.6098271911693E13</v>
      </c>
      <c r="B75" s="2" t="s">
        <v>432</v>
      </c>
      <c r="C75" s="1" t="s">
        <v>433</v>
      </c>
      <c r="D75" s="1" t="s">
        <v>34</v>
      </c>
      <c r="E75" s="1" t="b">
        <v>0</v>
      </c>
      <c r="F75" s="1" t="s">
        <v>35</v>
      </c>
      <c r="G75" s="1" t="str">
        <f t="array" ref="G75">XLOOKUP(A:A,'CategoriasSeções'!A:A,'CategoriasSeções'!B:B)</f>
        <v>Comunicados</v>
      </c>
      <c r="H75" s="1" t="s">
        <v>229</v>
      </c>
      <c r="I75" s="3">
        <v>45404.59930555556</v>
      </c>
      <c r="J75" s="3">
        <v>45526.611805555556</v>
      </c>
      <c r="K75" s="1" t="s">
        <v>294</v>
      </c>
      <c r="L75" s="1" t="s">
        <v>294</v>
      </c>
      <c r="M75" s="1" t="s">
        <v>38</v>
      </c>
      <c r="N75" s="1" t="s">
        <v>39</v>
      </c>
      <c r="O75" s="1" t="s">
        <v>69</v>
      </c>
      <c r="P75" s="1" t="s">
        <v>69</v>
      </c>
      <c r="Q75" s="3">
        <v>45404.59930555556</v>
      </c>
      <c r="R75" s="1" t="s">
        <v>55</v>
      </c>
      <c r="S75" s="1" t="s">
        <v>434</v>
      </c>
    </row>
    <row r="76" ht="62.25" customHeight="1">
      <c r="A76" s="1">
        <v>2.5867376725517E13</v>
      </c>
      <c r="B76" s="2" t="s">
        <v>436</v>
      </c>
      <c r="C76" s="1" t="s">
        <v>437</v>
      </c>
      <c r="D76" s="1" t="s">
        <v>34</v>
      </c>
      <c r="E76" s="1" t="b">
        <v>0</v>
      </c>
      <c r="F76" s="1" t="s">
        <v>35</v>
      </c>
      <c r="G76" s="1" t="str">
        <f t="array" ref="G76">XLOOKUP(A:A,'CategoriasSeções'!A:A,'CategoriasSeções'!B:B)</f>
        <v>APOIO ATENDIMENTO</v>
      </c>
      <c r="H76" s="1" t="s">
        <v>36</v>
      </c>
      <c r="I76" s="3">
        <v>45395.56875</v>
      </c>
      <c r="J76" s="3">
        <v>45395.569444444445</v>
      </c>
      <c r="K76" s="1" t="s">
        <v>438</v>
      </c>
      <c r="L76" s="1" t="s">
        <v>438</v>
      </c>
      <c r="M76" s="1" t="s">
        <v>38</v>
      </c>
      <c r="N76" s="1" t="s">
        <v>75</v>
      </c>
      <c r="O76" s="1" t="s">
        <v>39</v>
      </c>
      <c r="P76" s="1" t="s">
        <v>39</v>
      </c>
      <c r="Q76" s="3">
        <v>45395.569444444445</v>
      </c>
      <c r="R76" s="1" t="s">
        <v>440</v>
      </c>
      <c r="S76" s="1" t="s">
        <v>441</v>
      </c>
    </row>
    <row r="77" ht="62.25" customHeight="1">
      <c r="A77" s="1">
        <v>2.5711257715981E13</v>
      </c>
      <c r="B77" s="2" t="s">
        <v>443</v>
      </c>
      <c r="C77" s="1" t="s">
        <v>437</v>
      </c>
      <c r="D77" s="1" t="s">
        <v>47</v>
      </c>
      <c r="E77" s="1" t="b">
        <v>0</v>
      </c>
      <c r="F77" s="1" t="s">
        <v>35</v>
      </c>
      <c r="G77" s="1" t="str">
        <f t="array" ref="G77">XLOOKUP(A:A,'CategoriasSeções'!A:A,'CategoriasSeções'!B:B)</f>
        <v>APOIO ATENDIMENTO</v>
      </c>
      <c r="H77" s="1" t="s">
        <v>36</v>
      </c>
      <c r="I77" s="3">
        <v>45390.566666666666</v>
      </c>
      <c r="J77" s="3">
        <v>45526.552777777775</v>
      </c>
      <c r="K77" s="1" t="s">
        <v>444</v>
      </c>
      <c r="L77" s="1" t="s">
        <v>444</v>
      </c>
      <c r="M77" s="1" t="s">
        <v>38</v>
      </c>
      <c r="N77" s="1" t="s">
        <v>75</v>
      </c>
      <c r="O77" s="1" t="s">
        <v>39</v>
      </c>
      <c r="P77" s="1" t="s">
        <v>39</v>
      </c>
      <c r="Q77" s="3">
        <v>45390.82708333333</v>
      </c>
      <c r="R77" s="1" t="s">
        <v>55</v>
      </c>
      <c r="S77" s="1" t="s">
        <v>445</v>
      </c>
    </row>
    <row r="78" ht="62.25" customHeight="1">
      <c r="A78" s="1">
        <v>2.5558774085005E13</v>
      </c>
      <c r="B78" s="2" t="s">
        <v>447</v>
      </c>
      <c r="C78" s="1" t="s">
        <v>84</v>
      </c>
      <c r="D78" s="1" t="s">
        <v>34</v>
      </c>
      <c r="E78" s="1" t="b">
        <v>0</v>
      </c>
      <c r="F78" s="1" t="s">
        <v>35</v>
      </c>
      <c r="G78" s="1" t="str">
        <f t="array" ref="G78">XLOOKUP(A:A,'CategoriasSeções'!A:A,'CategoriasSeções'!B:B)</f>
        <v>Dúvidas Gerais</v>
      </c>
      <c r="H78" s="1" t="s">
        <v>103</v>
      </c>
      <c r="I78" s="3">
        <v>45384.774305555555</v>
      </c>
      <c r="J78" s="3">
        <v>45526.55972222222</v>
      </c>
      <c r="K78" s="1" t="s">
        <v>448</v>
      </c>
      <c r="L78" s="1" t="s">
        <v>448</v>
      </c>
      <c r="M78" s="1" t="s">
        <v>38</v>
      </c>
      <c r="N78" s="1" t="s">
        <v>75</v>
      </c>
      <c r="O78" s="1" t="s">
        <v>69</v>
      </c>
      <c r="P78" s="1" t="s">
        <v>69</v>
      </c>
      <c r="Q78" s="3">
        <v>45384.78958333333</v>
      </c>
      <c r="R78" s="1" t="s">
        <v>55</v>
      </c>
      <c r="S78" s="1" t="s">
        <v>450</v>
      </c>
    </row>
    <row r="79" ht="62.25" customHeight="1">
      <c r="A79" s="1">
        <v>2.5041149577869E13</v>
      </c>
      <c r="B79" s="2" t="s">
        <v>452</v>
      </c>
      <c r="C79" s="1" t="s">
        <v>437</v>
      </c>
      <c r="D79" s="1" t="s">
        <v>34</v>
      </c>
      <c r="E79" s="1" t="b">
        <v>0</v>
      </c>
      <c r="F79" s="1" t="s">
        <v>35</v>
      </c>
      <c r="G79" s="1" t="str">
        <f t="array" ref="G79">XLOOKUP(A:A,'CategoriasSeções'!A:A,'CategoriasSeções'!B:B)</f>
        <v>APOIO ATENDIMENTO</v>
      </c>
      <c r="H79" s="1" t="s">
        <v>36</v>
      </c>
      <c r="I79" s="3">
        <v>45366.751388888886</v>
      </c>
      <c r="J79" s="3">
        <v>45366.75208333333</v>
      </c>
      <c r="K79" s="1" t="s">
        <v>453</v>
      </c>
      <c r="L79" s="1" t="s">
        <v>453</v>
      </c>
      <c r="M79" s="1" t="s">
        <v>38</v>
      </c>
      <c r="N79" s="1" t="s">
        <v>75</v>
      </c>
      <c r="O79" s="1" t="s">
        <v>39</v>
      </c>
      <c r="P79" s="1" t="s">
        <v>39</v>
      </c>
      <c r="Q79" s="3">
        <v>45366.75208333333</v>
      </c>
      <c r="R79" s="1" t="s">
        <v>55</v>
      </c>
      <c r="S79" s="1" t="s">
        <v>455</v>
      </c>
    </row>
    <row r="80" ht="62.25" customHeight="1">
      <c r="A80" s="1">
        <v>2.4923243522061E13</v>
      </c>
      <c r="B80" s="2" t="s">
        <v>457</v>
      </c>
      <c r="C80" s="1" t="s">
        <v>228</v>
      </c>
      <c r="D80" s="1" t="s">
        <v>34</v>
      </c>
      <c r="E80" s="1" t="b">
        <v>0</v>
      </c>
      <c r="F80" s="1" t="s">
        <v>35</v>
      </c>
      <c r="G80" s="1" t="str">
        <f t="array" ref="G80">XLOOKUP(A:A,'CategoriasSeções'!A:A,'CategoriasSeções'!B:B)</f>
        <v>APOIO ATENDIMENTO</v>
      </c>
      <c r="H80" s="1" t="s">
        <v>36</v>
      </c>
      <c r="I80" s="3">
        <v>45363.45208333333</v>
      </c>
      <c r="J80" s="3">
        <v>45482.834027777775</v>
      </c>
      <c r="K80" s="1" t="s">
        <v>458</v>
      </c>
      <c r="L80" s="1" t="s">
        <v>458</v>
      </c>
      <c r="M80" s="1" t="s">
        <v>38</v>
      </c>
      <c r="N80" s="1" t="s">
        <v>75</v>
      </c>
      <c r="O80" s="1" t="s">
        <v>39</v>
      </c>
      <c r="P80" s="1" t="s">
        <v>39</v>
      </c>
      <c r="Q80" s="3">
        <v>45482.79027777778</v>
      </c>
      <c r="R80" s="1" t="s">
        <v>459</v>
      </c>
      <c r="S80" s="1" t="s">
        <v>460</v>
      </c>
    </row>
    <row r="81" ht="62.25" customHeight="1">
      <c r="A81" s="1">
        <v>2.4708327125517E13</v>
      </c>
      <c r="B81" s="2" t="s">
        <v>462</v>
      </c>
      <c r="C81" s="1" t="s">
        <v>437</v>
      </c>
      <c r="D81" s="1" t="s">
        <v>47</v>
      </c>
      <c r="E81" s="1" t="b">
        <v>0</v>
      </c>
      <c r="F81" s="1" t="s">
        <v>35</v>
      </c>
      <c r="G81" s="1" t="str">
        <f t="array" ref="G81">XLOOKUP(A:A,'CategoriasSeções'!A:A,'CategoriasSeções'!B:B)</f>
        <v>APOIO ATENDIMENTO</v>
      </c>
      <c r="H81" s="1" t="s">
        <v>36</v>
      </c>
      <c r="I81" s="3">
        <v>45356.60277777778</v>
      </c>
      <c r="J81" s="3">
        <v>45356.60277777778</v>
      </c>
      <c r="K81" s="1" t="s">
        <v>463</v>
      </c>
      <c r="L81" s="1" t="s">
        <v>463</v>
      </c>
      <c r="M81" s="1" t="s">
        <v>38</v>
      </c>
      <c r="N81" s="1" t="s">
        <v>75</v>
      </c>
      <c r="O81" s="1" t="s">
        <v>39</v>
      </c>
      <c r="P81" s="1" t="s">
        <v>39</v>
      </c>
      <c r="Q81" s="3">
        <v>45356.60277777778</v>
      </c>
      <c r="R81" s="1" t="s">
        <v>55</v>
      </c>
      <c r="S81" s="1" t="s">
        <v>465</v>
      </c>
    </row>
    <row r="82" ht="62.25" customHeight="1">
      <c r="A82" s="1">
        <v>2.4678305656077E13</v>
      </c>
      <c r="B82" s="2" t="s">
        <v>467</v>
      </c>
      <c r="C82" s="1" t="s">
        <v>228</v>
      </c>
      <c r="D82" s="1" t="s">
        <v>34</v>
      </c>
      <c r="E82" s="1" t="b">
        <v>0</v>
      </c>
      <c r="F82" s="1" t="s">
        <v>35</v>
      </c>
      <c r="G82" s="1" t="str">
        <f t="array" ref="G82">XLOOKUP(A:A,'CategoriasSeções'!A:A,'CategoriasSeções'!B:B)</f>
        <v>APOIO ATENDIMENTO</v>
      </c>
      <c r="H82" s="1" t="s">
        <v>36</v>
      </c>
      <c r="I82" s="3">
        <v>45355.70416666667</v>
      </c>
      <c r="J82" s="3">
        <v>45455.694444444445</v>
      </c>
      <c r="K82" s="1" t="s">
        <v>468</v>
      </c>
      <c r="L82" s="1" t="s">
        <v>468</v>
      </c>
      <c r="M82" s="1" t="s">
        <v>38</v>
      </c>
      <c r="N82" s="1" t="s">
        <v>75</v>
      </c>
      <c r="O82" s="1" t="s">
        <v>39</v>
      </c>
      <c r="P82" s="1" t="s">
        <v>39</v>
      </c>
      <c r="Q82" s="3">
        <v>45455.694444444445</v>
      </c>
      <c r="R82" s="1" t="s">
        <v>470</v>
      </c>
      <c r="S82" s="1" t="s">
        <v>471</v>
      </c>
    </row>
    <row r="83" ht="62.25" customHeight="1">
      <c r="A83" s="1">
        <v>2.4630553363725E13</v>
      </c>
      <c r="B83" s="2" t="s">
        <v>473</v>
      </c>
      <c r="C83" s="1" t="s">
        <v>474</v>
      </c>
      <c r="D83" s="1" t="s">
        <v>47</v>
      </c>
      <c r="E83" s="1" t="b">
        <v>0</v>
      </c>
      <c r="F83" s="1" t="s">
        <v>35</v>
      </c>
      <c r="G83" s="1" t="str">
        <f t="array" ref="G83">XLOOKUP(A:A,'CategoriasSeções'!A:A,'CategoriasSeções'!B:B)</f>
        <v>APOIO ATENDIMENTO</v>
      </c>
      <c r="H83" s="1" t="s">
        <v>36</v>
      </c>
      <c r="I83" s="3">
        <v>45353.62569444445</v>
      </c>
      <c r="J83" s="3">
        <v>45526.52222222222</v>
      </c>
      <c r="K83" s="1" t="s">
        <v>475</v>
      </c>
      <c r="L83" s="1" t="s">
        <v>475</v>
      </c>
      <c r="M83" s="1" t="s">
        <v>38</v>
      </c>
      <c r="N83" s="1" t="s">
        <v>75</v>
      </c>
      <c r="O83" s="1" t="s">
        <v>39</v>
      </c>
      <c r="P83" s="1" t="s">
        <v>39</v>
      </c>
      <c r="Q83" s="3">
        <v>45353.62569444445</v>
      </c>
      <c r="R83" s="1" t="s">
        <v>55</v>
      </c>
      <c r="S83" s="1" t="s">
        <v>476</v>
      </c>
    </row>
    <row r="84" ht="62.25" customHeight="1">
      <c r="A84" s="1">
        <v>2.4629332843661E13</v>
      </c>
      <c r="B84" s="2" t="s">
        <v>478</v>
      </c>
      <c r="C84" s="1" t="s">
        <v>437</v>
      </c>
      <c r="D84" s="1" t="s">
        <v>34</v>
      </c>
      <c r="E84" s="1" t="b">
        <v>0</v>
      </c>
      <c r="F84" s="1" t="s">
        <v>35</v>
      </c>
      <c r="G84" s="1" t="str">
        <f t="array" ref="G84">XLOOKUP(A:A,'CategoriasSeções'!A:A,'CategoriasSeções'!B:B)</f>
        <v>APOIO ATENDIMENTO</v>
      </c>
      <c r="H84" s="1" t="s">
        <v>36</v>
      </c>
      <c r="I84" s="3">
        <v>45353.57708333333</v>
      </c>
      <c r="J84" s="3">
        <v>45526.620833333334</v>
      </c>
      <c r="K84" s="1" t="s">
        <v>479</v>
      </c>
      <c r="L84" s="1" t="s">
        <v>479</v>
      </c>
      <c r="M84" s="1" t="s">
        <v>38</v>
      </c>
      <c r="N84" s="1" t="s">
        <v>75</v>
      </c>
      <c r="O84" s="1" t="s">
        <v>39</v>
      </c>
      <c r="P84" s="1" t="s">
        <v>39</v>
      </c>
      <c r="Q84" s="3">
        <v>45353.57708333333</v>
      </c>
      <c r="R84" s="1" t="s">
        <v>55</v>
      </c>
      <c r="S84" s="1" t="s">
        <v>481</v>
      </c>
    </row>
    <row r="85" ht="62.25" customHeight="1">
      <c r="A85" s="1">
        <v>2.4627515210381E13</v>
      </c>
      <c r="B85" s="2" t="s">
        <v>483</v>
      </c>
      <c r="C85" s="1" t="s">
        <v>474</v>
      </c>
      <c r="D85" s="1" t="s">
        <v>47</v>
      </c>
      <c r="E85" s="1" t="b">
        <v>0</v>
      </c>
      <c r="F85" s="1" t="s">
        <v>35</v>
      </c>
      <c r="G85" s="1" t="str">
        <f t="array" ref="G85">XLOOKUP(A:A,'CategoriasSeções'!A:A,'CategoriasSeções'!B:B)</f>
        <v>APOIO ATENDIMENTO</v>
      </c>
      <c r="H85" s="1" t="s">
        <v>36</v>
      </c>
      <c r="I85" s="3">
        <v>45353.493055555555</v>
      </c>
      <c r="J85" s="3">
        <v>45353.493055555555</v>
      </c>
      <c r="K85" s="1" t="s">
        <v>484</v>
      </c>
      <c r="L85" s="1" t="s">
        <v>484</v>
      </c>
      <c r="M85" s="1" t="s">
        <v>38</v>
      </c>
      <c r="N85" s="1" t="s">
        <v>75</v>
      </c>
      <c r="O85" s="1" t="s">
        <v>39</v>
      </c>
      <c r="P85" s="1" t="s">
        <v>39</v>
      </c>
      <c r="Q85" s="3">
        <v>45353.493055555555</v>
      </c>
      <c r="R85" s="1" t="s">
        <v>485</v>
      </c>
      <c r="S85" s="1" t="s">
        <v>486</v>
      </c>
    </row>
    <row r="86" ht="62.25" customHeight="1">
      <c r="A86" s="1">
        <v>2.4503978193677E13</v>
      </c>
      <c r="B86" s="2" t="s">
        <v>488</v>
      </c>
      <c r="C86" s="1" t="s">
        <v>474</v>
      </c>
      <c r="D86" s="1" t="s">
        <v>47</v>
      </c>
      <c r="E86" s="1" t="b">
        <v>0</v>
      </c>
      <c r="F86" s="1" t="s">
        <v>35</v>
      </c>
      <c r="G86" s="1" t="str">
        <f t="array" ref="G86">XLOOKUP(A:A,'CategoriasSeções'!A:A,'CategoriasSeções'!B:B)</f>
        <v>APOIO ATENDIMENTO</v>
      </c>
      <c r="H86" s="1" t="s">
        <v>53</v>
      </c>
      <c r="I86" s="3">
        <v>45349.76736111111</v>
      </c>
      <c r="J86" s="3">
        <v>45349.76736111111</v>
      </c>
      <c r="K86" s="1" t="s">
        <v>489</v>
      </c>
      <c r="L86" s="1" t="s">
        <v>489</v>
      </c>
      <c r="M86" s="1" t="s">
        <v>38</v>
      </c>
      <c r="N86" s="1" t="s">
        <v>75</v>
      </c>
      <c r="O86" s="1" t="s">
        <v>39</v>
      </c>
      <c r="P86" s="1" t="s">
        <v>39</v>
      </c>
      <c r="Q86" s="3">
        <v>45349.76736111111</v>
      </c>
      <c r="R86" s="1" t="s">
        <v>490</v>
      </c>
      <c r="S86" s="1" t="s">
        <v>491</v>
      </c>
    </row>
    <row r="87" ht="62.25" customHeight="1">
      <c r="A87" s="1">
        <v>2.4503908210701E13</v>
      </c>
      <c r="B87" s="2" t="s">
        <v>493</v>
      </c>
      <c r="C87" s="1" t="s">
        <v>474</v>
      </c>
      <c r="D87" s="1" t="s">
        <v>47</v>
      </c>
      <c r="E87" s="1" t="b">
        <v>0</v>
      </c>
      <c r="F87" s="1" t="s">
        <v>35</v>
      </c>
      <c r="G87" s="1" t="str">
        <f t="array" ref="G87">XLOOKUP(A:A,'CategoriasSeções'!A:A,'CategoriasSeções'!B:B)</f>
        <v>Canais de Atendimento</v>
      </c>
      <c r="H87" s="1" t="s">
        <v>494</v>
      </c>
      <c r="I87" s="3">
        <v>45349.76527777778</v>
      </c>
      <c r="J87" s="3">
        <v>45349.76527777778</v>
      </c>
      <c r="K87" s="1" t="s">
        <v>495</v>
      </c>
      <c r="L87" s="1" t="s">
        <v>495</v>
      </c>
      <c r="M87" s="1" t="s">
        <v>38</v>
      </c>
      <c r="N87" s="1" t="s">
        <v>75</v>
      </c>
      <c r="O87" s="1" t="s">
        <v>39</v>
      </c>
      <c r="P87" s="1" t="s">
        <v>39</v>
      </c>
      <c r="Q87" s="3">
        <v>45349.76527777778</v>
      </c>
      <c r="R87" s="1" t="s">
        <v>496</v>
      </c>
      <c r="S87" s="1" t="s">
        <v>497</v>
      </c>
    </row>
    <row r="88" ht="62.25" customHeight="1">
      <c r="A88" s="1">
        <v>2.4503817095821E13</v>
      </c>
      <c r="B88" s="2" t="s">
        <v>499</v>
      </c>
      <c r="C88" s="1" t="s">
        <v>474</v>
      </c>
      <c r="D88" s="1" t="s">
        <v>47</v>
      </c>
      <c r="E88" s="1" t="b">
        <v>0</v>
      </c>
      <c r="F88" s="1" t="s">
        <v>35</v>
      </c>
      <c r="G88" s="1" t="str">
        <f t="array" ref="G88">XLOOKUP(A:A,'CategoriasSeções'!A:A,'CategoriasSeções'!B:B)</f>
        <v>APOIO ATENDIMENTO</v>
      </c>
      <c r="H88" s="1" t="s">
        <v>53</v>
      </c>
      <c r="I88" s="3">
        <v>45349.76388888889</v>
      </c>
      <c r="J88" s="3">
        <v>45349.76388888889</v>
      </c>
      <c r="K88" s="1" t="s">
        <v>500</v>
      </c>
      <c r="L88" s="1" t="s">
        <v>500</v>
      </c>
      <c r="M88" s="1" t="s">
        <v>38</v>
      </c>
      <c r="N88" s="1" t="s">
        <v>75</v>
      </c>
      <c r="O88" s="1" t="s">
        <v>39</v>
      </c>
      <c r="P88" s="1" t="s">
        <v>39</v>
      </c>
      <c r="Q88" s="3">
        <v>45349.76388888889</v>
      </c>
      <c r="R88" s="1" t="s">
        <v>501</v>
      </c>
      <c r="S88" s="1" t="s">
        <v>502</v>
      </c>
    </row>
    <row r="89" ht="62.25" customHeight="1">
      <c r="A89" s="1">
        <v>2.4503739866381E13</v>
      </c>
      <c r="B89" s="2" t="s">
        <v>504</v>
      </c>
      <c r="C89" s="1" t="s">
        <v>474</v>
      </c>
      <c r="D89" s="1" t="s">
        <v>47</v>
      </c>
      <c r="E89" s="1" t="b">
        <v>0</v>
      </c>
      <c r="F89" s="1" t="s">
        <v>35</v>
      </c>
      <c r="G89" s="1" t="str">
        <f t="array" ref="G89">XLOOKUP(A:A,'CategoriasSeções'!A:A,'CategoriasSeções'!B:B)</f>
        <v>APOIO ATENDIMENTO</v>
      </c>
      <c r="H89" s="1" t="s">
        <v>53</v>
      </c>
      <c r="I89" s="3">
        <v>45349.7625</v>
      </c>
      <c r="J89" s="3">
        <v>45349.7625</v>
      </c>
      <c r="K89" s="1" t="s">
        <v>505</v>
      </c>
      <c r="L89" s="1" t="s">
        <v>505</v>
      </c>
      <c r="M89" s="1" t="s">
        <v>38</v>
      </c>
      <c r="N89" s="1" t="s">
        <v>75</v>
      </c>
      <c r="O89" s="1" t="s">
        <v>39</v>
      </c>
      <c r="P89" s="1" t="s">
        <v>39</v>
      </c>
      <c r="Q89" s="3">
        <v>45349.7625</v>
      </c>
      <c r="R89" s="1" t="s">
        <v>506</v>
      </c>
      <c r="S89" s="1" t="s">
        <v>507</v>
      </c>
    </row>
    <row r="90" ht="62.25" customHeight="1">
      <c r="A90" s="1">
        <v>2.4503660244237E13</v>
      </c>
      <c r="B90" s="2" t="s">
        <v>509</v>
      </c>
      <c r="C90" s="1" t="s">
        <v>474</v>
      </c>
      <c r="D90" s="1" t="s">
        <v>47</v>
      </c>
      <c r="E90" s="1" t="b">
        <v>0</v>
      </c>
      <c r="F90" s="1" t="s">
        <v>35</v>
      </c>
      <c r="G90" s="1" t="str">
        <f t="array" ref="G90">XLOOKUP(A:A,'CategoriasSeções'!A:A,'CategoriasSeções'!B:B)</f>
        <v>APOIO ATENDIMENTO</v>
      </c>
      <c r="H90" s="1" t="s">
        <v>53</v>
      </c>
      <c r="I90" s="3">
        <v>45349.76111111111</v>
      </c>
      <c r="J90" s="3">
        <v>45349.76111111111</v>
      </c>
      <c r="K90" s="1" t="s">
        <v>510</v>
      </c>
      <c r="L90" s="1" t="s">
        <v>510</v>
      </c>
      <c r="M90" s="1" t="s">
        <v>38</v>
      </c>
      <c r="N90" s="1" t="s">
        <v>75</v>
      </c>
      <c r="O90" s="1" t="s">
        <v>39</v>
      </c>
      <c r="P90" s="1" t="s">
        <v>39</v>
      </c>
      <c r="Q90" s="3">
        <v>45349.76111111111</v>
      </c>
      <c r="R90" s="1" t="s">
        <v>511</v>
      </c>
      <c r="S90" s="1" t="s">
        <v>512</v>
      </c>
    </row>
    <row r="91" ht="62.25" customHeight="1">
      <c r="A91" s="1">
        <v>2.4500388349325E13</v>
      </c>
      <c r="B91" s="2" t="s">
        <v>514</v>
      </c>
      <c r="C91" s="1" t="s">
        <v>474</v>
      </c>
      <c r="D91" s="1" t="s">
        <v>47</v>
      </c>
      <c r="E91" s="1" t="b">
        <v>0</v>
      </c>
      <c r="F91" s="1" t="s">
        <v>35</v>
      </c>
      <c r="G91" s="1" t="str">
        <f t="array" ref="G91">XLOOKUP(A:A,'CategoriasSeções'!A:A,'CategoriasSeções'!B:B)</f>
        <v>Dúvidas Gerais</v>
      </c>
      <c r="H91" s="1" t="s">
        <v>85</v>
      </c>
      <c r="I91" s="3">
        <v>45349.708333333336</v>
      </c>
      <c r="J91" s="3">
        <v>45526.57638888889</v>
      </c>
      <c r="K91" s="1" t="s">
        <v>515</v>
      </c>
      <c r="L91" s="1" t="s">
        <v>515</v>
      </c>
      <c r="M91" s="1" t="s">
        <v>38</v>
      </c>
      <c r="N91" s="1" t="s">
        <v>75</v>
      </c>
      <c r="O91" s="1" t="s">
        <v>39</v>
      </c>
      <c r="P91" s="1" t="s">
        <v>39</v>
      </c>
      <c r="Q91" s="3">
        <v>45349.708333333336</v>
      </c>
      <c r="R91" s="1" t="s">
        <v>516</v>
      </c>
      <c r="S91" s="1" t="s">
        <v>517</v>
      </c>
    </row>
    <row r="92" ht="62.25" customHeight="1">
      <c r="A92" s="1">
        <v>2.4500060040333E13</v>
      </c>
      <c r="B92" s="2" t="s">
        <v>519</v>
      </c>
      <c r="C92" s="1" t="s">
        <v>474</v>
      </c>
      <c r="D92" s="1" t="s">
        <v>47</v>
      </c>
      <c r="E92" s="1" t="b">
        <v>0</v>
      </c>
      <c r="F92" s="1" t="s">
        <v>35</v>
      </c>
      <c r="G92" s="1" t="str">
        <f t="array" ref="G92">XLOOKUP(A:A,'CategoriasSeções'!A:A,'CategoriasSeções'!B:B)</f>
        <v>APOIO ATENDIMENTO</v>
      </c>
      <c r="H92" s="1" t="s">
        <v>36</v>
      </c>
      <c r="I92" s="3">
        <v>45349.70208333333</v>
      </c>
      <c r="J92" s="3">
        <v>45349.70208333333</v>
      </c>
      <c r="K92" s="1" t="s">
        <v>520</v>
      </c>
      <c r="L92" s="1" t="s">
        <v>520</v>
      </c>
      <c r="M92" s="1" t="s">
        <v>38</v>
      </c>
      <c r="N92" s="1" t="s">
        <v>75</v>
      </c>
      <c r="O92" s="1" t="s">
        <v>39</v>
      </c>
      <c r="P92" s="1" t="s">
        <v>39</v>
      </c>
      <c r="Q92" s="3">
        <v>45349.70208333333</v>
      </c>
      <c r="R92" s="1" t="s">
        <v>521</v>
      </c>
      <c r="S92" s="1" t="s">
        <v>522</v>
      </c>
    </row>
    <row r="93" ht="62.25" customHeight="1">
      <c r="A93" s="1">
        <v>2.4499751348109E13</v>
      </c>
      <c r="B93" s="2" t="s">
        <v>524</v>
      </c>
      <c r="C93" s="1" t="s">
        <v>474</v>
      </c>
      <c r="D93" s="1" t="s">
        <v>47</v>
      </c>
      <c r="E93" s="1" t="b">
        <v>0</v>
      </c>
      <c r="F93" s="1" t="s">
        <v>35</v>
      </c>
      <c r="G93" s="1" t="str">
        <f t="array" ref="G93">XLOOKUP(A:A,'CategoriasSeções'!A:A,'CategoriasSeções'!B:B)</f>
        <v>APOIO ATENDIMENTO</v>
      </c>
      <c r="H93" s="1" t="s">
        <v>36</v>
      </c>
      <c r="I93" s="3">
        <v>45349.697222222225</v>
      </c>
      <c r="J93" s="3">
        <v>45349.697222222225</v>
      </c>
      <c r="K93" s="1" t="s">
        <v>525</v>
      </c>
      <c r="L93" s="1" t="s">
        <v>525</v>
      </c>
      <c r="M93" s="1" t="s">
        <v>38</v>
      </c>
      <c r="N93" s="1" t="s">
        <v>75</v>
      </c>
      <c r="O93" s="1" t="s">
        <v>39</v>
      </c>
      <c r="P93" s="1" t="s">
        <v>39</v>
      </c>
      <c r="Q93" s="3">
        <v>45349.697222222225</v>
      </c>
      <c r="R93" s="1" t="s">
        <v>526</v>
      </c>
      <c r="S93" s="1" t="s">
        <v>527</v>
      </c>
    </row>
    <row r="94" ht="62.25" customHeight="1">
      <c r="A94" s="1">
        <v>2.4466294676109E13</v>
      </c>
      <c r="B94" s="2" t="s">
        <v>529</v>
      </c>
      <c r="C94" s="1" t="s">
        <v>474</v>
      </c>
      <c r="D94" s="1" t="s">
        <v>47</v>
      </c>
      <c r="E94" s="1" t="b">
        <v>0</v>
      </c>
      <c r="F94" s="1" t="s">
        <v>35</v>
      </c>
      <c r="G94" s="1" t="str">
        <f t="array" ref="G94">XLOOKUP(A:A,'CategoriasSeções'!A:A,'CategoriasSeções'!B:B)</f>
        <v>APOIO ATENDIMENTO</v>
      </c>
      <c r="H94" s="1" t="s">
        <v>36</v>
      </c>
      <c r="I94" s="3">
        <v>45348.756944444445</v>
      </c>
      <c r="J94" s="3">
        <v>45526.57638888889</v>
      </c>
      <c r="K94" s="1" t="s">
        <v>530</v>
      </c>
      <c r="L94" s="1" t="s">
        <v>530</v>
      </c>
      <c r="M94" s="1" t="s">
        <v>38</v>
      </c>
      <c r="N94" s="1" t="s">
        <v>75</v>
      </c>
      <c r="O94" s="1" t="s">
        <v>39</v>
      </c>
      <c r="P94" s="1" t="s">
        <v>39</v>
      </c>
      <c r="Q94" s="3">
        <v>45348.756944444445</v>
      </c>
      <c r="R94" s="1" t="s">
        <v>55</v>
      </c>
      <c r="S94" s="1" t="s">
        <v>531</v>
      </c>
    </row>
    <row r="95" ht="62.25" customHeight="1">
      <c r="A95" s="1">
        <v>2.4416965172109E13</v>
      </c>
      <c r="B95" s="2" t="s">
        <v>533</v>
      </c>
      <c r="C95" s="1" t="s">
        <v>437</v>
      </c>
      <c r="D95" s="1" t="s">
        <v>47</v>
      </c>
      <c r="E95" s="1" t="b">
        <v>0</v>
      </c>
      <c r="F95" s="1" t="s">
        <v>35</v>
      </c>
      <c r="G95" s="1" t="str">
        <f t="array" ref="G95">XLOOKUP(A:A,'CategoriasSeções'!A:A,'CategoriasSeções'!B:B)</f>
        <v>APOIO ATENDIMENTO</v>
      </c>
      <c r="H95" s="1" t="s">
        <v>36</v>
      </c>
      <c r="I95" s="3">
        <v>45346.59930555556</v>
      </c>
      <c r="J95" s="3">
        <v>45346.61041666667</v>
      </c>
      <c r="K95" s="1" t="s">
        <v>534</v>
      </c>
      <c r="L95" s="1" t="s">
        <v>534</v>
      </c>
      <c r="M95" s="1" t="s">
        <v>38</v>
      </c>
      <c r="N95" s="1" t="s">
        <v>75</v>
      </c>
      <c r="O95" s="1" t="s">
        <v>39</v>
      </c>
      <c r="P95" s="1" t="s">
        <v>39</v>
      </c>
      <c r="Q95" s="3">
        <v>45346.61041666667</v>
      </c>
      <c r="R95" s="1" t="s">
        <v>55</v>
      </c>
      <c r="S95" s="1" t="s">
        <v>536</v>
      </c>
    </row>
    <row r="96" ht="62.25" customHeight="1">
      <c r="A96" s="1">
        <v>2.4415735639053E13</v>
      </c>
      <c r="B96" s="2" t="s">
        <v>538</v>
      </c>
      <c r="C96" s="1" t="s">
        <v>474</v>
      </c>
      <c r="D96" s="1" t="s">
        <v>34</v>
      </c>
      <c r="E96" s="1" t="b">
        <v>0</v>
      </c>
      <c r="F96" s="1" t="s">
        <v>35</v>
      </c>
      <c r="G96" s="1" t="str">
        <f t="array" ref="G96">XLOOKUP(A:A,'CategoriasSeções'!A:A,'CategoriasSeções'!B:B)</f>
        <v>APOIO ATENDIMENTO</v>
      </c>
      <c r="H96" s="1" t="s">
        <v>36</v>
      </c>
      <c r="I96" s="3">
        <v>45346.544444444444</v>
      </c>
      <c r="J96" s="3">
        <v>45722.525</v>
      </c>
      <c r="K96" s="1" t="s">
        <v>539</v>
      </c>
      <c r="L96" s="1" t="s">
        <v>539</v>
      </c>
      <c r="M96" s="1" t="s">
        <v>38</v>
      </c>
      <c r="N96" s="1" t="s">
        <v>75</v>
      </c>
      <c r="O96" s="1" t="s">
        <v>39</v>
      </c>
      <c r="P96" s="1" t="s">
        <v>39</v>
      </c>
      <c r="Q96" s="3">
        <v>45346.544444444444</v>
      </c>
      <c r="R96" s="1" t="s">
        <v>540</v>
      </c>
      <c r="S96" s="1" t="s">
        <v>541</v>
      </c>
    </row>
    <row r="97" ht="62.25" customHeight="1">
      <c r="A97" s="1">
        <v>2.4415359538957E13</v>
      </c>
      <c r="B97" s="2" t="s">
        <v>543</v>
      </c>
      <c r="C97" s="1" t="s">
        <v>228</v>
      </c>
      <c r="D97" s="1" t="s">
        <v>34</v>
      </c>
      <c r="E97" s="1" t="b">
        <v>0</v>
      </c>
      <c r="F97" s="1" t="s">
        <v>35</v>
      </c>
      <c r="G97" s="1" t="str">
        <f t="array" ref="G97">XLOOKUP(A:A,'CategoriasSeções'!A:A,'CategoriasSeções'!B:B)</f>
        <v>APOIO ATENDIMENTO</v>
      </c>
      <c r="H97" s="1" t="s">
        <v>36</v>
      </c>
      <c r="I97" s="3">
        <v>45346.52847222222</v>
      </c>
      <c r="J97" s="3">
        <v>45526.55972222222</v>
      </c>
      <c r="K97" s="1" t="s">
        <v>544</v>
      </c>
      <c r="L97" s="1" t="s">
        <v>544</v>
      </c>
      <c r="M97" s="1" t="s">
        <v>38</v>
      </c>
      <c r="N97" s="1" t="s">
        <v>75</v>
      </c>
      <c r="O97" s="1" t="s">
        <v>39</v>
      </c>
      <c r="P97" s="1" t="s">
        <v>39</v>
      </c>
      <c r="Q97" s="3">
        <v>45346.56736111111</v>
      </c>
      <c r="R97" s="1" t="s">
        <v>546</v>
      </c>
      <c r="S97" s="1" t="s">
        <v>547</v>
      </c>
    </row>
    <row r="98" ht="62.25" customHeight="1">
      <c r="A98" s="1">
        <v>2.4369015719949E13</v>
      </c>
      <c r="B98" s="2" t="s">
        <v>549</v>
      </c>
      <c r="C98" s="1" t="s">
        <v>437</v>
      </c>
      <c r="D98" s="1" t="s">
        <v>34</v>
      </c>
      <c r="E98" s="1" t="b">
        <v>0</v>
      </c>
      <c r="F98" s="1" t="s">
        <v>35</v>
      </c>
      <c r="G98" s="1" t="str">
        <f t="array" ref="G98">XLOOKUP(A:A,'CategoriasSeções'!A:A,'CategoriasSeções'!B:B)</f>
        <v>APOIO ATENDIMENTO</v>
      </c>
      <c r="H98" s="1" t="s">
        <v>36</v>
      </c>
      <c r="I98" s="3">
        <v>45344.85277777778</v>
      </c>
      <c r="J98" s="3">
        <v>45526.611805555556</v>
      </c>
      <c r="K98" s="1" t="s">
        <v>550</v>
      </c>
      <c r="L98" s="1" t="s">
        <v>550</v>
      </c>
      <c r="M98" s="1" t="s">
        <v>38</v>
      </c>
      <c r="N98" s="1" t="s">
        <v>75</v>
      </c>
      <c r="O98" s="1" t="s">
        <v>39</v>
      </c>
      <c r="P98" s="1" t="s">
        <v>39</v>
      </c>
      <c r="Q98" s="3">
        <v>45395.55138888889</v>
      </c>
      <c r="R98" s="1" t="s">
        <v>551</v>
      </c>
      <c r="S98" s="1" t="s">
        <v>552</v>
      </c>
    </row>
    <row r="99" ht="62.25" customHeight="1">
      <c r="A99" s="1">
        <v>2.4364194894989E13</v>
      </c>
      <c r="B99" s="2" t="s">
        <v>554</v>
      </c>
      <c r="C99" s="1" t="s">
        <v>437</v>
      </c>
      <c r="D99" s="1" t="s">
        <v>34</v>
      </c>
      <c r="E99" s="1" t="b">
        <v>0</v>
      </c>
      <c r="F99" s="1" t="s">
        <v>35</v>
      </c>
      <c r="G99" s="1" t="str">
        <f t="array" ref="G99">XLOOKUP(A:A,'CategoriasSeções'!A:A,'CategoriasSeções'!B:B)</f>
        <v>APOIO ATENDIMENTO</v>
      </c>
      <c r="H99" s="1" t="s">
        <v>36</v>
      </c>
      <c r="I99" s="3">
        <v>45344.7625</v>
      </c>
      <c r="J99" s="3">
        <v>45353.58125</v>
      </c>
      <c r="K99" s="1" t="s">
        <v>555</v>
      </c>
      <c r="L99" s="1" t="s">
        <v>555</v>
      </c>
      <c r="M99" s="1" t="s">
        <v>38</v>
      </c>
      <c r="N99" s="1" t="s">
        <v>75</v>
      </c>
      <c r="O99" s="1" t="s">
        <v>39</v>
      </c>
      <c r="P99" s="1" t="s">
        <v>39</v>
      </c>
      <c r="Q99" s="3">
        <v>45353.58125</v>
      </c>
      <c r="R99" s="1" t="s">
        <v>557</v>
      </c>
      <c r="S99" s="1" t="s">
        <v>558</v>
      </c>
    </row>
    <row r="100" ht="62.25" customHeight="1">
      <c r="A100" s="1">
        <v>2.4364089757965E13</v>
      </c>
      <c r="B100" s="2" t="s">
        <v>560</v>
      </c>
      <c r="C100" s="1" t="s">
        <v>474</v>
      </c>
      <c r="D100" s="1" t="s">
        <v>47</v>
      </c>
      <c r="E100" s="1" t="b">
        <v>0</v>
      </c>
      <c r="F100" s="1" t="s">
        <v>35</v>
      </c>
      <c r="G100" s="1" t="str">
        <f t="array" ref="G100">XLOOKUP(A:A,'CategoriasSeções'!A:A,'CategoriasSeções'!B:B)</f>
        <v>APOIO ATENDIMENTO</v>
      </c>
      <c r="H100" s="1" t="s">
        <v>36</v>
      </c>
      <c r="I100" s="3">
        <v>45344.76111111111</v>
      </c>
      <c r="J100" s="3">
        <v>45722.71944444445</v>
      </c>
      <c r="K100" s="1" t="s">
        <v>561</v>
      </c>
      <c r="L100" s="1" t="s">
        <v>561</v>
      </c>
      <c r="M100" s="1" t="s">
        <v>38</v>
      </c>
      <c r="N100" s="1" t="s">
        <v>75</v>
      </c>
      <c r="O100" s="1" t="s">
        <v>39</v>
      </c>
      <c r="P100" s="1" t="s">
        <v>39</v>
      </c>
      <c r="Q100" s="3">
        <v>45722.71944444445</v>
      </c>
      <c r="R100" s="1" t="s">
        <v>55</v>
      </c>
      <c r="S100" s="1" t="s">
        <v>562</v>
      </c>
    </row>
    <row r="101" ht="62.25" customHeight="1">
      <c r="A101" s="1">
        <v>2.4329379792397E13</v>
      </c>
      <c r="B101" s="2" t="s">
        <v>564</v>
      </c>
      <c r="C101" s="1" t="s">
        <v>437</v>
      </c>
      <c r="D101" s="1" t="s">
        <v>34</v>
      </c>
      <c r="E101" s="1" t="b">
        <v>0</v>
      </c>
      <c r="F101" s="1" t="s">
        <v>35</v>
      </c>
      <c r="G101" s="1" t="str">
        <f t="array" ref="G101">XLOOKUP(A:A,'CategoriasSeções'!A:A,'CategoriasSeções'!B:B)</f>
        <v>APOIO ATENDIMENTO</v>
      </c>
      <c r="H101" s="1" t="s">
        <v>36</v>
      </c>
      <c r="I101" s="3">
        <v>45343.75208333333</v>
      </c>
      <c r="J101" s="3">
        <v>45526.620833333334</v>
      </c>
      <c r="K101" s="1" t="s">
        <v>565</v>
      </c>
      <c r="L101" s="1" t="s">
        <v>565</v>
      </c>
      <c r="M101" s="1" t="s">
        <v>38</v>
      </c>
      <c r="N101" s="1" t="s">
        <v>75</v>
      </c>
      <c r="O101" s="1" t="s">
        <v>39</v>
      </c>
      <c r="P101" s="1" t="s">
        <v>39</v>
      </c>
      <c r="Q101" s="3">
        <v>45346.50208333333</v>
      </c>
      <c r="R101" s="1" t="s">
        <v>55</v>
      </c>
      <c r="S101" s="1" t="s">
        <v>567</v>
      </c>
    </row>
    <row r="102" ht="62.25" customHeight="1">
      <c r="A102" s="1">
        <v>2.4319729697549E13</v>
      </c>
      <c r="B102" s="2" t="s">
        <v>569</v>
      </c>
      <c r="C102" s="1" t="s">
        <v>437</v>
      </c>
      <c r="D102" s="1" t="s">
        <v>47</v>
      </c>
      <c r="E102" s="1" t="b">
        <v>0</v>
      </c>
      <c r="F102" s="1" t="s">
        <v>35</v>
      </c>
      <c r="G102" s="1" t="str">
        <f t="array" ref="G102">XLOOKUP(A:A,'CategoriasSeções'!A:A,'CategoriasSeções'!B:B)</f>
        <v>APOIO ATENDIMENTO</v>
      </c>
      <c r="H102" s="1" t="s">
        <v>36</v>
      </c>
      <c r="I102" s="3">
        <v>45343.600694444445</v>
      </c>
      <c r="J102" s="3">
        <v>45526.552777777775</v>
      </c>
      <c r="K102" s="1" t="s">
        <v>570</v>
      </c>
      <c r="L102" s="1" t="s">
        <v>570</v>
      </c>
      <c r="M102" s="1" t="s">
        <v>38</v>
      </c>
      <c r="N102" s="1" t="s">
        <v>75</v>
      </c>
      <c r="O102" s="1" t="s">
        <v>39</v>
      </c>
      <c r="P102" s="1" t="s">
        <v>39</v>
      </c>
      <c r="Q102" s="3">
        <v>45343.600694444445</v>
      </c>
      <c r="R102" s="1" t="s">
        <v>571</v>
      </c>
      <c r="S102" s="1" t="s">
        <v>572</v>
      </c>
    </row>
    <row r="103" ht="62.25" customHeight="1">
      <c r="A103" s="1">
        <v>2.4281357697933E13</v>
      </c>
      <c r="B103" s="2" t="s">
        <v>574</v>
      </c>
      <c r="C103" s="1" t="s">
        <v>474</v>
      </c>
      <c r="D103" s="1" t="s">
        <v>47</v>
      </c>
      <c r="E103" s="1" t="b">
        <v>0</v>
      </c>
      <c r="F103" s="1" t="s">
        <v>35</v>
      </c>
      <c r="G103" s="1" t="str">
        <f t="array" ref="G103">XLOOKUP(A:A,'CategoriasSeções'!A:A,'CategoriasSeções'!B:B)</f>
        <v>APOIO ATENDIMENTO</v>
      </c>
      <c r="H103" s="1" t="s">
        <v>36</v>
      </c>
      <c r="I103" s="3">
        <v>45342.563888888886</v>
      </c>
      <c r="J103" s="3">
        <v>45526.46388888889</v>
      </c>
      <c r="K103" s="1" t="s">
        <v>575</v>
      </c>
      <c r="L103" s="1" t="s">
        <v>575</v>
      </c>
      <c r="M103" s="1" t="s">
        <v>38</v>
      </c>
      <c r="N103" s="1" t="s">
        <v>75</v>
      </c>
      <c r="O103" s="1" t="s">
        <v>39</v>
      </c>
      <c r="P103" s="1" t="s">
        <v>39</v>
      </c>
      <c r="Q103" s="3">
        <v>45342.563888888886</v>
      </c>
      <c r="R103" s="1" t="s">
        <v>55</v>
      </c>
      <c r="S103" s="1" t="s">
        <v>576</v>
      </c>
    </row>
    <row r="104" ht="62.25" customHeight="1">
      <c r="A104" s="1">
        <v>2.4278130169997E13</v>
      </c>
      <c r="B104" s="2" t="s">
        <v>578</v>
      </c>
      <c r="C104" s="1" t="s">
        <v>410</v>
      </c>
      <c r="D104" s="1" t="s">
        <v>34</v>
      </c>
      <c r="E104" s="1" t="b">
        <v>0</v>
      </c>
      <c r="F104" s="1" t="s">
        <v>35</v>
      </c>
      <c r="G104" s="1" t="str">
        <f t="array" ref="G104">XLOOKUP(A:A,'CategoriasSeções'!A:A,'CategoriasSeções'!B:B)</f>
        <v>APOIO ATENDIMENTO</v>
      </c>
      <c r="H104" s="1" t="s">
        <v>579</v>
      </c>
      <c r="I104" s="3">
        <v>45342.48333333333</v>
      </c>
      <c r="J104" s="3">
        <v>45342.4875</v>
      </c>
      <c r="K104" s="1" t="s">
        <v>580</v>
      </c>
      <c r="L104" s="1" t="s">
        <v>580</v>
      </c>
      <c r="M104" s="1" t="s">
        <v>38</v>
      </c>
      <c r="N104" s="1" t="s">
        <v>75</v>
      </c>
      <c r="O104" s="1" t="s">
        <v>39</v>
      </c>
      <c r="P104" s="1" t="s">
        <v>39</v>
      </c>
      <c r="Q104" s="3">
        <v>45342.4875</v>
      </c>
      <c r="R104" s="1" t="s">
        <v>581</v>
      </c>
      <c r="S104" s="1" t="s">
        <v>582</v>
      </c>
    </row>
    <row r="105" ht="62.25" customHeight="1">
      <c r="A105" s="1">
        <v>2.4204949822605E13</v>
      </c>
      <c r="B105" s="2" t="s">
        <v>584</v>
      </c>
      <c r="C105" s="1" t="s">
        <v>437</v>
      </c>
      <c r="D105" s="1" t="s">
        <v>47</v>
      </c>
      <c r="E105" s="1" t="b">
        <v>0</v>
      </c>
      <c r="F105" s="1" t="s">
        <v>35</v>
      </c>
      <c r="G105" s="1" t="str">
        <f t="array" ref="G105">XLOOKUP(A:A,'CategoriasSeções'!A:A,'CategoriasSeções'!B:B)</f>
        <v>APOIO ATENDIMENTO</v>
      </c>
      <c r="H105" s="1" t="s">
        <v>36</v>
      </c>
      <c r="I105" s="3">
        <v>45339.60208333333</v>
      </c>
      <c r="J105" s="3">
        <v>45339.60208333333</v>
      </c>
      <c r="K105" s="1" t="s">
        <v>585</v>
      </c>
      <c r="L105" s="1" t="s">
        <v>585</v>
      </c>
      <c r="M105" s="1" t="s">
        <v>38</v>
      </c>
      <c r="N105" s="1" t="s">
        <v>75</v>
      </c>
      <c r="O105" s="1" t="s">
        <v>39</v>
      </c>
      <c r="P105" s="1" t="s">
        <v>39</v>
      </c>
      <c r="Q105" s="3">
        <v>45339.60208333333</v>
      </c>
      <c r="R105" s="1" t="s">
        <v>55</v>
      </c>
      <c r="S105" s="1" t="s">
        <v>586</v>
      </c>
    </row>
    <row r="106" ht="62.25" customHeight="1">
      <c r="A106" s="1">
        <v>2.4204752747277E13</v>
      </c>
      <c r="B106" s="2" t="s">
        <v>588</v>
      </c>
      <c r="C106" s="1" t="s">
        <v>437</v>
      </c>
      <c r="D106" s="1" t="s">
        <v>34</v>
      </c>
      <c r="E106" s="1" t="b">
        <v>0</v>
      </c>
      <c r="F106" s="1" t="s">
        <v>35</v>
      </c>
      <c r="G106" s="1" t="str">
        <f t="array" ref="G106">XLOOKUP(A:A,'CategoriasSeções'!A:A,'CategoriasSeções'!B:B)</f>
        <v>APOIO ATENDIMENTO</v>
      </c>
      <c r="H106" s="1" t="s">
        <v>36</v>
      </c>
      <c r="I106" s="3">
        <v>45339.59444444445</v>
      </c>
      <c r="J106" s="3">
        <v>45353.57986111111</v>
      </c>
      <c r="K106" s="1" t="s">
        <v>589</v>
      </c>
      <c r="L106" s="1" t="s">
        <v>589</v>
      </c>
      <c r="M106" s="1" t="s">
        <v>38</v>
      </c>
      <c r="N106" s="1" t="s">
        <v>75</v>
      </c>
      <c r="O106" s="1" t="s">
        <v>39</v>
      </c>
      <c r="P106" s="1" t="s">
        <v>39</v>
      </c>
      <c r="Q106" s="3">
        <v>45353.57986111111</v>
      </c>
      <c r="R106" s="1" t="s">
        <v>55</v>
      </c>
      <c r="S106" s="1" t="s">
        <v>591</v>
      </c>
    </row>
    <row r="107" ht="62.25" customHeight="1">
      <c r="A107" s="1">
        <v>2.4023737865997E13</v>
      </c>
      <c r="B107" s="2" t="s">
        <v>593</v>
      </c>
      <c r="C107" s="1" t="s">
        <v>474</v>
      </c>
      <c r="D107" s="1" t="s">
        <v>47</v>
      </c>
      <c r="E107" s="1" t="b">
        <v>0</v>
      </c>
      <c r="F107" s="1" t="s">
        <v>35</v>
      </c>
      <c r="G107" s="1" t="str">
        <f t="array" ref="G107">XLOOKUP(A:A,'CategoriasSeções'!A:A,'CategoriasSeções'!B:B)</f>
        <v>APOIO ATENDIMENTO</v>
      </c>
      <c r="H107" s="1" t="s">
        <v>36</v>
      </c>
      <c r="I107" s="3">
        <v>45332.575694444444</v>
      </c>
      <c r="J107" s="3">
        <v>45526.55972222222</v>
      </c>
      <c r="K107" s="1" t="s">
        <v>594</v>
      </c>
      <c r="L107" s="1" t="s">
        <v>594</v>
      </c>
      <c r="M107" s="1" t="s">
        <v>38</v>
      </c>
      <c r="N107" s="1" t="s">
        <v>75</v>
      </c>
      <c r="O107" s="1" t="s">
        <v>39</v>
      </c>
      <c r="P107" s="1" t="s">
        <v>39</v>
      </c>
      <c r="Q107" s="3">
        <v>45346.55138888889</v>
      </c>
      <c r="R107" s="1" t="s">
        <v>55</v>
      </c>
      <c r="S107" s="1" t="s">
        <v>595</v>
      </c>
    </row>
    <row r="108" ht="62.25" customHeight="1">
      <c r="A108" s="1">
        <v>2.3943883896589E13</v>
      </c>
      <c r="B108" s="2" t="s">
        <v>597</v>
      </c>
      <c r="C108" s="1" t="s">
        <v>410</v>
      </c>
      <c r="D108" s="1" t="s">
        <v>34</v>
      </c>
      <c r="E108" s="1" t="b">
        <v>0</v>
      </c>
      <c r="F108" s="1" t="s">
        <v>35</v>
      </c>
      <c r="G108" s="1" t="str">
        <f t="array" ref="G108">XLOOKUP(A:A,'CategoriasSeções'!A:A,'CategoriasSeções'!B:B)</f>
        <v>Comunicados</v>
      </c>
      <c r="H108" s="1" t="s">
        <v>229</v>
      </c>
      <c r="I108" s="3">
        <v>45329.816666666666</v>
      </c>
      <c r="J108" s="3">
        <v>45526.52222222222</v>
      </c>
      <c r="K108" s="1" t="s">
        <v>598</v>
      </c>
      <c r="L108" s="1" t="s">
        <v>598</v>
      </c>
      <c r="M108" s="1" t="s">
        <v>38</v>
      </c>
      <c r="N108" s="1" t="s">
        <v>75</v>
      </c>
      <c r="O108" s="1" t="s">
        <v>69</v>
      </c>
      <c r="P108" s="1" t="s">
        <v>69</v>
      </c>
      <c r="Q108" s="3">
        <v>45329.82152777778</v>
      </c>
      <c r="R108" s="1" t="s">
        <v>55</v>
      </c>
      <c r="S108" s="1" t="s">
        <v>599</v>
      </c>
    </row>
    <row r="109" ht="62.25" customHeight="1">
      <c r="A109" s="1">
        <v>2.3333132191117E13</v>
      </c>
      <c r="B109" s="2" t="s">
        <v>601</v>
      </c>
      <c r="C109" s="1" t="s">
        <v>437</v>
      </c>
      <c r="D109" s="1" t="s">
        <v>34</v>
      </c>
      <c r="E109" s="1" t="b">
        <v>0</v>
      </c>
      <c r="F109" s="1" t="s">
        <v>35</v>
      </c>
      <c r="G109" s="1" t="str">
        <f t="array" ref="G109">XLOOKUP(A:A,'CategoriasSeções'!A:A,'CategoriasSeções'!B:B)</f>
        <v>APOIO ATENDIMENTO</v>
      </c>
      <c r="H109" s="1" t="s">
        <v>36</v>
      </c>
      <c r="I109" s="3">
        <v>45309.87152777778</v>
      </c>
      <c r="J109" s="3">
        <v>45395.56597222222</v>
      </c>
      <c r="K109" s="1" t="s">
        <v>602</v>
      </c>
      <c r="L109" s="1" t="s">
        <v>602</v>
      </c>
      <c r="M109" s="1" t="s">
        <v>38</v>
      </c>
      <c r="N109" s="1" t="s">
        <v>75</v>
      </c>
      <c r="O109" s="1" t="s">
        <v>39</v>
      </c>
      <c r="P109" s="1" t="s">
        <v>39</v>
      </c>
      <c r="Q109" s="3">
        <v>45395.56597222222</v>
      </c>
      <c r="R109" s="1" t="s">
        <v>603</v>
      </c>
      <c r="S109" s="1" t="s">
        <v>604</v>
      </c>
    </row>
    <row r="110" ht="62.25" customHeight="1">
      <c r="A110" s="1">
        <v>2.3331971505165E13</v>
      </c>
      <c r="B110" s="2" t="s">
        <v>606</v>
      </c>
      <c r="C110" s="1" t="s">
        <v>437</v>
      </c>
      <c r="D110" s="1" t="s">
        <v>34</v>
      </c>
      <c r="E110" s="1" t="b">
        <v>0</v>
      </c>
      <c r="F110" s="1" t="s">
        <v>35</v>
      </c>
      <c r="G110" s="1" t="str">
        <f t="array" ref="G110">XLOOKUP(A:A,'CategoriasSeções'!A:A,'CategoriasSeções'!B:B)</f>
        <v>APOIO ATENDIMENTO</v>
      </c>
      <c r="H110" s="1" t="s">
        <v>36</v>
      </c>
      <c r="I110" s="3">
        <v>45309.847916666666</v>
      </c>
      <c r="J110" s="3">
        <v>45526.603472222225</v>
      </c>
      <c r="K110" s="1" t="s">
        <v>607</v>
      </c>
      <c r="L110" s="1" t="s">
        <v>607</v>
      </c>
      <c r="M110" s="1" t="s">
        <v>38</v>
      </c>
      <c r="N110" s="1" t="s">
        <v>75</v>
      </c>
      <c r="O110" s="1" t="s">
        <v>39</v>
      </c>
      <c r="P110" s="1" t="s">
        <v>39</v>
      </c>
      <c r="Q110" s="3">
        <v>45395.54513888889</v>
      </c>
      <c r="R110" s="1" t="s">
        <v>609</v>
      </c>
      <c r="S110" s="1" t="s">
        <v>610</v>
      </c>
    </row>
    <row r="111" ht="62.25" customHeight="1">
      <c r="A111" s="1">
        <v>2.3317440954509E13</v>
      </c>
      <c r="B111" s="2" t="s">
        <v>612</v>
      </c>
      <c r="C111" s="1" t="s">
        <v>437</v>
      </c>
      <c r="D111" s="1" t="s">
        <v>34</v>
      </c>
      <c r="E111" s="1" t="b">
        <v>0</v>
      </c>
      <c r="F111" s="1" t="s">
        <v>35</v>
      </c>
      <c r="G111" s="1" t="str">
        <f t="array" ref="G111">XLOOKUP(A:A,'CategoriasSeções'!A:A,'CategoriasSeções'!B:B)</f>
        <v>APOIO ATENDIMENTO</v>
      </c>
      <c r="H111" s="1" t="s">
        <v>53</v>
      </c>
      <c r="I111" s="3">
        <v>45309.600694444445</v>
      </c>
      <c r="J111" s="3">
        <v>45377.51875</v>
      </c>
      <c r="K111" s="1" t="s">
        <v>613</v>
      </c>
      <c r="L111" s="1" t="s">
        <v>613</v>
      </c>
      <c r="M111" s="1" t="s">
        <v>38</v>
      </c>
      <c r="N111" s="1" t="s">
        <v>75</v>
      </c>
      <c r="O111" s="1" t="s">
        <v>39</v>
      </c>
      <c r="P111" s="1" t="s">
        <v>39</v>
      </c>
      <c r="Q111" s="3">
        <v>45377.51875</v>
      </c>
      <c r="R111" s="1" t="s">
        <v>615</v>
      </c>
      <c r="S111" s="1" t="s">
        <v>616</v>
      </c>
    </row>
    <row r="112" ht="62.25" customHeight="1">
      <c r="A112" s="1">
        <v>2.3120757650957E13</v>
      </c>
      <c r="B112" s="2" t="s">
        <v>618</v>
      </c>
      <c r="C112" s="1" t="s">
        <v>437</v>
      </c>
      <c r="D112" s="1" t="s">
        <v>34</v>
      </c>
      <c r="E112" s="1" t="b">
        <v>0</v>
      </c>
      <c r="F112" s="1" t="s">
        <v>35</v>
      </c>
      <c r="G112" s="1" t="str">
        <f t="array" ref="G112">XLOOKUP(A:A,'CategoriasSeções'!A:A,'CategoriasSeções'!B:B)</f>
        <v>APOIO ATENDIMENTO</v>
      </c>
      <c r="H112" s="1" t="s">
        <v>36</v>
      </c>
      <c r="I112" s="3">
        <v>45302.663194444445</v>
      </c>
      <c r="J112" s="3">
        <v>45302.663194444445</v>
      </c>
      <c r="K112" s="1" t="s">
        <v>619</v>
      </c>
      <c r="L112" s="1" t="s">
        <v>619</v>
      </c>
      <c r="M112" s="1" t="s">
        <v>38</v>
      </c>
      <c r="N112" s="1" t="s">
        <v>39</v>
      </c>
      <c r="O112" s="1" t="s">
        <v>39</v>
      </c>
      <c r="P112" s="1" t="s">
        <v>39</v>
      </c>
      <c r="Q112" s="3">
        <v>45302.663194444445</v>
      </c>
      <c r="R112" s="1" t="s">
        <v>621</v>
      </c>
      <c r="S112" s="1" t="s">
        <v>622</v>
      </c>
    </row>
    <row r="113" ht="62.25" customHeight="1">
      <c r="A113" s="1">
        <v>2.3047723490061E13</v>
      </c>
      <c r="B113" s="2" t="s">
        <v>624</v>
      </c>
      <c r="C113" s="1" t="s">
        <v>437</v>
      </c>
      <c r="D113" s="1" t="s">
        <v>34</v>
      </c>
      <c r="E113" s="1" t="b">
        <v>0</v>
      </c>
      <c r="F113" s="1" t="s">
        <v>35</v>
      </c>
      <c r="G113" s="1" t="str">
        <f t="array" ref="G113">XLOOKUP(A:A,'CategoriasSeções'!A:A,'CategoriasSeções'!B:B)</f>
        <v>APOIO ATENDIMENTO</v>
      </c>
      <c r="H113" s="1" t="s">
        <v>36</v>
      </c>
      <c r="I113" s="3">
        <v>45300.56597222222</v>
      </c>
      <c r="J113" s="3">
        <v>45300.56597222222</v>
      </c>
      <c r="K113" s="1" t="s">
        <v>625</v>
      </c>
      <c r="L113" s="1" t="s">
        <v>625</v>
      </c>
      <c r="M113" s="1" t="s">
        <v>38</v>
      </c>
      <c r="N113" s="1" t="s">
        <v>39</v>
      </c>
      <c r="O113" s="1" t="s">
        <v>39</v>
      </c>
      <c r="P113" s="1" t="s">
        <v>39</v>
      </c>
      <c r="Q113" s="3">
        <v>45300.56597222222</v>
      </c>
      <c r="R113" s="1" t="s">
        <v>627</v>
      </c>
      <c r="S113" s="1" t="s">
        <v>628</v>
      </c>
    </row>
    <row r="114" ht="62.25" customHeight="1">
      <c r="A114" s="1">
        <v>2.2884212670221E13</v>
      </c>
      <c r="B114" s="2" t="s">
        <v>630</v>
      </c>
      <c r="C114" s="1" t="s">
        <v>437</v>
      </c>
      <c r="D114" s="1" t="s">
        <v>34</v>
      </c>
      <c r="E114" s="1" t="b">
        <v>0</v>
      </c>
      <c r="F114" s="1" t="s">
        <v>35</v>
      </c>
      <c r="G114" s="1" t="str">
        <f t="array" ref="G114">XLOOKUP(A:A,'CategoriasSeções'!A:A,'CategoriasSeções'!B:B)</f>
        <v>APOIO ATENDIMENTO</v>
      </c>
      <c r="H114" s="1" t="s">
        <v>36</v>
      </c>
      <c r="I114" s="3">
        <v>45294.66180555556</v>
      </c>
      <c r="J114" s="3">
        <v>45309.60277777778</v>
      </c>
      <c r="K114" s="1" t="s">
        <v>631</v>
      </c>
      <c r="L114" s="1" t="s">
        <v>631</v>
      </c>
      <c r="M114" s="1" t="s">
        <v>38</v>
      </c>
      <c r="N114" s="1" t="s">
        <v>39</v>
      </c>
      <c r="O114" s="1" t="s">
        <v>39</v>
      </c>
      <c r="P114" s="1" t="s">
        <v>39</v>
      </c>
      <c r="Q114" s="3">
        <v>45309.60277777778</v>
      </c>
      <c r="R114" s="1" t="s">
        <v>632</v>
      </c>
      <c r="S114" s="1" t="s">
        <v>633</v>
      </c>
    </row>
    <row r="115" ht="62.25" customHeight="1">
      <c r="A115" s="1">
        <v>2.2883722491149E13</v>
      </c>
      <c r="B115" s="2" t="s">
        <v>635</v>
      </c>
      <c r="C115" s="1" t="s">
        <v>437</v>
      </c>
      <c r="D115" s="1" t="s">
        <v>34</v>
      </c>
      <c r="E115" s="1" t="b">
        <v>0</v>
      </c>
      <c r="F115" s="1" t="s">
        <v>35</v>
      </c>
      <c r="G115" s="1" t="str">
        <f t="array" ref="G115">XLOOKUP(A:A,'CategoriasSeções'!A:A,'CategoriasSeções'!B:B)</f>
        <v>APOIO ATENDIMENTO</v>
      </c>
      <c r="H115" s="1" t="s">
        <v>36</v>
      </c>
      <c r="I115" s="3">
        <v>45294.652083333334</v>
      </c>
      <c r="J115" s="3">
        <v>45526.611805555556</v>
      </c>
      <c r="K115" s="1" t="s">
        <v>636</v>
      </c>
      <c r="L115" s="1" t="s">
        <v>636</v>
      </c>
      <c r="M115" s="1" t="s">
        <v>38</v>
      </c>
      <c r="N115" s="1" t="s">
        <v>39</v>
      </c>
      <c r="O115" s="1" t="s">
        <v>39</v>
      </c>
      <c r="P115" s="1" t="s">
        <v>39</v>
      </c>
      <c r="Q115" s="3">
        <v>45294.652083333334</v>
      </c>
      <c r="R115" s="1" t="s">
        <v>638</v>
      </c>
      <c r="S115" s="1" t="s">
        <v>639</v>
      </c>
    </row>
    <row r="116" ht="62.25" customHeight="1">
      <c r="A116" s="1">
        <v>2.2859736115341E13</v>
      </c>
      <c r="B116" s="2" t="s">
        <v>641</v>
      </c>
      <c r="C116" s="1" t="s">
        <v>437</v>
      </c>
      <c r="D116" s="1" t="s">
        <v>34</v>
      </c>
      <c r="E116" s="1" t="b">
        <v>0</v>
      </c>
      <c r="F116" s="1" t="s">
        <v>35</v>
      </c>
      <c r="G116" s="1" t="str">
        <f t="array" ref="G116">XLOOKUP(A:A,'CategoriasSeções'!A:A,'CategoriasSeções'!B:B)</f>
        <v>APOIO ATENDIMENTO</v>
      </c>
      <c r="H116" s="1" t="s">
        <v>36</v>
      </c>
      <c r="I116" s="3">
        <v>45293.84722222222</v>
      </c>
      <c r="J116" s="3">
        <v>45332.566666666666</v>
      </c>
      <c r="K116" s="1" t="s">
        <v>642</v>
      </c>
      <c r="L116" s="1" t="s">
        <v>642</v>
      </c>
      <c r="M116" s="1" t="s">
        <v>38</v>
      </c>
      <c r="N116" s="1" t="s">
        <v>39</v>
      </c>
      <c r="O116" s="1" t="s">
        <v>39</v>
      </c>
      <c r="P116" s="1" t="s">
        <v>39</v>
      </c>
      <c r="Q116" s="3">
        <v>45332.566666666666</v>
      </c>
      <c r="R116" s="1" t="s">
        <v>643</v>
      </c>
      <c r="S116" s="1" t="s">
        <v>644</v>
      </c>
    </row>
    <row r="117" ht="62.25" customHeight="1">
      <c r="A117" s="1">
        <v>2.2718603281805E13</v>
      </c>
      <c r="B117" s="2" t="s">
        <v>646</v>
      </c>
      <c r="C117" s="1" t="s">
        <v>437</v>
      </c>
      <c r="D117" s="1" t="s">
        <v>34</v>
      </c>
      <c r="E117" s="1" t="b">
        <v>0</v>
      </c>
      <c r="F117" s="1" t="s">
        <v>35</v>
      </c>
      <c r="G117" s="1" t="str">
        <f t="array" ref="G117">XLOOKUP(A:A,'CategoriasSeções'!A:A,'CategoriasSeções'!B:B)</f>
        <v>APOIO ATENDIMENTO</v>
      </c>
      <c r="H117" s="1" t="s">
        <v>36</v>
      </c>
      <c r="I117" s="12">
        <v>45287.74236111111</v>
      </c>
      <c r="J117" s="12">
        <v>45287.743055555555</v>
      </c>
      <c r="K117" s="1" t="s">
        <v>647</v>
      </c>
      <c r="L117" s="1" t="s">
        <v>647</v>
      </c>
      <c r="M117" s="1" t="s">
        <v>38</v>
      </c>
      <c r="N117" s="1" t="s">
        <v>39</v>
      </c>
      <c r="O117" s="1" t="s">
        <v>39</v>
      </c>
      <c r="P117" s="1" t="s">
        <v>39</v>
      </c>
      <c r="Q117" s="12">
        <v>45287.743055555555</v>
      </c>
      <c r="R117" s="1" t="s">
        <v>649</v>
      </c>
      <c r="S117" s="1" t="s">
        <v>650</v>
      </c>
    </row>
    <row r="118" ht="62.25" customHeight="1">
      <c r="A118" s="1">
        <v>2.2601750339853E13</v>
      </c>
      <c r="B118" s="2" t="s">
        <v>652</v>
      </c>
      <c r="C118" s="1" t="s">
        <v>437</v>
      </c>
      <c r="D118" s="1" t="s">
        <v>34</v>
      </c>
      <c r="E118" s="1" t="b">
        <v>0</v>
      </c>
      <c r="F118" s="1" t="s">
        <v>35</v>
      </c>
      <c r="G118" s="1" t="str">
        <f t="array" ref="G118">XLOOKUP(A:A,'CategoriasSeções'!A:A,'CategoriasSeções'!B:B)</f>
        <v>APOIO ATENDIMENTO</v>
      </c>
      <c r="H118" s="1" t="s">
        <v>36</v>
      </c>
      <c r="I118" s="12">
        <v>45282.62013888889</v>
      </c>
      <c r="J118" s="12">
        <v>45282.71944444445</v>
      </c>
      <c r="K118" s="1" t="s">
        <v>653</v>
      </c>
      <c r="L118" s="1" t="s">
        <v>653</v>
      </c>
      <c r="M118" s="1" t="s">
        <v>38</v>
      </c>
      <c r="N118" s="1" t="s">
        <v>39</v>
      </c>
      <c r="O118" s="1" t="s">
        <v>39</v>
      </c>
      <c r="P118" s="1" t="s">
        <v>39</v>
      </c>
      <c r="Q118" s="12">
        <v>45282.71944444445</v>
      </c>
      <c r="R118" s="1" t="s">
        <v>654</v>
      </c>
      <c r="S118" s="1" t="s">
        <v>655</v>
      </c>
    </row>
    <row r="119" ht="62.25" customHeight="1">
      <c r="A119" s="1">
        <v>2.2545719006093E13</v>
      </c>
      <c r="B119" s="2" t="s">
        <v>657</v>
      </c>
      <c r="C119" s="1" t="s">
        <v>437</v>
      </c>
      <c r="D119" s="1" t="s">
        <v>34</v>
      </c>
      <c r="E119" s="1" t="b">
        <v>0</v>
      </c>
      <c r="F119" s="1" t="s">
        <v>35</v>
      </c>
      <c r="G119" s="1" t="str">
        <f t="array" ref="G119">XLOOKUP(A:A,'CategoriasSeções'!A:A,'CategoriasSeções'!B:B)</f>
        <v>APOIO ATENDIMENTO</v>
      </c>
      <c r="H119" s="1" t="s">
        <v>36</v>
      </c>
      <c r="I119" s="12">
        <v>45280.86111111111</v>
      </c>
      <c r="J119" s="12">
        <v>45280.86111111111</v>
      </c>
      <c r="K119" s="1" t="s">
        <v>658</v>
      </c>
      <c r="L119" s="1" t="s">
        <v>658</v>
      </c>
      <c r="M119" s="1" t="s">
        <v>38</v>
      </c>
      <c r="N119" s="1" t="s">
        <v>39</v>
      </c>
      <c r="O119" s="1" t="s">
        <v>39</v>
      </c>
      <c r="P119" s="1" t="s">
        <v>39</v>
      </c>
      <c r="Q119" s="12">
        <v>45280.86111111111</v>
      </c>
      <c r="R119" s="1" t="s">
        <v>660</v>
      </c>
      <c r="S119" s="1" t="s">
        <v>661</v>
      </c>
    </row>
    <row r="120" ht="62.25" customHeight="1">
      <c r="A120" s="1">
        <v>2.2528858942477E13</v>
      </c>
      <c r="B120" s="2" t="s">
        <v>663</v>
      </c>
      <c r="C120" s="1" t="s">
        <v>437</v>
      </c>
      <c r="D120" s="1" t="s">
        <v>34</v>
      </c>
      <c r="E120" s="1" t="b">
        <v>0</v>
      </c>
      <c r="F120" s="1" t="s">
        <v>35</v>
      </c>
      <c r="G120" s="1" t="str">
        <f t="array" ref="G120">XLOOKUP(A:A,'CategoriasSeções'!A:A,'CategoriasSeções'!B:B)</f>
        <v>APOIO ATENDIMENTO</v>
      </c>
      <c r="H120" s="1" t="s">
        <v>53</v>
      </c>
      <c r="I120" s="12">
        <v>45280.566666666666</v>
      </c>
      <c r="J120" s="12">
        <v>45280.56736111111</v>
      </c>
      <c r="K120" s="1" t="s">
        <v>664</v>
      </c>
      <c r="L120" s="1" t="s">
        <v>664</v>
      </c>
      <c r="M120" s="1" t="s">
        <v>38</v>
      </c>
      <c r="N120" s="1" t="s">
        <v>39</v>
      </c>
      <c r="O120" s="1" t="s">
        <v>39</v>
      </c>
      <c r="P120" s="1" t="s">
        <v>39</v>
      </c>
      <c r="Q120" s="12">
        <v>45280.56736111111</v>
      </c>
      <c r="R120" s="1" t="s">
        <v>666</v>
      </c>
      <c r="S120" s="1" t="s">
        <v>667</v>
      </c>
    </row>
    <row r="121" ht="62.25" customHeight="1">
      <c r="A121" s="1">
        <v>2.2527297395469E13</v>
      </c>
      <c r="B121" s="2" t="s">
        <v>669</v>
      </c>
      <c r="C121" s="1" t="s">
        <v>437</v>
      </c>
      <c r="D121" s="1" t="s">
        <v>34</v>
      </c>
      <c r="E121" s="1" t="b">
        <v>0</v>
      </c>
      <c r="F121" s="1" t="s">
        <v>35</v>
      </c>
      <c r="G121" s="1" t="str">
        <f t="array" ref="G121">XLOOKUP(A:A,'CategoriasSeções'!A:A,'CategoriasSeções'!B:B)</f>
        <v>APOIO ATENDIMENTO</v>
      </c>
      <c r="H121" s="1" t="s">
        <v>53</v>
      </c>
      <c r="I121" s="12">
        <v>45280.52916666667</v>
      </c>
      <c r="J121" s="12">
        <v>45280.52916666667</v>
      </c>
      <c r="K121" s="1" t="s">
        <v>670</v>
      </c>
      <c r="L121" s="1" t="s">
        <v>670</v>
      </c>
      <c r="M121" s="1" t="s">
        <v>38</v>
      </c>
      <c r="N121" s="1" t="s">
        <v>39</v>
      </c>
      <c r="O121" s="1" t="s">
        <v>39</v>
      </c>
      <c r="P121" s="1" t="s">
        <v>39</v>
      </c>
      <c r="Q121" s="12">
        <v>45280.52916666667</v>
      </c>
      <c r="R121" s="1" t="s">
        <v>671</v>
      </c>
      <c r="S121" s="1" t="s">
        <v>672</v>
      </c>
    </row>
    <row r="122" ht="62.25" customHeight="1">
      <c r="A122" s="1">
        <v>2.2527023643277E13</v>
      </c>
      <c r="B122" s="2" t="s">
        <v>674</v>
      </c>
      <c r="C122" s="1" t="s">
        <v>437</v>
      </c>
      <c r="D122" s="1" t="s">
        <v>34</v>
      </c>
      <c r="E122" s="1" t="b">
        <v>0</v>
      </c>
      <c r="F122" s="1" t="s">
        <v>35</v>
      </c>
      <c r="G122" s="1" t="str">
        <f t="array" ref="G122">XLOOKUP(A:A,'CategoriasSeções'!A:A,'CategoriasSeções'!B:B)</f>
        <v>APOIO ATENDIMENTO</v>
      </c>
      <c r="H122" s="1" t="s">
        <v>53</v>
      </c>
      <c r="I122" s="12">
        <v>45280.521527777775</v>
      </c>
      <c r="J122" s="12">
        <v>45280.521527777775</v>
      </c>
      <c r="K122" s="1" t="s">
        <v>675</v>
      </c>
      <c r="L122" s="1" t="s">
        <v>675</v>
      </c>
      <c r="M122" s="1" t="s">
        <v>38</v>
      </c>
      <c r="N122" s="1" t="s">
        <v>39</v>
      </c>
      <c r="O122" s="1" t="s">
        <v>39</v>
      </c>
      <c r="P122" s="1" t="s">
        <v>39</v>
      </c>
      <c r="Q122" s="12">
        <v>45280.521527777775</v>
      </c>
      <c r="R122" s="1" t="s">
        <v>677</v>
      </c>
      <c r="S122" s="1" t="s">
        <v>678</v>
      </c>
    </row>
    <row r="123" ht="62.25" customHeight="1">
      <c r="A123" s="1">
        <v>2.2526914045965E13</v>
      </c>
      <c r="B123" s="2" t="s">
        <v>680</v>
      </c>
      <c r="C123" s="1" t="s">
        <v>437</v>
      </c>
      <c r="D123" s="1" t="s">
        <v>34</v>
      </c>
      <c r="E123" s="1" t="b">
        <v>0</v>
      </c>
      <c r="F123" s="1" t="s">
        <v>35</v>
      </c>
      <c r="G123" s="1" t="str">
        <f t="array" ref="G123">XLOOKUP(A:A,'CategoriasSeções'!A:A,'CategoriasSeções'!B:B)</f>
        <v>APOIO ATENDIMENTO</v>
      </c>
      <c r="H123" s="1" t="s">
        <v>53</v>
      </c>
      <c r="I123" s="12">
        <v>45280.518055555556</v>
      </c>
      <c r="J123" s="12">
        <v>45280.53055555555</v>
      </c>
      <c r="K123" s="1" t="s">
        <v>681</v>
      </c>
      <c r="L123" s="1" t="s">
        <v>681</v>
      </c>
      <c r="M123" s="1" t="s">
        <v>38</v>
      </c>
      <c r="N123" s="1" t="s">
        <v>39</v>
      </c>
      <c r="O123" s="1" t="s">
        <v>39</v>
      </c>
      <c r="P123" s="1" t="s">
        <v>39</v>
      </c>
      <c r="Q123" s="12">
        <v>45280.52361111111</v>
      </c>
      <c r="R123" s="1" t="s">
        <v>682</v>
      </c>
      <c r="S123" s="1" t="s">
        <v>683</v>
      </c>
    </row>
    <row r="124" ht="62.25" customHeight="1">
      <c r="A124" s="1">
        <v>2.2526646445837E13</v>
      </c>
      <c r="B124" s="2" t="s">
        <v>685</v>
      </c>
      <c r="C124" s="1" t="s">
        <v>437</v>
      </c>
      <c r="D124" s="1" t="s">
        <v>34</v>
      </c>
      <c r="E124" s="1" t="b">
        <v>0</v>
      </c>
      <c r="F124" s="1" t="s">
        <v>35</v>
      </c>
      <c r="G124" s="1" t="str">
        <f t="array" ref="G124">XLOOKUP(A:A,'CategoriasSeções'!A:A,'CategoriasSeções'!B:B)</f>
        <v>APOIO ATENDIMENTO</v>
      </c>
      <c r="H124" s="1" t="s">
        <v>53</v>
      </c>
      <c r="I124" s="12">
        <v>45280.51180555556</v>
      </c>
      <c r="J124" s="12">
        <v>45280.5125</v>
      </c>
      <c r="K124" s="1" t="s">
        <v>686</v>
      </c>
      <c r="L124" s="1" t="s">
        <v>686</v>
      </c>
      <c r="M124" s="1" t="s">
        <v>38</v>
      </c>
      <c r="N124" s="1" t="s">
        <v>39</v>
      </c>
      <c r="O124" s="1" t="s">
        <v>39</v>
      </c>
      <c r="P124" s="1" t="s">
        <v>39</v>
      </c>
      <c r="Q124" s="12">
        <v>45280.5125</v>
      </c>
      <c r="R124" s="1" t="s">
        <v>687</v>
      </c>
      <c r="S124" s="1" t="s">
        <v>688</v>
      </c>
    </row>
    <row r="125" ht="62.25" customHeight="1">
      <c r="A125" s="1">
        <v>2.2526541868941E13</v>
      </c>
      <c r="B125" s="2" t="s">
        <v>690</v>
      </c>
      <c r="C125" s="1" t="s">
        <v>437</v>
      </c>
      <c r="D125" s="1" t="s">
        <v>34</v>
      </c>
      <c r="E125" s="1" t="b">
        <v>0</v>
      </c>
      <c r="F125" s="1" t="s">
        <v>35</v>
      </c>
      <c r="G125" s="1" t="str">
        <f t="array" ref="G125">XLOOKUP(A:A,'CategoriasSeções'!A:A,'CategoriasSeções'!B:B)</f>
        <v>APOIO ATENDIMENTO</v>
      </c>
      <c r="H125" s="1" t="s">
        <v>53</v>
      </c>
      <c r="I125" s="12">
        <v>45280.50833333333</v>
      </c>
      <c r="J125" s="12">
        <v>45280.53125</v>
      </c>
      <c r="K125" s="1" t="s">
        <v>691</v>
      </c>
      <c r="L125" s="1" t="s">
        <v>691</v>
      </c>
      <c r="M125" s="1" t="s">
        <v>38</v>
      </c>
      <c r="N125" s="1" t="s">
        <v>39</v>
      </c>
      <c r="O125" s="1" t="s">
        <v>39</v>
      </c>
      <c r="P125" s="1" t="s">
        <v>39</v>
      </c>
      <c r="Q125" s="12">
        <v>45280.53125</v>
      </c>
      <c r="R125" s="1" t="s">
        <v>55</v>
      </c>
      <c r="S125" s="1" t="s">
        <v>693</v>
      </c>
    </row>
    <row r="126" ht="62.25" customHeight="1">
      <c r="A126" s="1">
        <v>2.2526318397453E13</v>
      </c>
      <c r="B126" s="2" t="s">
        <v>695</v>
      </c>
      <c r="C126" s="1" t="s">
        <v>410</v>
      </c>
      <c r="D126" s="1" t="s">
        <v>34</v>
      </c>
      <c r="E126" s="1" t="b">
        <v>0</v>
      </c>
      <c r="F126" s="1" t="s">
        <v>35</v>
      </c>
      <c r="G126" s="1" t="str">
        <f t="array" ref="G126">XLOOKUP(A:A,'CategoriasSeções'!A:A,'CategoriasSeções'!B:B)</f>
        <v>APOIO ATENDIMENTO</v>
      </c>
      <c r="H126" s="1" t="s">
        <v>36</v>
      </c>
      <c r="I126" s="12">
        <v>45280.501388888886</v>
      </c>
      <c r="J126" s="12">
        <v>45280.53125</v>
      </c>
      <c r="K126" s="1" t="s">
        <v>696</v>
      </c>
      <c r="L126" s="1" t="s">
        <v>696</v>
      </c>
      <c r="M126" s="1" t="s">
        <v>38</v>
      </c>
      <c r="N126" s="1" t="s">
        <v>39</v>
      </c>
      <c r="O126" s="1" t="s">
        <v>39</v>
      </c>
      <c r="P126" s="1" t="s">
        <v>39</v>
      </c>
      <c r="Q126" s="12">
        <v>45280.53125</v>
      </c>
      <c r="R126" s="1" t="s">
        <v>697</v>
      </c>
      <c r="S126" s="1" t="s">
        <v>698</v>
      </c>
    </row>
    <row r="127" ht="62.25" customHeight="1">
      <c r="A127" s="1">
        <v>2.2419830133901E13</v>
      </c>
      <c r="B127" s="2" t="s">
        <v>700</v>
      </c>
      <c r="C127" s="1" t="s">
        <v>410</v>
      </c>
      <c r="D127" s="1" t="s">
        <v>47</v>
      </c>
      <c r="E127" s="1" t="b">
        <v>0</v>
      </c>
      <c r="F127" s="1" t="s">
        <v>35</v>
      </c>
      <c r="G127" s="1" t="str">
        <f t="array" ref="G127">XLOOKUP(A:A,'CategoriasSeções'!A:A,'CategoriasSeções'!B:B)</f>
        <v>APOIO ATENDIMENTO</v>
      </c>
      <c r="H127" s="1" t="s">
        <v>53</v>
      </c>
      <c r="I127" s="12">
        <v>45276.80625</v>
      </c>
      <c r="J127" s="12">
        <v>45276.81180555555</v>
      </c>
      <c r="K127" s="1" t="s">
        <v>701</v>
      </c>
      <c r="L127" s="1" t="s">
        <v>701</v>
      </c>
      <c r="M127" s="1" t="s">
        <v>38</v>
      </c>
      <c r="N127" s="1" t="s">
        <v>39</v>
      </c>
      <c r="O127" s="1" t="s">
        <v>39</v>
      </c>
      <c r="P127" s="1" t="s">
        <v>39</v>
      </c>
      <c r="Q127" s="12">
        <v>45276.81041666667</v>
      </c>
      <c r="R127" s="1" t="s">
        <v>702</v>
      </c>
      <c r="S127" s="1" t="s">
        <v>703</v>
      </c>
    </row>
    <row r="128" ht="62.25" customHeight="1">
      <c r="A128" s="1">
        <v>1.8817200171021E13</v>
      </c>
      <c r="B128" s="2" t="s">
        <v>705</v>
      </c>
      <c r="C128" s="1" t="s">
        <v>410</v>
      </c>
      <c r="D128" s="1" t="s">
        <v>34</v>
      </c>
      <c r="E128" s="1" t="b">
        <v>0</v>
      </c>
      <c r="F128" s="1" t="s">
        <v>35</v>
      </c>
      <c r="G128" s="1" t="str">
        <f t="array" ref="G128">XLOOKUP(A:A,'CategoriasSeções'!A:A,'CategoriasSeções'!B:B)</f>
        <v>Comunicados</v>
      </c>
      <c r="H128" s="1" t="s">
        <v>229</v>
      </c>
      <c r="I128" s="3">
        <v>45161.910416666666</v>
      </c>
      <c r="J128" s="3">
        <v>45526.620833333334</v>
      </c>
      <c r="K128" s="1" t="s">
        <v>706</v>
      </c>
      <c r="L128" s="1" t="s">
        <v>706</v>
      </c>
      <c r="M128" s="1" t="s">
        <v>38</v>
      </c>
      <c r="N128" s="1" t="s">
        <v>75</v>
      </c>
      <c r="O128" s="1" t="s">
        <v>69</v>
      </c>
      <c r="P128" s="1" t="s">
        <v>69</v>
      </c>
      <c r="Q128" s="3">
        <v>45161.910416666666</v>
      </c>
      <c r="R128" s="1" t="s">
        <v>55</v>
      </c>
      <c r="S128" s="1" t="s">
        <v>707</v>
      </c>
    </row>
    <row r="129" ht="62.25" customHeight="1">
      <c r="A129" s="1">
        <v>1.8727472957581E13</v>
      </c>
      <c r="B129" s="2" t="s">
        <v>709</v>
      </c>
      <c r="C129" s="1" t="s">
        <v>433</v>
      </c>
      <c r="D129" s="1" t="s">
        <v>47</v>
      </c>
      <c r="E129" s="1" t="b">
        <v>0</v>
      </c>
      <c r="F129" s="1" t="s">
        <v>35</v>
      </c>
      <c r="G129" s="1" t="str">
        <f t="array" ref="G129">XLOOKUP(A:A,'CategoriasSeções'!A:A,'CategoriasSeções'!B:B)</f>
        <v>APOIO ATENDIMENTO</v>
      </c>
      <c r="H129" s="1" t="s">
        <v>36</v>
      </c>
      <c r="I129" s="3">
        <v>45159.61875</v>
      </c>
      <c r="J129" s="3">
        <v>45231.56527777778</v>
      </c>
      <c r="K129" s="1" t="s">
        <v>710</v>
      </c>
      <c r="L129" s="1" t="s">
        <v>710</v>
      </c>
      <c r="M129" s="1" t="s">
        <v>38</v>
      </c>
      <c r="N129" s="1" t="s">
        <v>39</v>
      </c>
      <c r="O129" s="1" t="s">
        <v>39</v>
      </c>
      <c r="P129" s="1" t="s">
        <v>39</v>
      </c>
      <c r="Q129" s="3">
        <v>45159.61875</v>
      </c>
      <c r="R129" s="1" t="s">
        <v>55</v>
      </c>
      <c r="S129" s="1" t="s">
        <v>711</v>
      </c>
    </row>
    <row r="130" ht="62.25" customHeight="1">
      <c r="A130" s="1">
        <v>1.8665299725581E13</v>
      </c>
      <c r="B130" s="2" t="s">
        <v>713</v>
      </c>
      <c r="C130" s="1" t="s">
        <v>433</v>
      </c>
      <c r="D130" s="1" t="s">
        <v>34</v>
      </c>
      <c r="E130" s="1" t="b">
        <v>0</v>
      </c>
      <c r="F130" s="1" t="s">
        <v>35</v>
      </c>
      <c r="G130" s="1" t="str">
        <f t="array" ref="G130">XLOOKUP(A:A,'CategoriasSeções'!A:A,'CategoriasSeções'!B:B)</f>
        <v>Dúvidas Gerais</v>
      </c>
      <c r="H130" s="1" t="s">
        <v>85</v>
      </c>
      <c r="I130" s="3">
        <v>45156.69027777778</v>
      </c>
      <c r="J130" s="3">
        <v>45526.45486111111</v>
      </c>
      <c r="K130" s="1" t="s">
        <v>714</v>
      </c>
      <c r="L130" s="1" t="s">
        <v>714</v>
      </c>
      <c r="M130" s="1" t="s">
        <v>38</v>
      </c>
      <c r="N130" s="1" t="s">
        <v>39</v>
      </c>
      <c r="O130" s="1" t="s">
        <v>69</v>
      </c>
      <c r="P130" s="1" t="s">
        <v>69</v>
      </c>
      <c r="Q130" s="3">
        <v>45161.76458333333</v>
      </c>
      <c r="R130" s="1" t="s">
        <v>55</v>
      </c>
      <c r="S130" s="1" t="s">
        <v>715</v>
      </c>
    </row>
    <row r="131" ht="62.25" customHeight="1">
      <c r="A131" s="1">
        <v>1.8664293608461E13</v>
      </c>
      <c r="B131" s="2" t="s">
        <v>717</v>
      </c>
      <c r="C131" s="1" t="s">
        <v>410</v>
      </c>
      <c r="D131" s="1" t="s">
        <v>34</v>
      </c>
      <c r="E131" s="1" t="b">
        <v>0</v>
      </c>
      <c r="F131" s="1" t="s">
        <v>35</v>
      </c>
      <c r="G131" s="1" t="str">
        <f t="array" ref="G131">XLOOKUP(A:A,'CategoriasSeções'!A:A,'CategoriasSeções'!B:B)</f>
        <v>Dúvidas Gerais</v>
      </c>
      <c r="H131" s="1" t="s">
        <v>85</v>
      </c>
      <c r="I131" s="3">
        <v>45156.67569444444</v>
      </c>
      <c r="J131" s="3">
        <v>45526.57638888889</v>
      </c>
      <c r="K131" s="1" t="s">
        <v>718</v>
      </c>
      <c r="L131" s="1" t="s">
        <v>718</v>
      </c>
      <c r="M131" s="1" t="s">
        <v>38</v>
      </c>
      <c r="N131" s="1" t="s">
        <v>75</v>
      </c>
      <c r="O131" s="1" t="s">
        <v>69</v>
      </c>
      <c r="P131" s="1" t="s">
        <v>69</v>
      </c>
      <c r="Q131" s="3">
        <v>45161.90347222222</v>
      </c>
      <c r="R131" s="1" t="s">
        <v>55</v>
      </c>
      <c r="S131" s="1" t="s">
        <v>719</v>
      </c>
    </row>
    <row r="132" ht="62.25" customHeight="1">
      <c r="A132" s="1">
        <v>1.8663428825869E13</v>
      </c>
      <c r="B132" s="2" t="s">
        <v>721</v>
      </c>
      <c r="C132" s="1" t="s">
        <v>433</v>
      </c>
      <c r="D132" s="1" t="s">
        <v>34</v>
      </c>
      <c r="E132" s="1" t="b">
        <v>0</v>
      </c>
      <c r="F132" s="1" t="s">
        <v>35</v>
      </c>
      <c r="G132" s="1" t="str">
        <f t="array" ref="G132">XLOOKUP(A:A,'CategoriasSeções'!A:A,'CategoriasSeções'!B:B)</f>
        <v>Dúvidas Gerais</v>
      </c>
      <c r="H132" s="1" t="s">
        <v>722</v>
      </c>
      <c r="I132" s="3">
        <v>45156.66458333333</v>
      </c>
      <c r="J132" s="3">
        <v>45526.552777777775</v>
      </c>
      <c r="K132" s="1" t="s">
        <v>723</v>
      </c>
      <c r="L132" s="1" t="s">
        <v>723</v>
      </c>
      <c r="M132" s="1" t="s">
        <v>38</v>
      </c>
      <c r="N132" s="1" t="s">
        <v>39</v>
      </c>
      <c r="O132" s="1" t="s">
        <v>69</v>
      </c>
      <c r="P132" s="1" t="s">
        <v>69</v>
      </c>
      <c r="Q132" s="3">
        <v>45161.89513888889</v>
      </c>
      <c r="R132" s="1" t="s">
        <v>55</v>
      </c>
      <c r="S132" s="1" t="s">
        <v>724</v>
      </c>
    </row>
    <row r="133" ht="62.25" customHeight="1">
      <c r="A133" s="1">
        <v>1.8171266379277E13</v>
      </c>
      <c r="B133" s="2" t="s">
        <v>726</v>
      </c>
      <c r="C133" s="1" t="s">
        <v>433</v>
      </c>
      <c r="D133" s="1" t="s">
        <v>47</v>
      </c>
      <c r="E133" s="1" t="b">
        <v>0</v>
      </c>
      <c r="F133" s="1" t="s">
        <v>35</v>
      </c>
      <c r="G133" s="1" t="str">
        <f t="array" ref="G133">XLOOKUP(A:A,'CategoriasSeções'!A:A,'CategoriasSeções'!B:B)</f>
        <v>APOIO ATENDIMENTO</v>
      </c>
      <c r="H133" s="1" t="s">
        <v>151</v>
      </c>
      <c r="I133" s="3">
        <v>45140.80902777778</v>
      </c>
      <c r="J133" s="3">
        <v>45231.56527777778</v>
      </c>
      <c r="K133" s="1" t="s">
        <v>727</v>
      </c>
      <c r="L133" s="1" t="s">
        <v>727</v>
      </c>
      <c r="M133" s="1" t="s">
        <v>38</v>
      </c>
      <c r="N133" s="1" t="s">
        <v>75</v>
      </c>
      <c r="O133" s="1" t="s">
        <v>39</v>
      </c>
      <c r="P133" s="1" t="s">
        <v>39</v>
      </c>
      <c r="Q133" s="3">
        <v>45140.80902777778</v>
      </c>
      <c r="R133" s="1" t="s">
        <v>55</v>
      </c>
      <c r="S133" s="1" t="s">
        <v>728</v>
      </c>
    </row>
    <row r="134" ht="62.25" customHeight="1">
      <c r="A134" s="1">
        <v>1.6171823237901E13</v>
      </c>
      <c r="B134" s="2" t="s">
        <v>730</v>
      </c>
      <c r="C134" s="1" t="s">
        <v>410</v>
      </c>
      <c r="D134" s="1" t="s">
        <v>34</v>
      </c>
      <c r="E134" s="1" t="b">
        <v>0</v>
      </c>
      <c r="F134" s="1" t="s">
        <v>35</v>
      </c>
      <c r="G134" s="1" t="str">
        <f t="array" ref="G134">XLOOKUP(A:A,'CategoriasSeções'!A:A,'CategoriasSeções'!B:B)</f>
        <v>APOIO ATENDIMENTO</v>
      </c>
      <c r="H134" s="1" t="s">
        <v>731</v>
      </c>
      <c r="I134" s="3">
        <v>45072.813888888886</v>
      </c>
      <c r="J134" s="12">
        <v>45276.85972222222</v>
      </c>
      <c r="K134" s="1" t="s">
        <v>732</v>
      </c>
      <c r="L134" s="1" t="s">
        <v>732</v>
      </c>
      <c r="M134" s="1" t="s">
        <v>38</v>
      </c>
      <c r="N134" s="1" t="s">
        <v>39</v>
      </c>
      <c r="O134" s="1" t="s">
        <v>39</v>
      </c>
      <c r="P134" s="1" t="s">
        <v>39</v>
      </c>
      <c r="Q134" s="12">
        <v>45276.85972222222</v>
      </c>
      <c r="R134" s="1" t="s">
        <v>702</v>
      </c>
      <c r="S134" s="1" t="s">
        <v>733</v>
      </c>
    </row>
    <row r="135" ht="62.25" customHeight="1">
      <c r="A135" s="1">
        <v>1.0516074299277E13</v>
      </c>
      <c r="B135" s="2" t="s">
        <v>735</v>
      </c>
      <c r="C135" s="1" t="s">
        <v>410</v>
      </c>
      <c r="D135" s="1" t="s">
        <v>34</v>
      </c>
      <c r="E135" s="1" t="b">
        <v>0</v>
      </c>
      <c r="F135" s="1" t="s">
        <v>35</v>
      </c>
      <c r="G135" s="1" t="str">
        <f t="array" ref="G135">XLOOKUP(A:A,'CategoriasSeções'!A:A,'CategoriasSeções'!B:B)</f>
        <v>APOIO ATENDIMENTO</v>
      </c>
      <c r="H135" s="1" t="s">
        <v>36</v>
      </c>
      <c r="I135" s="3">
        <v>44874.84930555556</v>
      </c>
      <c r="J135" s="3">
        <v>45231.56527777778</v>
      </c>
      <c r="K135" s="1" t="s">
        <v>736</v>
      </c>
      <c r="L135" s="1" t="s">
        <v>736</v>
      </c>
      <c r="M135" s="1" t="s">
        <v>38</v>
      </c>
      <c r="N135" s="1" t="s">
        <v>75</v>
      </c>
      <c r="O135" s="1" t="s">
        <v>39</v>
      </c>
      <c r="P135" s="1" t="s">
        <v>39</v>
      </c>
      <c r="Q135" s="3">
        <v>44874.85</v>
      </c>
      <c r="R135" s="1" t="s">
        <v>55</v>
      </c>
      <c r="S135" s="1" t="s">
        <v>737</v>
      </c>
    </row>
    <row r="136" ht="62.25" customHeight="1">
      <c r="A136" s="1">
        <v>1.0205136927501E13</v>
      </c>
      <c r="B136" s="2" t="s">
        <v>739</v>
      </c>
      <c r="C136" s="1" t="s">
        <v>410</v>
      </c>
      <c r="D136" s="1" t="s">
        <v>34</v>
      </c>
      <c r="E136" s="1" t="b">
        <v>0</v>
      </c>
      <c r="F136" s="1" t="s">
        <v>35</v>
      </c>
      <c r="G136" s="1" t="str">
        <f t="array" ref="G136">XLOOKUP(A:A,'CategoriasSeções'!A:A,'CategoriasSeções'!B:B)</f>
        <v>Dúvidas Gerais</v>
      </c>
      <c r="H136" s="1" t="s">
        <v>129</v>
      </c>
      <c r="I136" s="12">
        <v>44861.85972222222</v>
      </c>
      <c r="J136" s="3">
        <v>45526.35555555556</v>
      </c>
      <c r="K136" s="1" t="s">
        <v>740</v>
      </c>
      <c r="L136" s="1" t="s">
        <v>740</v>
      </c>
      <c r="M136" s="1" t="s">
        <v>38</v>
      </c>
      <c r="N136" s="1" t="s">
        <v>75</v>
      </c>
      <c r="O136" s="1" t="s">
        <v>69</v>
      </c>
      <c r="P136" s="1" t="s">
        <v>69</v>
      </c>
      <c r="Q136" s="12">
        <v>44861.85972222222</v>
      </c>
      <c r="R136" s="1" t="s">
        <v>55</v>
      </c>
      <c r="S136" s="1" t="s">
        <v>741</v>
      </c>
    </row>
    <row r="137" ht="62.25" customHeight="1">
      <c r="A137" s="1">
        <v>8.840845251597E12</v>
      </c>
      <c r="B137" s="2" t="s">
        <v>743</v>
      </c>
      <c r="C137" s="1" t="s">
        <v>410</v>
      </c>
      <c r="D137" s="1" t="s">
        <v>34</v>
      </c>
      <c r="E137" s="1" t="b">
        <v>0</v>
      </c>
      <c r="F137" s="1" t="s">
        <v>35</v>
      </c>
      <c r="G137" s="1" t="str">
        <f t="array" ref="G137">XLOOKUP(A:A,'CategoriasSeções'!A:A,'CategoriasSeções'!B:B)</f>
        <v>Dúvidas Gerais</v>
      </c>
      <c r="H137" s="1" t="s">
        <v>96</v>
      </c>
      <c r="I137" s="3">
        <v>44805.05486111111</v>
      </c>
      <c r="J137" s="3">
        <v>45194.63680555556</v>
      </c>
      <c r="K137" s="1" t="s">
        <v>744</v>
      </c>
      <c r="L137" s="1" t="s">
        <v>744</v>
      </c>
      <c r="M137" s="1" t="s">
        <v>38</v>
      </c>
      <c r="N137" s="1" t="s">
        <v>75</v>
      </c>
      <c r="O137" s="1" t="s">
        <v>69</v>
      </c>
      <c r="P137" s="1" t="s">
        <v>69</v>
      </c>
      <c r="Q137" s="3">
        <v>45194.63680555556</v>
      </c>
      <c r="R137" s="1" t="s">
        <v>55</v>
      </c>
      <c r="S137" s="1" t="s">
        <v>745</v>
      </c>
    </row>
    <row r="138" ht="62.25" customHeight="1">
      <c r="A138" s="1">
        <v>8.472874606349E12</v>
      </c>
      <c r="B138" s="2" t="s">
        <v>747</v>
      </c>
      <c r="C138" s="1" t="s">
        <v>433</v>
      </c>
      <c r="D138" s="1" t="s">
        <v>34</v>
      </c>
      <c r="E138" s="1" t="b">
        <v>0</v>
      </c>
      <c r="F138" s="1" t="s">
        <v>35</v>
      </c>
      <c r="G138" s="1" t="str">
        <f t="array" ref="G138">XLOOKUP(A:A,'CategoriasSeções'!A:A,'CategoriasSeções'!B:B)</f>
        <v>Dúvidas Gerais</v>
      </c>
      <c r="H138" s="1" t="s">
        <v>96</v>
      </c>
      <c r="I138" s="3">
        <v>44790.024305555555</v>
      </c>
      <c r="J138" s="3">
        <v>44805.47777777778</v>
      </c>
      <c r="K138" s="1" t="s">
        <v>748</v>
      </c>
      <c r="L138" s="1" t="s">
        <v>748</v>
      </c>
      <c r="M138" s="1" t="s">
        <v>38</v>
      </c>
      <c r="N138" s="1" t="s">
        <v>75</v>
      </c>
      <c r="O138" s="1" t="s">
        <v>69</v>
      </c>
      <c r="P138" s="1" t="s">
        <v>69</v>
      </c>
      <c r="Q138" s="3">
        <v>44805.47777777778</v>
      </c>
      <c r="R138" s="1" t="s">
        <v>55</v>
      </c>
      <c r="S138" s="1" t="s">
        <v>749</v>
      </c>
    </row>
    <row r="139" ht="62.25" customHeight="1">
      <c r="A139" s="1">
        <v>8.472814179981E12</v>
      </c>
      <c r="B139" s="2" t="s">
        <v>751</v>
      </c>
      <c r="C139" s="1" t="s">
        <v>433</v>
      </c>
      <c r="D139" s="1" t="s">
        <v>34</v>
      </c>
      <c r="E139" s="1" t="b">
        <v>0</v>
      </c>
      <c r="F139" s="1" t="s">
        <v>35</v>
      </c>
      <c r="G139" s="1" t="str">
        <f t="array" ref="G139">XLOOKUP(A:A,'CategoriasSeções'!A:A,'CategoriasSeções'!B:B)</f>
        <v>Dúvidas Gerais</v>
      </c>
      <c r="H139" s="1" t="s">
        <v>96</v>
      </c>
      <c r="I139" s="3">
        <v>44790.02013888889</v>
      </c>
      <c r="J139" s="3">
        <v>44805.48333333333</v>
      </c>
      <c r="K139" s="1" t="s">
        <v>752</v>
      </c>
      <c r="L139" s="1" t="s">
        <v>752</v>
      </c>
      <c r="M139" s="1" t="s">
        <v>38</v>
      </c>
      <c r="N139" s="1" t="s">
        <v>75</v>
      </c>
      <c r="O139" s="1" t="s">
        <v>69</v>
      </c>
      <c r="P139" s="1" t="s">
        <v>69</v>
      </c>
      <c r="Q139" s="3">
        <v>44805.48333333333</v>
      </c>
      <c r="R139" s="1" t="s">
        <v>55</v>
      </c>
      <c r="S139" s="1" t="s">
        <v>753</v>
      </c>
    </row>
    <row r="140" ht="62.25" customHeight="1">
      <c r="A140" s="1">
        <v>8.472516540045E12</v>
      </c>
      <c r="B140" s="2" t="s">
        <v>755</v>
      </c>
      <c r="C140" s="1" t="s">
        <v>433</v>
      </c>
      <c r="D140" s="1" t="s">
        <v>34</v>
      </c>
      <c r="E140" s="1" t="b">
        <v>0</v>
      </c>
      <c r="F140" s="1" t="s">
        <v>35</v>
      </c>
      <c r="G140" s="1" t="str">
        <f t="array" ref="G140">XLOOKUP(A:A,'CategoriasSeções'!A:A,'CategoriasSeções'!B:B)</f>
        <v>Dúvidas Gerais</v>
      </c>
      <c r="H140" s="1" t="s">
        <v>96</v>
      </c>
      <c r="I140" s="3">
        <v>44790.004166666666</v>
      </c>
      <c r="J140" s="3">
        <v>45231.56527777778</v>
      </c>
      <c r="K140" s="1" t="s">
        <v>756</v>
      </c>
      <c r="L140" s="1" t="s">
        <v>756</v>
      </c>
      <c r="M140" s="1" t="s">
        <v>38</v>
      </c>
      <c r="N140" s="1" t="s">
        <v>75</v>
      </c>
      <c r="O140" s="1" t="s">
        <v>757</v>
      </c>
      <c r="P140" s="1" t="s">
        <v>757</v>
      </c>
      <c r="Q140" s="3">
        <v>44823.53680555556</v>
      </c>
      <c r="R140" s="1" t="s">
        <v>55</v>
      </c>
      <c r="S140" s="1" t="s">
        <v>759</v>
      </c>
    </row>
    <row r="141" ht="62.25" customHeight="1">
      <c r="A141" s="1">
        <v>8.472312195085E12</v>
      </c>
      <c r="B141" s="2" t="s">
        <v>762</v>
      </c>
      <c r="C141" s="1" t="s">
        <v>433</v>
      </c>
      <c r="D141" s="1" t="s">
        <v>47</v>
      </c>
      <c r="E141" s="1" t="b">
        <v>0</v>
      </c>
      <c r="F141" s="1" t="s">
        <v>35</v>
      </c>
      <c r="G141" s="1" t="str">
        <f t="array" ref="G141">XLOOKUP(A:A,'CategoriasSeções'!A:A,'CategoriasSeções'!B:B)</f>
        <v>Dúvidas Gerais</v>
      </c>
      <c r="H141" s="1" t="s">
        <v>96</v>
      </c>
      <c r="I141" s="3">
        <v>44789.99444444444</v>
      </c>
      <c r="J141" s="3">
        <v>45231.56527777778</v>
      </c>
      <c r="K141" s="1" t="s">
        <v>763</v>
      </c>
      <c r="L141" s="1" t="s">
        <v>763</v>
      </c>
      <c r="M141" s="1" t="s">
        <v>38</v>
      </c>
      <c r="N141" s="1" t="s">
        <v>75</v>
      </c>
      <c r="O141" s="1" t="s">
        <v>757</v>
      </c>
      <c r="P141" s="1" t="s">
        <v>757</v>
      </c>
      <c r="Q141" s="3">
        <v>44809.53402777778</v>
      </c>
      <c r="R141" s="1" t="s">
        <v>55</v>
      </c>
      <c r="S141" s="1" t="s">
        <v>764</v>
      </c>
    </row>
    <row r="142" ht="62.25" customHeight="1">
      <c r="A142" s="1">
        <v>8.472214549133E12</v>
      </c>
      <c r="B142" s="2" t="s">
        <v>766</v>
      </c>
      <c r="C142" s="1" t="s">
        <v>433</v>
      </c>
      <c r="D142" s="1" t="s">
        <v>47</v>
      </c>
      <c r="E142" s="1" t="b">
        <v>0</v>
      </c>
      <c r="F142" s="1" t="s">
        <v>35</v>
      </c>
      <c r="G142" s="1" t="str">
        <f t="array" ref="G142">XLOOKUP(A:A,'CategoriasSeções'!A:A,'CategoriasSeções'!B:B)</f>
        <v>Dúvidas Gerais</v>
      </c>
      <c r="H142" s="1" t="s">
        <v>96</v>
      </c>
      <c r="I142" s="3">
        <v>44789.989583333336</v>
      </c>
      <c r="J142" s="3">
        <v>45231.56527777778</v>
      </c>
      <c r="K142" s="1" t="s">
        <v>767</v>
      </c>
      <c r="L142" s="1" t="s">
        <v>767</v>
      </c>
      <c r="M142" s="1" t="s">
        <v>38</v>
      </c>
      <c r="N142" s="1" t="s">
        <v>75</v>
      </c>
      <c r="O142" s="1" t="s">
        <v>39</v>
      </c>
      <c r="P142" s="1" t="s">
        <v>39</v>
      </c>
      <c r="Q142" s="3">
        <v>44809.53402777778</v>
      </c>
      <c r="R142" s="1" t="s">
        <v>55</v>
      </c>
      <c r="S142" s="1" t="s">
        <v>768</v>
      </c>
    </row>
    <row r="143" ht="62.25" customHeight="1">
      <c r="A143" s="1">
        <v>8.472058613261E12</v>
      </c>
      <c r="B143" s="2" t="s">
        <v>770</v>
      </c>
      <c r="C143" s="1" t="s">
        <v>433</v>
      </c>
      <c r="D143" s="1" t="s">
        <v>34</v>
      </c>
      <c r="E143" s="1" t="b">
        <v>0</v>
      </c>
      <c r="F143" s="1" t="s">
        <v>35</v>
      </c>
      <c r="G143" s="1" t="str">
        <f t="array" ref="G143">XLOOKUP(A:A,'CategoriasSeções'!A:A,'CategoriasSeções'!B:B)</f>
        <v>Dúvidas Gerais</v>
      </c>
      <c r="H143" s="1" t="s">
        <v>96</v>
      </c>
      <c r="I143" s="3">
        <v>44789.979166666664</v>
      </c>
      <c r="J143" s="3">
        <v>44805.489583333336</v>
      </c>
      <c r="K143" s="1" t="s">
        <v>771</v>
      </c>
      <c r="L143" s="1" t="s">
        <v>771</v>
      </c>
      <c r="M143" s="1" t="s">
        <v>38</v>
      </c>
      <c r="N143" s="1" t="s">
        <v>75</v>
      </c>
      <c r="O143" s="1" t="s">
        <v>69</v>
      </c>
      <c r="P143" s="1" t="s">
        <v>69</v>
      </c>
      <c r="Q143" s="3">
        <v>44805.489583333336</v>
      </c>
      <c r="R143" s="1" t="s">
        <v>55</v>
      </c>
      <c r="S143" s="1" t="s">
        <v>772</v>
      </c>
    </row>
    <row r="144" ht="62.25" customHeight="1">
      <c r="A144" s="1">
        <v>8.390753642381E12</v>
      </c>
      <c r="B144" s="2" t="s">
        <v>774</v>
      </c>
      <c r="C144" s="1" t="s">
        <v>410</v>
      </c>
      <c r="D144" s="1" t="s">
        <v>34</v>
      </c>
      <c r="E144" s="1" t="b">
        <v>0</v>
      </c>
      <c r="F144" s="1" t="s">
        <v>35</v>
      </c>
      <c r="G144" s="1" t="str">
        <f t="array" ref="G144">XLOOKUP(A:A,'CategoriasSeções'!A:A,'CategoriasSeções'!B:B)</f>
        <v>Dúvidas Gerais</v>
      </c>
      <c r="H144" s="1" t="s">
        <v>96</v>
      </c>
      <c r="I144" s="3">
        <v>44786.06597222222</v>
      </c>
      <c r="J144" s="3">
        <v>45526.552777777775</v>
      </c>
      <c r="K144" s="1" t="s">
        <v>775</v>
      </c>
      <c r="L144" s="1" t="s">
        <v>775</v>
      </c>
      <c r="M144" s="1" t="s">
        <v>38</v>
      </c>
      <c r="N144" s="1" t="s">
        <v>75</v>
      </c>
      <c r="O144" s="1" t="s">
        <v>69</v>
      </c>
      <c r="P144" s="1" t="s">
        <v>69</v>
      </c>
      <c r="Q144" s="3">
        <v>44805.49722222222</v>
      </c>
      <c r="R144" s="1" t="s">
        <v>55</v>
      </c>
      <c r="S144" s="1" t="s">
        <v>776</v>
      </c>
    </row>
    <row r="145" ht="62.25" customHeight="1">
      <c r="A145" s="1">
        <v>4.652559260557E12</v>
      </c>
      <c r="B145" s="2" t="s">
        <v>778</v>
      </c>
      <c r="C145" s="1" t="s">
        <v>433</v>
      </c>
      <c r="D145" s="1" t="s">
        <v>34</v>
      </c>
      <c r="E145" s="1" t="b">
        <v>0</v>
      </c>
      <c r="F145" s="1" t="s">
        <v>35</v>
      </c>
      <c r="G145" s="1" t="str">
        <f t="array" ref="G145">XLOOKUP(A:A,'CategoriasSeções'!A:A,'CategoriasSeções'!B:B)</f>
        <v>APOIO ATENDIMENTO</v>
      </c>
      <c r="H145" s="1" t="s">
        <v>151</v>
      </c>
      <c r="I145" s="3">
        <v>44628.53680555556</v>
      </c>
      <c r="J145" s="3">
        <v>45526.611805555556</v>
      </c>
      <c r="K145" s="1" t="s">
        <v>779</v>
      </c>
      <c r="L145" s="1" t="s">
        <v>779</v>
      </c>
      <c r="M145" s="1" t="s">
        <v>38</v>
      </c>
      <c r="N145" s="1" t="s">
        <v>75</v>
      </c>
      <c r="O145" s="1" t="s">
        <v>39</v>
      </c>
      <c r="P145" s="1" t="s">
        <v>39</v>
      </c>
      <c r="Q145" s="3">
        <v>44629.833333333336</v>
      </c>
      <c r="R145" s="1" t="s">
        <v>55</v>
      </c>
      <c r="S145" s="1" t="s">
        <v>780</v>
      </c>
    </row>
    <row r="146" ht="62.25" customHeight="1">
      <c r="A146" s="1">
        <v>4.422919758861E12</v>
      </c>
      <c r="B146" s="2" t="s">
        <v>782</v>
      </c>
      <c r="C146" s="1" t="s">
        <v>410</v>
      </c>
      <c r="D146" s="1" t="s">
        <v>34</v>
      </c>
      <c r="E146" s="1" t="b">
        <v>0</v>
      </c>
      <c r="F146" s="1" t="s">
        <v>35</v>
      </c>
      <c r="G146" s="1" t="str">
        <f t="array" ref="G146">XLOOKUP(A:A,'CategoriasSeções'!A:A,'CategoriasSeções'!B:B)</f>
        <v>Dúvidas Gerais</v>
      </c>
      <c r="H146" s="1" t="s">
        <v>103</v>
      </c>
      <c r="I146" s="3">
        <v>44586.790972222225</v>
      </c>
      <c r="J146" s="3">
        <v>45231.56527777778</v>
      </c>
      <c r="K146" s="1" t="s">
        <v>732</v>
      </c>
      <c r="L146" s="1" t="s">
        <v>732</v>
      </c>
      <c r="M146" s="1" t="s">
        <v>38</v>
      </c>
      <c r="N146" s="1" t="s">
        <v>75</v>
      </c>
      <c r="O146" s="1" t="s">
        <v>39</v>
      </c>
      <c r="P146" s="1" t="s">
        <v>39</v>
      </c>
      <c r="Q146" s="3">
        <v>45072.81180555555</v>
      </c>
      <c r="R146" s="1" t="s">
        <v>783</v>
      </c>
      <c r="S146" s="1" t="s">
        <v>733</v>
      </c>
    </row>
    <row r="147" ht="62.25" customHeight="1">
      <c r="A147" s="1">
        <v>3.60060364071E11</v>
      </c>
      <c r="B147" s="2" t="s">
        <v>785</v>
      </c>
      <c r="C147" s="1" t="s">
        <v>433</v>
      </c>
      <c r="D147" s="1" t="s">
        <v>47</v>
      </c>
      <c r="E147" s="1" t="b">
        <v>0</v>
      </c>
      <c r="F147" s="1" t="s">
        <v>35</v>
      </c>
      <c r="G147" s="1" t="str">
        <f t="array" ref="G147">XLOOKUP(A:A,'CategoriasSeções'!A:A,'CategoriasSeções'!B:B)</f>
        <v>Dúvidas Gerais</v>
      </c>
      <c r="H147" s="1" t="s">
        <v>103</v>
      </c>
      <c r="I147" s="3">
        <v>44311.89791666667</v>
      </c>
      <c r="J147" s="3">
        <v>45526.55972222222</v>
      </c>
      <c r="K147" s="1" t="s">
        <v>786</v>
      </c>
      <c r="L147" s="1" t="s">
        <v>786</v>
      </c>
      <c r="M147" s="1" t="s">
        <v>38</v>
      </c>
      <c r="N147" s="1" t="s">
        <v>75</v>
      </c>
      <c r="O147" s="1" t="s">
        <v>39</v>
      </c>
      <c r="P147" s="1" t="s">
        <v>39</v>
      </c>
      <c r="Q147" s="3">
        <v>44311.89791666667</v>
      </c>
      <c r="R147" s="1" t="s">
        <v>55</v>
      </c>
      <c r="S147" s="1" t="s">
        <v>787</v>
      </c>
    </row>
    <row r="148" ht="62.25" customHeight="1">
      <c r="A148" s="1">
        <v>3.60059921652E11</v>
      </c>
      <c r="B148" s="2" t="s">
        <v>789</v>
      </c>
      <c r="C148" s="1" t="s">
        <v>410</v>
      </c>
      <c r="D148" s="1" t="s">
        <v>47</v>
      </c>
      <c r="E148" s="1" t="b">
        <v>0</v>
      </c>
      <c r="F148" s="1" t="s">
        <v>35</v>
      </c>
      <c r="G148" s="1" t="str">
        <f t="array" ref="G148">XLOOKUP(A:A,'CategoriasSeções'!A:A,'CategoriasSeções'!B:B)</f>
        <v>APOIO ATENDIMENTO</v>
      </c>
      <c r="H148" s="1" t="s">
        <v>53</v>
      </c>
      <c r="I148" s="3">
        <v>44311.467361111114</v>
      </c>
      <c r="J148" s="3">
        <v>45231.56527777778</v>
      </c>
      <c r="K148" s="1" t="s">
        <v>790</v>
      </c>
      <c r="L148" s="1" t="s">
        <v>790</v>
      </c>
      <c r="M148" s="1" t="s">
        <v>38</v>
      </c>
      <c r="N148" s="1" t="s">
        <v>75</v>
      </c>
      <c r="O148" s="1" t="s">
        <v>39</v>
      </c>
      <c r="P148" s="1" t="s">
        <v>39</v>
      </c>
      <c r="Q148" s="3">
        <v>44311.467361111114</v>
      </c>
      <c r="R148" s="1" t="s">
        <v>55</v>
      </c>
      <c r="S148" s="1" t="s">
        <v>791</v>
      </c>
    </row>
    <row r="149" ht="62.25" customHeight="1">
      <c r="A149" s="1">
        <v>3.60059919672E11</v>
      </c>
      <c r="B149" s="2" t="s">
        <v>793</v>
      </c>
      <c r="C149" s="1" t="s">
        <v>410</v>
      </c>
      <c r="D149" s="1" t="s">
        <v>34</v>
      </c>
      <c r="E149" s="1" t="b">
        <v>0</v>
      </c>
      <c r="F149" s="1" t="s">
        <v>35</v>
      </c>
      <c r="G149" s="1" t="str">
        <f t="array" ref="G149">XLOOKUP(A:A,'CategoriasSeções'!A:A,'CategoriasSeções'!B:B)</f>
        <v>Dúvidas Gerais</v>
      </c>
      <c r="H149" s="1" t="s">
        <v>103</v>
      </c>
      <c r="I149" s="3">
        <v>44310.74097222222</v>
      </c>
      <c r="J149" s="3">
        <v>44387.620833333334</v>
      </c>
      <c r="K149" s="1" t="s">
        <v>794</v>
      </c>
      <c r="L149" s="1" t="s">
        <v>794</v>
      </c>
      <c r="M149" s="1" t="s">
        <v>38</v>
      </c>
      <c r="N149" s="1" t="s">
        <v>75</v>
      </c>
      <c r="O149" s="1" t="s">
        <v>69</v>
      </c>
      <c r="P149" s="1" t="s">
        <v>69</v>
      </c>
      <c r="Q149" s="3">
        <v>44387.620833333334</v>
      </c>
      <c r="R149" s="1" t="s">
        <v>795</v>
      </c>
      <c r="S149" s="1" t="s">
        <v>796</v>
      </c>
    </row>
    <row r="150" ht="62.25" customHeight="1">
      <c r="A150" s="1">
        <v>3.60060360031E11</v>
      </c>
      <c r="B150" s="2" t="s">
        <v>798</v>
      </c>
      <c r="C150" s="1" t="s">
        <v>410</v>
      </c>
      <c r="D150" s="1" t="s">
        <v>47</v>
      </c>
      <c r="E150" s="1" t="b">
        <v>0</v>
      </c>
      <c r="F150" s="1" t="s">
        <v>35</v>
      </c>
      <c r="G150" s="1" t="str">
        <f t="array" ref="G150">XLOOKUP(A:A,'CategoriasSeções'!A:A,'CategoriasSeções'!B:B)</f>
        <v>APOIO ATENDIMENTO</v>
      </c>
      <c r="H150" s="1" t="s">
        <v>53</v>
      </c>
      <c r="I150" s="3">
        <v>44310.73125</v>
      </c>
      <c r="J150" s="3">
        <v>45231.56527777778</v>
      </c>
      <c r="K150" s="1" t="s">
        <v>799</v>
      </c>
      <c r="L150" s="1" t="s">
        <v>799</v>
      </c>
      <c r="M150" s="1" t="s">
        <v>38</v>
      </c>
      <c r="N150" s="1" t="s">
        <v>75</v>
      </c>
      <c r="O150" s="1" t="s">
        <v>39</v>
      </c>
      <c r="P150" s="1" t="s">
        <v>39</v>
      </c>
      <c r="Q150" s="3">
        <v>44310.73125</v>
      </c>
      <c r="R150" s="1" t="s">
        <v>55</v>
      </c>
      <c r="S150" s="1" t="s">
        <v>800</v>
      </c>
    </row>
    <row r="151" ht="62.25" customHeight="1">
      <c r="A151" s="1">
        <v>3.60060359971E11</v>
      </c>
      <c r="B151" s="2" t="s">
        <v>802</v>
      </c>
      <c r="C151" s="1" t="s">
        <v>410</v>
      </c>
      <c r="D151" s="1" t="s">
        <v>34</v>
      </c>
      <c r="E151" s="1" t="b">
        <v>0</v>
      </c>
      <c r="F151" s="1" t="s">
        <v>35</v>
      </c>
      <c r="G151" s="1" t="str">
        <f t="array" ref="G151">XLOOKUP(A:A,'CategoriasSeções'!A:A,'CategoriasSeções'!B:B)</f>
        <v>Dúvidas Gerais</v>
      </c>
      <c r="H151" s="1" t="s">
        <v>103</v>
      </c>
      <c r="I151" s="3">
        <v>44310.72638888889</v>
      </c>
      <c r="J151" s="3">
        <v>45453.77291666667</v>
      </c>
      <c r="K151" s="1" t="s">
        <v>803</v>
      </c>
      <c r="L151" s="1" t="s">
        <v>803</v>
      </c>
      <c r="M151" s="1" t="s">
        <v>38</v>
      </c>
      <c r="N151" s="1" t="s">
        <v>75</v>
      </c>
      <c r="O151" s="1" t="s">
        <v>69</v>
      </c>
      <c r="P151" s="1" t="s">
        <v>69</v>
      </c>
      <c r="Q151" s="3">
        <v>45453.77291666667</v>
      </c>
      <c r="R151" s="1" t="s">
        <v>55</v>
      </c>
      <c r="S151" s="1" t="s">
        <v>804</v>
      </c>
    </row>
    <row r="152" ht="62.25" customHeight="1">
      <c r="A152" s="1">
        <v>3.60060359871E11</v>
      </c>
      <c r="B152" s="2" t="s">
        <v>806</v>
      </c>
      <c r="C152" s="1" t="s">
        <v>410</v>
      </c>
      <c r="D152" s="1" t="s">
        <v>34</v>
      </c>
      <c r="E152" s="1" t="b">
        <v>0</v>
      </c>
      <c r="F152" s="1" t="s">
        <v>35</v>
      </c>
      <c r="G152" s="1" t="str">
        <f t="array" ref="G152">XLOOKUP(A:A,'CategoriasSeções'!A:A,'CategoriasSeções'!B:B)</f>
        <v>Dúvidas Gerais</v>
      </c>
      <c r="H152" s="1" t="s">
        <v>103</v>
      </c>
      <c r="I152" s="3">
        <v>44310.71875</v>
      </c>
      <c r="J152" s="3">
        <v>45455.72777777778</v>
      </c>
      <c r="K152" s="1" t="s">
        <v>807</v>
      </c>
      <c r="L152" s="1" t="s">
        <v>807</v>
      </c>
      <c r="M152" s="1" t="s">
        <v>38</v>
      </c>
      <c r="N152" s="1" t="s">
        <v>75</v>
      </c>
      <c r="O152" s="1" t="s">
        <v>69</v>
      </c>
      <c r="P152" s="1" t="s">
        <v>69</v>
      </c>
      <c r="Q152" s="3">
        <v>45455.72777777778</v>
      </c>
      <c r="R152" s="1" t="s">
        <v>55</v>
      </c>
      <c r="S152" s="1" t="s">
        <v>808</v>
      </c>
    </row>
    <row r="153" ht="62.25" customHeight="1">
      <c r="A153" s="1">
        <v>3.60060359551E11</v>
      </c>
      <c r="B153" s="2" t="s">
        <v>810</v>
      </c>
      <c r="C153" s="1" t="s">
        <v>410</v>
      </c>
      <c r="D153" s="1" t="s">
        <v>34</v>
      </c>
      <c r="E153" s="1" t="b">
        <v>0</v>
      </c>
      <c r="F153" s="1" t="s">
        <v>35</v>
      </c>
      <c r="G153" s="1" t="str">
        <f t="array" ref="G153">XLOOKUP(A:A,'CategoriasSeções'!A:A,'CategoriasSeções'!B:B)</f>
        <v>Dúvidas Gerais</v>
      </c>
      <c r="H153" s="1" t="s">
        <v>85</v>
      </c>
      <c r="I153" s="3">
        <v>44310.69027777778</v>
      </c>
      <c r="J153" s="3">
        <v>44387.62986111111</v>
      </c>
      <c r="K153" s="1" t="s">
        <v>811</v>
      </c>
      <c r="L153" s="1" t="s">
        <v>811</v>
      </c>
      <c r="M153" s="1" t="s">
        <v>38</v>
      </c>
      <c r="N153" s="1" t="s">
        <v>75</v>
      </c>
      <c r="O153" s="1" t="s">
        <v>69</v>
      </c>
      <c r="P153" s="1" t="s">
        <v>69</v>
      </c>
      <c r="Q153" s="3">
        <v>44387.62847222222</v>
      </c>
      <c r="R153" s="1" t="s">
        <v>55</v>
      </c>
      <c r="S153" s="1" t="s">
        <v>812</v>
      </c>
    </row>
    <row r="154" ht="62.25" customHeight="1">
      <c r="A154" s="1">
        <v>3.60060359511E11</v>
      </c>
      <c r="B154" s="2" t="s">
        <v>814</v>
      </c>
      <c r="C154" s="1" t="s">
        <v>410</v>
      </c>
      <c r="D154" s="1" t="s">
        <v>47</v>
      </c>
      <c r="E154" s="1" t="b">
        <v>0</v>
      </c>
      <c r="F154" s="1" t="s">
        <v>35</v>
      </c>
      <c r="G154" s="1" t="str">
        <f t="array" ref="G154">XLOOKUP(A:A,'CategoriasSeções'!A:A,'CategoriasSeções'!B:B)</f>
        <v>Dúvidas Gerais</v>
      </c>
      <c r="H154" s="1" t="s">
        <v>85</v>
      </c>
      <c r="I154" s="3">
        <v>44310.68680555555</v>
      </c>
      <c r="J154" s="3">
        <v>45231.56527777778</v>
      </c>
      <c r="K154" s="1" t="s">
        <v>815</v>
      </c>
      <c r="L154" s="1" t="s">
        <v>815</v>
      </c>
      <c r="M154" s="1" t="s">
        <v>38</v>
      </c>
      <c r="N154" s="1" t="s">
        <v>75</v>
      </c>
      <c r="O154" s="1" t="s">
        <v>39</v>
      </c>
      <c r="P154" s="1" t="s">
        <v>39</v>
      </c>
      <c r="Q154" s="3">
        <v>44310.68680555555</v>
      </c>
      <c r="R154" s="1" t="s">
        <v>55</v>
      </c>
    </row>
    <row r="155" ht="62.25" customHeight="1">
      <c r="A155" s="1">
        <v>3.60059919412E11</v>
      </c>
      <c r="B155" s="2" t="s">
        <v>817</v>
      </c>
      <c r="C155" s="1" t="s">
        <v>410</v>
      </c>
      <c r="D155" s="1" t="s">
        <v>47</v>
      </c>
      <c r="E155" s="1" t="b">
        <v>0</v>
      </c>
      <c r="F155" s="1" t="s">
        <v>35</v>
      </c>
      <c r="G155" s="1" t="str">
        <f t="array" ref="G155">XLOOKUP(A:A,'CategoriasSeções'!A:A,'CategoriasSeções'!B:B)</f>
        <v>Dúvidas Gerais</v>
      </c>
      <c r="H155" s="1" t="s">
        <v>85</v>
      </c>
      <c r="I155" s="3">
        <v>44310.686111111114</v>
      </c>
      <c r="J155" s="3">
        <v>45231.56527777778</v>
      </c>
      <c r="K155" s="1" t="s">
        <v>818</v>
      </c>
      <c r="L155" s="1" t="s">
        <v>818</v>
      </c>
      <c r="M155" s="1" t="s">
        <v>38</v>
      </c>
      <c r="N155" s="1" t="s">
        <v>75</v>
      </c>
      <c r="O155" s="1" t="s">
        <v>39</v>
      </c>
      <c r="P155" s="1" t="s">
        <v>39</v>
      </c>
      <c r="Q155" s="3">
        <v>44310.686111111114</v>
      </c>
      <c r="R155" s="1" t="s">
        <v>55</v>
      </c>
    </row>
    <row r="156" ht="62.25" customHeight="1">
      <c r="A156" s="1">
        <v>3.60059919392E11</v>
      </c>
      <c r="B156" s="2" t="s">
        <v>820</v>
      </c>
      <c r="C156" s="1" t="s">
        <v>410</v>
      </c>
      <c r="D156" s="1" t="s">
        <v>47</v>
      </c>
      <c r="E156" s="1" t="b">
        <v>0</v>
      </c>
      <c r="F156" s="1" t="s">
        <v>35</v>
      </c>
      <c r="G156" s="1" t="str">
        <f t="array" ref="G156">XLOOKUP(A:A,'CategoriasSeções'!A:A,'CategoriasSeções'!B:B)</f>
        <v>Dúvidas Gerais</v>
      </c>
      <c r="H156" s="1" t="s">
        <v>85</v>
      </c>
      <c r="I156" s="3">
        <v>44310.68541666667</v>
      </c>
      <c r="J156" s="3">
        <v>45231.56527777778</v>
      </c>
      <c r="K156" s="1" t="s">
        <v>821</v>
      </c>
      <c r="L156" s="1" t="s">
        <v>821</v>
      </c>
      <c r="M156" s="1" t="s">
        <v>38</v>
      </c>
      <c r="N156" s="1" t="s">
        <v>75</v>
      </c>
      <c r="O156" s="1" t="s">
        <v>39</v>
      </c>
      <c r="P156" s="1" t="s">
        <v>39</v>
      </c>
      <c r="Q156" s="3">
        <v>44310.68541666667</v>
      </c>
      <c r="R156" s="1" t="s">
        <v>55</v>
      </c>
    </row>
    <row r="157" ht="62.25" customHeight="1">
      <c r="A157" s="1">
        <v>3.60060359471E11</v>
      </c>
      <c r="B157" s="2" t="s">
        <v>823</v>
      </c>
      <c r="C157" s="1" t="s">
        <v>410</v>
      </c>
      <c r="D157" s="1" t="s">
        <v>47</v>
      </c>
      <c r="E157" s="1" t="b">
        <v>0</v>
      </c>
      <c r="F157" s="1" t="s">
        <v>35</v>
      </c>
      <c r="G157" s="1" t="str">
        <f t="array" ref="G157">XLOOKUP(A:A,'CategoriasSeções'!A:A,'CategoriasSeções'!B:B)</f>
        <v>Dúvidas Gerais</v>
      </c>
      <c r="H157" s="1" t="s">
        <v>85</v>
      </c>
      <c r="I157" s="3">
        <v>44310.68472222222</v>
      </c>
      <c r="J157" s="3">
        <v>45231.56527777778</v>
      </c>
      <c r="K157" s="1" t="s">
        <v>824</v>
      </c>
      <c r="L157" s="1" t="s">
        <v>824</v>
      </c>
      <c r="M157" s="1" t="s">
        <v>38</v>
      </c>
      <c r="N157" s="1" t="s">
        <v>75</v>
      </c>
      <c r="O157" s="1" t="s">
        <v>39</v>
      </c>
      <c r="P157" s="1" t="s">
        <v>39</v>
      </c>
      <c r="Q157" s="3">
        <v>44310.68472222222</v>
      </c>
      <c r="R157" s="1" t="s">
        <v>55</v>
      </c>
    </row>
    <row r="158" ht="62.25" customHeight="1">
      <c r="A158" s="1">
        <v>3.60059919332E11</v>
      </c>
      <c r="B158" s="2" t="s">
        <v>826</v>
      </c>
      <c r="C158" s="1" t="s">
        <v>410</v>
      </c>
      <c r="D158" s="1" t="s">
        <v>47</v>
      </c>
      <c r="E158" s="1" t="b">
        <v>0</v>
      </c>
      <c r="F158" s="1" t="s">
        <v>35</v>
      </c>
      <c r="G158" s="1" t="str">
        <f t="array" ref="G158">XLOOKUP(A:A,'CategoriasSeções'!A:A,'CategoriasSeções'!B:B)</f>
        <v>Dúvidas Gerais</v>
      </c>
      <c r="H158" s="1" t="s">
        <v>85</v>
      </c>
      <c r="I158" s="3">
        <v>44310.68402777778</v>
      </c>
      <c r="J158" s="3">
        <v>45231.56527777778</v>
      </c>
      <c r="K158" s="1" t="s">
        <v>827</v>
      </c>
      <c r="L158" s="1" t="s">
        <v>827</v>
      </c>
      <c r="M158" s="1" t="s">
        <v>38</v>
      </c>
      <c r="N158" s="1" t="s">
        <v>75</v>
      </c>
      <c r="O158" s="1" t="s">
        <v>39</v>
      </c>
      <c r="P158" s="1" t="s">
        <v>39</v>
      </c>
      <c r="Q158" s="3">
        <v>44310.68402777778</v>
      </c>
      <c r="R158" s="1" t="s">
        <v>55</v>
      </c>
    </row>
    <row r="159" ht="62.25" customHeight="1">
      <c r="A159" s="1">
        <v>3.60060359431E11</v>
      </c>
      <c r="B159" s="2" t="s">
        <v>829</v>
      </c>
      <c r="C159" s="1" t="s">
        <v>410</v>
      </c>
      <c r="D159" s="1" t="s">
        <v>47</v>
      </c>
      <c r="E159" s="1" t="b">
        <v>0</v>
      </c>
      <c r="F159" s="1" t="s">
        <v>35</v>
      </c>
      <c r="G159" s="1" t="str">
        <f t="array" ref="G159">XLOOKUP(A:A,'CategoriasSeções'!A:A,'CategoriasSeções'!B:B)</f>
        <v>Dúvidas Gerais</v>
      </c>
      <c r="H159" s="1" t="s">
        <v>85</v>
      </c>
      <c r="I159" s="3">
        <v>44310.683333333334</v>
      </c>
      <c r="J159" s="3">
        <v>45231.56527777778</v>
      </c>
      <c r="K159" s="1" t="s">
        <v>830</v>
      </c>
      <c r="L159" s="1" t="s">
        <v>830</v>
      </c>
      <c r="M159" s="1" t="s">
        <v>38</v>
      </c>
      <c r="N159" s="1" t="s">
        <v>75</v>
      </c>
      <c r="O159" s="1" t="s">
        <v>39</v>
      </c>
      <c r="P159" s="1" t="s">
        <v>39</v>
      </c>
      <c r="Q159" s="3">
        <v>44310.683333333334</v>
      </c>
      <c r="R159" s="1" t="s">
        <v>55</v>
      </c>
    </row>
    <row r="160" ht="62.25" customHeight="1">
      <c r="A160" s="1">
        <v>3.60059919312E11</v>
      </c>
      <c r="B160" s="2" t="s">
        <v>832</v>
      </c>
      <c r="C160" s="1" t="s">
        <v>410</v>
      </c>
      <c r="D160" s="1" t="s">
        <v>47</v>
      </c>
      <c r="E160" s="1" t="b">
        <v>0</v>
      </c>
      <c r="F160" s="1" t="s">
        <v>35</v>
      </c>
      <c r="G160" s="1" t="str">
        <f t="array" ref="G160">XLOOKUP(A:A,'CategoriasSeções'!A:A,'CategoriasSeções'!B:B)</f>
        <v>Dúvidas Gerais</v>
      </c>
      <c r="H160" s="1" t="s">
        <v>85</v>
      </c>
      <c r="I160" s="3">
        <v>44310.68263888889</v>
      </c>
      <c r="J160" s="3">
        <v>45231.56527777778</v>
      </c>
      <c r="K160" s="1" t="s">
        <v>833</v>
      </c>
      <c r="L160" s="1" t="s">
        <v>833</v>
      </c>
      <c r="M160" s="1" t="s">
        <v>38</v>
      </c>
      <c r="N160" s="1" t="s">
        <v>75</v>
      </c>
      <c r="O160" s="1" t="s">
        <v>39</v>
      </c>
      <c r="P160" s="1" t="s">
        <v>39</v>
      </c>
      <c r="Q160" s="3">
        <v>44310.68263888889</v>
      </c>
      <c r="R160" s="1" t="s">
        <v>55</v>
      </c>
    </row>
    <row r="161" ht="62.25" customHeight="1">
      <c r="A161" s="1">
        <v>3.60059918512E11</v>
      </c>
      <c r="B161" s="2" t="s">
        <v>835</v>
      </c>
      <c r="C161" s="1" t="s">
        <v>410</v>
      </c>
      <c r="D161" s="1" t="s">
        <v>34</v>
      </c>
      <c r="E161" s="1" t="b">
        <v>0</v>
      </c>
      <c r="F161" s="1" t="s">
        <v>35</v>
      </c>
      <c r="G161" s="1" t="str">
        <f t="array" ref="G161">XLOOKUP(A:A,'CategoriasSeções'!A:A,'CategoriasSeções'!B:B)</f>
        <v>Dúvidas Gerais</v>
      </c>
      <c r="H161" s="1" t="s">
        <v>129</v>
      </c>
      <c r="I161" s="3">
        <v>44310.58888888889</v>
      </c>
      <c r="J161" s="3">
        <v>44310.58888888889</v>
      </c>
      <c r="K161" s="1" t="s">
        <v>836</v>
      </c>
      <c r="L161" s="1" t="s">
        <v>836</v>
      </c>
      <c r="M161" s="1" t="s">
        <v>38</v>
      </c>
      <c r="N161" s="1" t="s">
        <v>75</v>
      </c>
      <c r="O161" s="1" t="s">
        <v>69</v>
      </c>
      <c r="P161" s="1" t="s">
        <v>69</v>
      </c>
      <c r="Q161" s="3">
        <v>44310.58888888889</v>
      </c>
      <c r="R161" s="1" t="s">
        <v>837</v>
      </c>
      <c r="S161" s="1" t="s">
        <v>838</v>
      </c>
    </row>
    <row r="162" ht="62.25" customHeight="1">
      <c r="A162" s="1">
        <v>3.60060358151E11</v>
      </c>
      <c r="B162" s="2" t="s">
        <v>840</v>
      </c>
      <c r="C162" s="1" t="s">
        <v>410</v>
      </c>
      <c r="D162" s="1" t="s">
        <v>34</v>
      </c>
      <c r="E162" s="1" t="b">
        <v>0</v>
      </c>
      <c r="F162" s="1" t="s">
        <v>35</v>
      </c>
      <c r="G162" s="1" t="str">
        <f t="array" ref="G162">XLOOKUP(A:A,'CategoriasSeções'!A:A,'CategoriasSeções'!B:B)</f>
        <v>Dúvidas Gerais</v>
      </c>
      <c r="H162" s="1" t="s">
        <v>722</v>
      </c>
      <c r="I162" s="3">
        <v>44310.53402777778</v>
      </c>
      <c r="J162" s="3">
        <v>44310.535416666666</v>
      </c>
      <c r="K162" s="1" t="s">
        <v>841</v>
      </c>
      <c r="L162" s="1" t="s">
        <v>841</v>
      </c>
      <c r="M162" s="1" t="s">
        <v>38</v>
      </c>
      <c r="N162" s="1" t="s">
        <v>75</v>
      </c>
      <c r="O162" s="1" t="s">
        <v>69</v>
      </c>
      <c r="P162" s="1" t="s">
        <v>69</v>
      </c>
      <c r="Q162" s="3">
        <v>44310.53402777778</v>
      </c>
      <c r="R162" s="1" t="s">
        <v>842</v>
      </c>
      <c r="S162" s="1" t="s">
        <v>843</v>
      </c>
    </row>
    <row r="163" ht="62.25" customHeight="1">
      <c r="A163" s="1">
        <v>3.60059917992E11</v>
      </c>
      <c r="B163" s="2" t="s">
        <v>845</v>
      </c>
      <c r="C163" s="1" t="s">
        <v>410</v>
      </c>
      <c r="D163" s="1" t="s">
        <v>34</v>
      </c>
      <c r="E163" s="1" t="b">
        <v>0</v>
      </c>
      <c r="F163" s="1" t="s">
        <v>35</v>
      </c>
      <c r="G163" s="1" t="str">
        <f t="array" ref="G163">XLOOKUP(A:A,'CategoriasSeções'!A:A,'CategoriasSeções'!B:B)</f>
        <v>Dúvidas Gerais</v>
      </c>
      <c r="H163" s="1" t="s">
        <v>722</v>
      </c>
      <c r="I163" s="3">
        <v>44310.53125</v>
      </c>
      <c r="J163" s="3">
        <v>45526.52222222222</v>
      </c>
      <c r="K163" s="1" t="s">
        <v>846</v>
      </c>
      <c r="L163" s="1" t="s">
        <v>846</v>
      </c>
      <c r="M163" s="1" t="s">
        <v>38</v>
      </c>
      <c r="N163" s="1" t="s">
        <v>75</v>
      </c>
      <c r="O163" s="1" t="s">
        <v>69</v>
      </c>
      <c r="P163" s="1" t="s">
        <v>69</v>
      </c>
      <c r="Q163" s="3">
        <v>44310.535416666666</v>
      </c>
      <c r="R163" s="1" t="s">
        <v>847</v>
      </c>
      <c r="S163" s="1" t="s">
        <v>848</v>
      </c>
    </row>
    <row r="164" ht="62.25" customHeight="1">
      <c r="A164" s="1">
        <v>3.60059917872E11</v>
      </c>
      <c r="B164" s="2" t="s">
        <v>850</v>
      </c>
      <c r="C164" s="1" t="s">
        <v>410</v>
      </c>
      <c r="D164" s="1" t="s">
        <v>34</v>
      </c>
      <c r="E164" s="1" t="b">
        <v>0</v>
      </c>
      <c r="F164" s="1" t="s">
        <v>35</v>
      </c>
      <c r="G164" s="1" t="str">
        <f t="array" ref="G164">XLOOKUP(A:A,'CategoriasSeções'!A:A,'CategoriasSeções'!B:B)</f>
        <v>Dúvidas Gerais</v>
      </c>
      <c r="H164" s="1" t="s">
        <v>722</v>
      </c>
      <c r="I164" s="3">
        <v>44310.50555555556</v>
      </c>
      <c r="J164" s="3">
        <v>45526.45486111111</v>
      </c>
      <c r="K164" s="1" t="s">
        <v>851</v>
      </c>
      <c r="L164" s="1" t="s">
        <v>851</v>
      </c>
      <c r="M164" s="1" t="s">
        <v>38</v>
      </c>
      <c r="N164" s="1" t="s">
        <v>75</v>
      </c>
      <c r="O164" s="1" t="s">
        <v>69</v>
      </c>
      <c r="P164" s="1" t="s">
        <v>69</v>
      </c>
      <c r="Q164" s="3">
        <v>44310.520833333336</v>
      </c>
      <c r="R164" s="1" t="s">
        <v>852</v>
      </c>
      <c r="S164" s="1" t="s">
        <v>853</v>
      </c>
    </row>
    <row r="165" ht="62.25" customHeight="1">
      <c r="A165" s="1">
        <v>3.60059917212E11</v>
      </c>
      <c r="B165" s="2" t="s">
        <v>855</v>
      </c>
      <c r="C165" s="1" t="s">
        <v>410</v>
      </c>
      <c r="D165" s="1" t="s">
        <v>34</v>
      </c>
      <c r="E165" s="1" t="b">
        <v>0</v>
      </c>
      <c r="F165" s="1" t="s">
        <v>35</v>
      </c>
      <c r="G165" s="1" t="str">
        <f t="array" ref="G165">XLOOKUP(A:A,'CategoriasSeções'!A:A,'CategoriasSeções'!B:B)</f>
        <v>Dúvidas Gerais</v>
      </c>
      <c r="H165" s="1" t="s">
        <v>103</v>
      </c>
      <c r="I165" s="3">
        <v>44310.23125</v>
      </c>
      <c r="J165" s="3">
        <v>45526.45486111111</v>
      </c>
      <c r="K165" s="1" t="s">
        <v>836</v>
      </c>
      <c r="L165" s="1" t="s">
        <v>836</v>
      </c>
      <c r="M165" s="1" t="s">
        <v>38</v>
      </c>
      <c r="N165" s="1" t="s">
        <v>75</v>
      </c>
      <c r="O165" s="1" t="s">
        <v>69</v>
      </c>
      <c r="P165" s="1" t="s">
        <v>69</v>
      </c>
      <c r="Q165" s="3">
        <v>44310.5875</v>
      </c>
      <c r="R165" s="1" t="s">
        <v>856</v>
      </c>
      <c r="S165" s="1" t="s">
        <v>857</v>
      </c>
    </row>
    <row r="166" ht="62.25" customHeight="1">
      <c r="A166" s="1">
        <v>3.60059917192E11</v>
      </c>
      <c r="B166" s="2" t="s">
        <v>859</v>
      </c>
      <c r="C166" s="1" t="s">
        <v>410</v>
      </c>
      <c r="D166" s="1" t="s">
        <v>47</v>
      </c>
      <c r="E166" s="1" t="b">
        <v>0</v>
      </c>
      <c r="F166" s="1" t="s">
        <v>35</v>
      </c>
      <c r="G166" s="1" t="str">
        <f t="array" ref="G166">XLOOKUP(A:A,'CategoriasSeções'!A:A,'CategoriasSeções'!B:B)</f>
        <v>Dúvidas Gerais</v>
      </c>
      <c r="H166" s="1" t="s">
        <v>103</v>
      </c>
      <c r="I166" s="3">
        <v>44310.23055555556</v>
      </c>
      <c r="J166" s="3">
        <v>45526.57638888889</v>
      </c>
      <c r="K166" s="1" t="s">
        <v>860</v>
      </c>
      <c r="L166" s="1" t="s">
        <v>860</v>
      </c>
      <c r="M166" s="1" t="s">
        <v>38</v>
      </c>
      <c r="N166" s="1" t="s">
        <v>75</v>
      </c>
      <c r="O166" s="1" t="s">
        <v>39</v>
      </c>
      <c r="P166" s="1" t="s">
        <v>39</v>
      </c>
      <c r="Q166" s="3">
        <v>44310.53333333333</v>
      </c>
      <c r="R166" s="1" t="s">
        <v>55</v>
      </c>
      <c r="S166" s="1" t="s">
        <v>861</v>
      </c>
    </row>
    <row r="167" ht="62.25" customHeight="1">
      <c r="A167" s="1">
        <v>3.60060357151E11</v>
      </c>
      <c r="B167" s="2" t="s">
        <v>863</v>
      </c>
      <c r="C167" s="1" t="s">
        <v>410</v>
      </c>
      <c r="D167" s="1" t="s">
        <v>34</v>
      </c>
      <c r="E167" s="1" t="b">
        <v>0</v>
      </c>
      <c r="F167" s="1" t="s">
        <v>35</v>
      </c>
      <c r="G167" s="1" t="str">
        <f t="array" ref="G167">XLOOKUP(A:A,'CategoriasSeções'!A:A,'CategoriasSeções'!B:B)</f>
        <v>Dúvidas Gerais</v>
      </c>
      <c r="H167" s="1" t="s">
        <v>85</v>
      </c>
      <c r="I167" s="3">
        <v>44310.22638888889</v>
      </c>
      <c r="J167" s="3">
        <v>45526.57638888889</v>
      </c>
      <c r="K167" s="1" t="s">
        <v>864</v>
      </c>
      <c r="L167" s="1" t="s">
        <v>864</v>
      </c>
      <c r="M167" s="1" t="s">
        <v>38</v>
      </c>
      <c r="N167" s="1" t="s">
        <v>75</v>
      </c>
      <c r="O167" s="1" t="s">
        <v>69</v>
      </c>
      <c r="P167" s="1" t="s">
        <v>69</v>
      </c>
      <c r="Q167" s="3">
        <v>44387.63611111111</v>
      </c>
      <c r="R167" s="1" t="s">
        <v>55</v>
      </c>
      <c r="S167" s="1" t="s">
        <v>865</v>
      </c>
    </row>
    <row r="168" ht="62.25" customHeight="1">
      <c r="A168" s="1">
        <v>3.60059917172E11</v>
      </c>
      <c r="B168" s="2" t="s">
        <v>867</v>
      </c>
      <c r="C168" s="1" t="s">
        <v>410</v>
      </c>
      <c r="D168" s="1" t="s">
        <v>47</v>
      </c>
      <c r="E168" s="1" t="b">
        <v>0</v>
      </c>
      <c r="F168" s="1" t="s">
        <v>35</v>
      </c>
      <c r="G168" s="1" t="str">
        <f t="array" ref="G168">XLOOKUP(A:A,'CategoriasSeções'!A:A,'CategoriasSeções'!B:B)</f>
        <v>Dúvidas Gerais</v>
      </c>
      <c r="H168" s="1" t="s">
        <v>103</v>
      </c>
      <c r="I168" s="3">
        <v>44310.225</v>
      </c>
      <c r="J168" s="3">
        <v>45231.56527777778</v>
      </c>
      <c r="K168" s="1" t="s">
        <v>868</v>
      </c>
      <c r="L168" s="1" t="s">
        <v>868</v>
      </c>
      <c r="M168" s="1" t="s">
        <v>38</v>
      </c>
      <c r="N168" s="1" t="s">
        <v>75</v>
      </c>
      <c r="O168" s="1" t="s">
        <v>39</v>
      </c>
      <c r="P168" s="1" t="s">
        <v>39</v>
      </c>
      <c r="Q168" s="3">
        <v>44310.225</v>
      </c>
      <c r="R168" s="1" t="s">
        <v>55</v>
      </c>
    </row>
    <row r="169" ht="62.25" customHeight="1">
      <c r="A169" s="1">
        <v>3.60059917152E11</v>
      </c>
      <c r="B169" s="2" t="s">
        <v>870</v>
      </c>
      <c r="C169" s="1" t="s">
        <v>410</v>
      </c>
      <c r="D169" s="1" t="s">
        <v>34</v>
      </c>
      <c r="E169" s="1" t="b">
        <v>0</v>
      </c>
      <c r="F169" s="1" t="s">
        <v>35</v>
      </c>
      <c r="G169" s="1" t="str">
        <f t="array" ref="G169">XLOOKUP(A:A,'CategoriasSeções'!A:A,'CategoriasSeções'!B:B)</f>
        <v>Dúvidas Gerais</v>
      </c>
      <c r="H169" s="1" t="s">
        <v>103</v>
      </c>
      <c r="I169" s="3">
        <v>44310.22430555556</v>
      </c>
      <c r="J169" s="3">
        <v>45526.53888888889</v>
      </c>
      <c r="K169" s="1" t="s">
        <v>871</v>
      </c>
      <c r="L169" s="1" t="s">
        <v>871</v>
      </c>
      <c r="M169" s="1" t="s">
        <v>38</v>
      </c>
      <c r="N169" s="1" t="s">
        <v>75</v>
      </c>
      <c r="O169" s="1" t="s">
        <v>69</v>
      </c>
      <c r="P169" s="1" t="s">
        <v>69</v>
      </c>
      <c r="Q169" s="3">
        <v>44387.638194444444</v>
      </c>
      <c r="R169" s="1" t="s">
        <v>872</v>
      </c>
      <c r="S169" s="1" t="s">
        <v>873</v>
      </c>
    </row>
    <row r="170" ht="62.25" customHeight="1">
      <c r="A170" s="1">
        <v>3.60060357131E11</v>
      </c>
      <c r="B170" s="2" t="s">
        <v>875</v>
      </c>
      <c r="C170" s="1" t="s">
        <v>410</v>
      </c>
      <c r="D170" s="1" t="s">
        <v>47</v>
      </c>
      <c r="E170" s="1" t="b">
        <v>0</v>
      </c>
      <c r="F170" s="1" t="s">
        <v>35</v>
      </c>
      <c r="G170" s="1" t="str">
        <f t="array" ref="G170">XLOOKUP(A:A,'CategoriasSeções'!A:A,'CategoriasSeções'!B:B)</f>
        <v>Dúvidas Gerais</v>
      </c>
      <c r="H170" s="1" t="s">
        <v>103</v>
      </c>
      <c r="I170" s="3">
        <v>44310.22361111111</v>
      </c>
      <c r="J170" s="3">
        <v>45526.455555555556</v>
      </c>
      <c r="K170" s="1" t="s">
        <v>876</v>
      </c>
      <c r="L170" s="1" t="s">
        <v>876</v>
      </c>
      <c r="M170" s="1" t="s">
        <v>38</v>
      </c>
      <c r="N170" s="1" t="s">
        <v>75</v>
      </c>
      <c r="O170" s="1" t="s">
        <v>39</v>
      </c>
      <c r="P170" s="1" t="s">
        <v>39</v>
      </c>
      <c r="Q170" s="3">
        <v>44310.61388888889</v>
      </c>
      <c r="R170" s="1" t="s">
        <v>55</v>
      </c>
      <c r="S170" s="1" t="s">
        <v>877</v>
      </c>
    </row>
    <row r="171" ht="62.25" customHeight="1">
      <c r="A171" s="1">
        <v>3.60059917132E11</v>
      </c>
      <c r="B171" s="2" t="s">
        <v>879</v>
      </c>
      <c r="C171" s="1" t="s">
        <v>410</v>
      </c>
      <c r="D171" s="1" t="s">
        <v>47</v>
      </c>
      <c r="E171" s="1" t="b">
        <v>0</v>
      </c>
      <c r="F171" s="1" t="s">
        <v>35</v>
      </c>
      <c r="G171" s="1" t="str">
        <f t="array" ref="G171">XLOOKUP(A:A,'CategoriasSeções'!A:A,'CategoriasSeções'!B:B)</f>
        <v>Dúvidas Gerais</v>
      </c>
      <c r="H171" s="1" t="s">
        <v>85</v>
      </c>
      <c r="I171" s="3">
        <v>44310.22083333333</v>
      </c>
      <c r="J171" s="3">
        <v>45231.56527777778</v>
      </c>
      <c r="K171" s="1" t="s">
        <v>880</v>
      </c>
      <c r="L171" s="1" t="s">
        <v>880</v>
      </c>
      <c r="M171" s="1" t="s">
        <v>38</v>
      </c>
      <c r="N171" s="1" t="s">
        <v>75</v>
      </c>
      <c r="O171" s="1" t="s">
        <v>39</v>
      </c>
      <c r="P171" s="1" t="s">
        <v>39</v>
      </c>
      <c r="Q171" s="3">
        <v>44310.22083333333</v>
      </c>
      <c r="R171" s="1" t="s">
        <v>55</v>
      </c>
    </row>
    <row r="172" ht="62.25" customHeight="1">
      <c r="A172" s="1">
        <v>3.60059917112E11</v>
      </c>
      <c r="B172" s="2" t="s">
        <v>882</v>
      </c>
      <c r="C172" s="1" t="s">
        <v>410</v>
      </c>
      <c r="D172" s="1" t="s">
        <v>34</v>
      </c>
      <c r="E172" s="1" t="b">
        <v>0</v>
      </c>
      <c r="F172" s="1" t="s">
        <v>35</v>
      </c>
      <c r="G172" s="1" t="str">
        <f t="array" ref="G172">XLOOKUP(A:A,'CategoriasSeções'!A:A,'CategoriasSeções'!B:B)</f>
        <v>Dúvidas Gerais</v>
      </c>
      <c r="H172" s="1" t="s">
        <v>96</v>
      </c>
      <c r="I172" s="3">
        <v>44310.217361111114</v>
      </c>
      <c r="J172" s="3">
        <v>44823.54513888889</v>
      </c>
      <c r="K172" s="1" t="s">
        <v>883</v>
      </c>
      <c r="L172" s="1" t="s">
        <v>883</v>
      </c>
      <c r="M172" s="1" t="s">
        <v>38</v>
      </c>
      <c r="N172" s="1" t="s">
        <v>75</v>
      </c>
      <c r="O172" s="1" t="s">
        <v>69</v>
      </c>
      <c r="P172" s="1" t="s">
        <v>69</v>
      </c>
      <c r="Q172" s="3">
        <v>44823.54513888889</v>
      </c>
      <c r="R172" s="1" t="s">
        <v>884</v>
      </c>
      <c r="S172" s="1" t="s">
        <v>885</v>
      </c>
    </row>
    <row r="173" ht="62.25" customHeight="1">
      <c r="A173" s="1">
        <v>3.60059917092E11</v>
      </c>
      <c r="B173" s="2" t="s">
        <v>887</v>
      </c>
      <c r="C173" s="1" t="s">
        <v>410</v>
      </c>
      <c r="D173" s="1" t="s">
        <v>47</v>
      </c>
      <c r="E173" s="1" t="b">
        <v>0</v>
      </c>
      <c r="F173" s="1" t="s">
        <v>35</v>
      </c>
      <c r="G173" s="1" t="str">
        <f t="array" ref="G173">XLOOKUP(A:A,'CategoriasSeções'!A:A,'CategoriasSeções'!B:B)</f>
        <v>Dúvidas Gerais</v>
      </c>
      <c r="H173" s="1" t="s">
        <v>96</v>
      </c>
      <c r="I173" s="3">
        <v>44310.20763888889</v>
      </c>
      <c r="J173" s="3">
        <v>45231.56527777778</v>
      </c>
      <c r="K173" s="1" t="s">
        <v>888</v>
      </c>
      <c r="L173" s="1" t="s">
        <v>888</v>
      </c>
      <c r="M173" s="1" t="s">
        <v>38</v>
      </c>
      <c r="N173" s="1" t="s">
        <v>39</v>
      </c>
      <c r="O173" s="1" t="s">
        <v>39</v>
      </c>
      <c r="P173" s="1" t="s">
        <v>39</v>
      </c>
      <c r="Q173" s="3">
        <v>44809.53333333333</v>
      </c>
      <c r="R173" s="1" t="s">
        <v>889</v>
      </c>
      <c r="S173" s="1" t="s">
        <v>890</v>
      </c>
    </row>
    <row r="174" ht="62.25" customHeight="1">
      <c r="A174" s="1">
        <v>3.60060357051E11</v>
      </c>
      <c r="B174" s="2" t="s">
        <v>892</v>
      </c>
      <c r="C174" s="1" t="s">
        <v>410</v>
      </c>
      <c r="D174" s="1" t="s">
        <v>34</v>
      </c>
      <c r="E174" s="1" t="b">
        <v>0</v>
      </c>
      <c r="F174" s="1" t="s">
        <v>35</v>
      </c>
      <c r="G174" s="1" t="str">
        <f t="array" ref="G174">XLOOKUP(A:A,'CategoriasSeções'!A:A,'CategoriasSeções'!B:B)</f>
        <v>Dúvidas Gerais</v>
      </c>
      <c r="H174" s="1" t="s">
        <v>96</v>
      </c>
      <c r="I174" s="3">
        <v>44310.19375</v>
      </c>
      <c r="J174" s="3">
        <v>44823.54722222222</v>
      </c>
      <c r="K174" s="1" t="s">
        <v>893</v>
      </c>
      <c r="L174" s="1" t="s">
        <v>893</v>
      </c>
      <c r="M174" s="1" t="s">
        <v>38</v>
      </c>
      <c r="N174" s="1" t="s">
        <v>75</v>
      </c>
      <c r="O174" s="1" t="s">
        <v>69</v>
      </c>
      <c r="P174" s="1" t="s">
        <v>69</v>
      </c>
      <c r="Q174" s="3">
        <v>44823.54722222222</v>
      </c>
      <c r="R174" s="1" t="s">
        <v>894</v>
      </c>
      <c r="S174" s="1" t="s">
        <v>895</v>
      </c>
    </row>
    <row r="175" ht="62.25" customHeight="1">
      <c r="A175" s="1">
        <v>3.60059915672E11</v>
      </c>
      <c r="B175" s="2" t="s">
        <v>897</v>
      </c>
      <c r="C175" s="1" t="s">
        <v>410</v>
      </c>
      <c r="D175" s="1" t="s">
        <v>34</v>
      </c>
      <c r="E175" s="1" t="b">
        <v>0</v>
      </c>
      <c r="F175" s="1" t="s">
        <v>35</v>
      </c>
      <c r="G175" s="1" t="str">
        <f t="array" ref="G175">XLOOKUP(A:A,'CategoriasSeções'!A:A,'CategoriasSeções'!B:B)</f>
        <v>Dúvidas Gerais</v>
      </c>
      <c r="H175" s="1" t="s">
        <v>722</v>
      </c>
      <c r="I175" s="3">
        <v>44310.15347222222</v>
      </c>
      <c r="J175" s="3">
        <v>44474.53680555556</v>
      </c>
      <c r="K175" s="1" t="s">
        <v>898</v>
      </c>
      <c r="L175" s="1" t="s">
        <v>898</v>
      </c>
      <c r="M175" s="1" t="s">
        <v>38</v>
      </c>
      <c r="N175" s="1" t="s">
        <v>75</v>
      </c>
      <c r="O175" s="1" t="s">
        <v>69</v>
      </c>
      <c r="P175" s="1" t="s">
        <v>69</v>
      </c>
      <c r="Q175" s="3">
        <v>44310.1625</v>
      </c>
      <c r="R175" s="1" t="s">
        <v>899</v>
      </c>
      <c r="S175" s="1" t="s">
        <v>900</v>
      </c>
    </row>
    <row r="176" ht="62.25" customHeight="1">
      <c r="A176" s="1">
        <v>3.60058295252E11</v>
      </c>
      <c r="B176" s="2" t="s">
        <v>902</v>
      </c>
      <c r="C176" s="1" t="s">
        <v>433</v>
      </c>
      <c r="D176" s="1" t="s">
        <v>34</v>
      </c>
      <c r="E176" s="1" t="b">
        <v>0</v>
      </c>
      <c r="F176" s="1" t="s">
        <v>35</v>
      </c>
      <c r="G176" s="1" t="str">
        <f t="array" ref="G176">XLOOKUP(A:A,'CategoriasSeções'!A:A,'CategoriasSeções'!B:B)</f>
        <v>Comunicados</v>
      </c>
      <c r="H176" s="1" t="s">
        <v>229</v>
      </c>
      <c r="I176" s="3">
        <v>44274.634722222225</v>
      </c>
      <c r="J176" s="3">
        <v>45526.52222222222</v>
      </c>
      <c r="K176" s="1" t="s">
        <v>903</v>
      </c>
      <c r="L176" s="1" t="s">
        <v>903</v>
      </c>
      <c r="M176" s="1" t="s">
        <v>38</v>
      </c>
      <c r="N176" s="1" t="s">
        <v>39</v>
      </c>
      <c r="O176" s="1" t="s">
        <v>69</v>
      </c>
      <c r="P176" s="1" t="s">
        <v>69</v>
      </c>
      <c r="Q176" s="3">
        <v>44274.63958333333</v>
      </c>
      <c r="R176" s="1" t="s">
        <v>55</v>
      </c>
      <c r="S176" s="1" t="s">
        <v>904</v>
      </c>
    </row>
    <row r="177" ht="62.25" customHeight="1">
      <c r="A177" s="1">
        <v>3.60057068151E11</v>
      </c>
      <c r="B177" s="2" t="s">
        <v>906</v>
      </c>
      <c r="C177" s="1" t="s">
        <v>433</v>
      </c>
      <c r="D177" s="1" t="s">
        <v>34</v>
      </c>
      <c r="E177" s="1" t="b">
        <v>0</v>
      </c>
      <c r="F177" s="1" t="s">
        <v>35</v>
      </c>
      <c r="G177" s="1" t="str">
        <f t="array" ref="G177">XLOOKUP(A:A,'CategoriasSeções'!A:A,'CategoriasSeções'!B:B)</f>
        <v>Comunicados</v>
      </c>
      <c r="H177" s="1" t="s">
        <v>299</v>
      </c>
      <c r="I177" s="3">
        <v>44239.660416666666</v>
      </c>
      <c r="J177" s="3">
        <v>45526.51388888889</v>
      </c>
      <c r="K177" s="1" t="s">
        <v>907</v>
      </c>
      <c r="L177" s="1" t="s">
        <v>907</v>
      </c>
      <c r="M177" s="1" t="s">
        <v>38</v>
      </c>
      <c r="N177" s="1" t="s">
        <v>75</v>
      </c>
      <c r="O177" s="1" t="s">
        <v>39</v>
      </c>
      <c r="P177" s="1" t="s">
        <v>39</v>
      </c>
      <c r="Q177" s="3">
        <v>44239.660416666666</v>
      </c>
      <c r="R177" s="1" t="s">
        <v>55</v>
      </c>
      <c r="S177" s="1" t="s">
        <v>908</v>
      </c>
    </row>
    <row r="178" ht="62.25" customHeight="1">
      <c r="A178" s="1">
        <v>3.60048461712E11</v>
      </c>
      <c r="B178" s="2" t="s">
        <v>910</v>
      </c>
      <c r="C178" s="1" t="s">
        <v>410</v>
      </c>
      <c r="D178" s="1" t="s">
        <v>34</v>
      </c>
      <c r="E178" s="1" t="b">
        <v>0</v>
      </c>
      <c r="F178" s="1" t="s">
        <v>35</v>
      </c>
      <c r="G178" s="1" t="str">
        <f t="array" ref="G178">XLOOKUP(A:A,'CategoriasSeções'!A:A,'CategoriasSeções'!B:B)</f>
        <v>Dúvidas Gerais</v>
      </c>
      <c r="H178" s="1" t="s">
        <v>722</v>
      </c>
      <c r="I178" s="3">
        <v>44074.183333333334</v>
      </c>
      <c r="J178" s="3">
        <v>45722.854166666664</v>
      </c>
      <c r="K178" s="1" t="s">
        <v>911</v>
      </c>
      <c r="L178" s="1" t="s">
        <v>911</v>
      </c>
      <c r="M178" s="1" t="s">
        <v>38</v>
      </c>
      <c r="N178" s="1" t="s">
        <v>39</v>
      </c>
      <c r="O178" s="1" t="s">
        <v>69</v>
      </c>
      <c r="P178" s="1" t="s">
        <v>69</v>
      </c>
      <c r="Q178" s="3">
        <v>45722.854166666664</v>
      </c>
      <c r="R178" s="1" t="s">
        <v>912</v>
      </c>
      <c r="S178" s="1" t="s">
        <v>913</v>
      </c>
    </row>
    <row r="179" ht="62.25" customHeight="1">
      <c r="A179" s="1">
        <v>3.60048128671E11</v>
      </c>
      <c r="B179" s="2" t="s">
        <v>915</v>
      </c>
      <c r="C179" s="1" t="s">
        <v>410</v>
      </c>
      <c r="D179" s="1" t="s">
        <v>34</v>
      </c>
      <c r="E179" s="1" t="b">
        <v>0</v>
      </c>
      <c r="F179" s="1" t="s">
        <v>35</v>
      </c>
      <c r="G179" s="1" t="str">
        <f t="array" ref="G179">XLOOKUP(A:A,'CategoriasSeções'!A:A,'CategoriasSeções'!B:B)</f>
        <v>Comunicados</v>
      </c>
      <c r="H179" s="1" t="s">
        <v>229</v>
      </c>
      <c r="I179" s="3">
        <v>44060.09722222222</v>
      </c>
      <c r="J179" s="3">
        <v>45526.57638888889</v>
      </c>
      <c r="K179" s="1" t="s">
        <v>916</v>
      </c>
      <c r="L179" s="1" t="s">
        <v>916</v>
      </c>
      <c r="M179" s="1" t="s">
        <v>38</v>
      </c>
      <c r="N179" s="1" t="s">
        <v>39</v>
      </c>
      <c r="O179" s="1" t="s">
        <v>69</v>
      </c>
      <c r="P179" s="1" t="s">
        <v>69</v>
      </c>
      <c r="Q179" s="3">
        <v>44216.60138888889</v>
      </c>
      <c r="R179" s="1" t="s">
        <v>55</v>
      </c>
      <c r="S179" s="1" t="s">
        <v>917</v>
      </c>
    </row>
    <row r="180" ht="62.25" customHeight="1">
      <c r="A180" s="1">
        <v>3.60048128011E11</v>
      </c>
      <c r="B180" s="2" t="s">
        <v>919</v>
      </c>
      <c r="C180" s="1" t="s">
        <v>410</v>
      </c>
      <c r="D180" s="1" t="s">
        <v>34</v>
      </c>
      <c r="E180" s="1" t="b">
        <v>0</v>
      </c>
      <c r="F180" s="1" t="s">
        <v>35</v>
      </c>
      <c r="G180" s="1" t="str">
        <f t="array" ref="G180">XLOOKUP(A:A,'CategoriasSeções'!A:A,'CategoriasSeções'!B:B)</f>
        <v>Comunicados</v>
      </c>
      <c r="H180" s="1" t="s">
        <v>299</v>
      </c>
      <c r="I180" s="3">
        <v>44060.058333333334</v>
      </c>
      <c r="J180" s="3">
        <v>45526.552777777775</v>
      </c>
      <c r="K180" s="1" t="s">
        <v>920</v>
      </c>
      <c r="L180" s="1" t="s">
        <v>920</v>
      </c>
      <c r="M180" s="1" t="s">
        <v>38</v>
      </c>
      <c r="N180" s="1" t="s">
        <v>39</v>
      </c>
      <c r="O180" s="1" t="s">
        <v>69</v>
      </c>
      <c r="P180" s="1" t="s">
        <v>69</v>
      </c>
      <c r="Q180" s="3">
        <v>45454.86736111111</v>
      </c>
      <c r="R180" s="1" t="s">
        <v>55</v>
      </c>
      <c r="S180" s="1" t="s">
        <v>921</v>
      </c>
    </row>
    <row r="181" ht="62.25" customHeight="1">
      <c r="A181" s="1">
        <v>3.60048127531E11</v>
      </c>
      <c r="B181" s="2" t="s">
        <v>923</v>
      </c>
      <c r="C181" s="1" t="s">
        <v>410</v>
      </c>
      <c r="D181" s="1" t="s">
        <v>34</v>
      </c>
      <c r="E181" s="1" t="b">
        <v>0</v>
      </c>
      <c r="F181" s="1" t="s">
        <v>35</v>
      </c>
      <c r="G181" s="1" t="str">
        <f t="array" ref="G181">XLOOKUP(A:A,'CategoriasSeções'!A:A,'CategoriasSeções'!B:B)</f>
        <v>Canais de Atendimento</v>
      </c>
      <c r="H181" s="1" t="s">
        <v>494</v>
      </c>
      <c r="I181" s="3">
        <v>44060.02916666667</v>
      </c>
      <c r="J181" s="3">
        <v>45526.55972222222</v>
      </c>
      <c r="K181" s="1" t="s">
        <v>924</v>
      </c>
      <c r="L181" s="1" t="s">
        <v>924</v>
      </c>
      <c r="M181" s="1" t="s">
        <v>38</v>
      </c>
      <c r="N181" s="1" t="s">
        <v>39</v>
      </c>
      <c r="O181" s="1" t="s">
        <v>69</v>
      </c>
      <c r="P181" s="1" t="s">
        <v>69</v>
      </c>
      <c r="Q181" s="3">
        <v>45418.17152777778</v>
      </c>
      <c r="R181" s="1" t="s">
        <v>55</v>
      </c>
      <c r="S181" s="1" t="s">
        <v>925</v>
      </c>
    </row>
    <row r="182" ht="62.25" customHeight="1">
      <c r="A182" s="1">
        <v>3.60047652432E11</v>
      </c>
      <c r="B182" s="2" t="s">
        <v>927</v>
      </c>
      <c r="C182" s="1" t="s">
        <v>410</v>
      </c>
      <c r="D182" s="1" t="s">
        <v>34</v>
      </c>
      <c r="E182" s="1" t="b">
        <v>0</v>
      </c>
      <c r="F182" s="1" t="s">
        <v>35</v>
      </c>
      <c r="G182" s="1" t="str">
        <f t="array" ref="G182">XLOOKUP(A:A,'CategoriasSeções'!A:A,'CategoriasSeções'!B:B)</f>
        <v>Canais de Atendimento</v>
      </c>
      <c r="H182" s="1" t="s">
        <v>494</v>
      </c>
      <c r="I182" s="3">
        <v>44060.00833333333</v>
      </c>
      <c r="J182" s="3">
        <v>45526.51388888889</v>
      </c>
      <c r="K182" s="1" t="s">
        <v>928</v>
      </c>
      <c r="L182" s="1" t="s">
        <v>928</v>
      </c>
      <c r="M182" s="1" t="s">
        <v>38</v>
      </c>
      <c r="N182" s="1" t="s">
        <v>39</v>
      </c>
      <c r="O182" s="1" t="s">
        <v>69</v>
      </c>
      <c r="P182" s="1" t="s">
        <v>69</v>
      </c>
      <c r="Q182" s="3">
        <v>44216.59583333333</v>
      </c>
      <c r="R182" s="1" t="s">
        <v>55</v>
      </c>
      <c r="S182" s="1" t="s">
        <v>929</v>
      </c>
    </row>
    <row r="183" ht="62.25" customHeight="1">
      <c r="A183" s="1">
        <v>3.60039880171E11</v>
      </c>
      <c r="B183" s="2" t="s">
        <v>931</v>
      </c>
      <c r="C183" s="1" t="s">
        <v>433</v>
      </c>
      <c r="D183" s="1" t="s">
        <v>34</v>
      </c>
      <c r="E183" s="1" t="b">
        <v>0</v>
      </c>
      <c r="F183" s="1" t="s">
        <v>35</v>
      </c>
      <c r="G183" s="1" t="str">
        <f t="array" ref="G183">XLOOKUP(A:A,'CategoriasSeções'!A:A,'CategoriasSeções'!B:B)</f>
        <v>Dúvidas Gerais</v>
      </c>
      <c r="H183" s="1" t="s">
        <v>129</v>
      </c>
      <c r="I183" s="3">
        <v>43878.07083333333</v>
      </c>
      <c r="J183" s="3">
        <v>45526.42152777778</v>
      </c>
      <c r="K183" s="1" t="s">
        <v>932</v>
      </c>
      <c r="L183" s="1" t="s">
        <v>932</v>
      </c>
      <c r="M183" s="1" t="s">
        <v>38</v>
      </c>
      <c r="N183" s="1" t="s">
        <v>75</v>
      </c>
      <c r="O183" s="1" t="s">
        <v>69</v>
      </c>
      <c r="P183" s="1" t="s">
        <v>69</v>
      </c>
      <c r="Q183" s="3">
        <v>44786.02013888889</v>
      </c>
      <c r="R183" s="1" t="s">
        <v>933</v>
      </c>
      <c r="S183" s="1" t="s">
        <v>934</v>
      </c>
    </row>
    <row r="184" ht="62.25" customHeight="1">
      <c r="A184" s="1">
        <v>3.60039880091E11</v>
      </c>
      <c r="B184" s="2" t="s">
        <v>936</v>
      </c>
      <c r="C184" s="1" t="s">
        <v>433</v>
      </c>
      <c r="D184" s="1" t="s">
        <v>34</v>
      </c>
      <c r="E184" s="1" t="b">
        <v>0</v>
      </c>
      <c r="F184" s="1" t="s">
        <v>35</v>
      </c>
      <c r="G184" s="1" t="str">
        <f t="array" ref="G184">XLOOKUP(A:A,'CategoriasSeções'!A:A,'CategoriasSeções'!B:B)</f>
        <v>Dúvidas Gerais</v>
      </c>
      <c r="H184" s="1" t="s">
        <v>96</v>
      </c>
      <c r="I184" s="3">
        <v>43878.066666666666</v>
      </c>
      <c r="J184" s="3">
        <v>45793.77916666667</v>
      </c>
      <c r="K184" s="1" t="s">
        <v>937</v>
      </c>
      <c r="L184" s="1" t="s">
        <v>937</v>
      </c>
      <c r="M184" s="1" t="s">
        <v>38</v>
      </c>
      <c r="N184" s="1" t="s">
        <v>75</v>
      </c>
      <c r="O184" s="1" t="s">
        <v>69</v>
      </c>
      <c r="P184" s="1" t="s">
        <v>69</v>
      </c>
      <c r="Q184" s="3">
        <v>45793.77916666667</v>
      </c>
      <c r="R184" s="1" t="s">
        <v>55</v>
      </c>
      <c r="S184" s="1" t="s">
        <v>938</v>
      </c>
    </row>
    <row r="185" ht="62.25" customHeight="1">
      <c r="A185" s="1">
        <v>3.60039477132E11</v>
      </c>
      <c r="B185" s="2" t="s">
        <v>940</v>
      </c>
      <c r="C185" s="1" t="s">
        <v>410</v>
      </c>
      <c r="D185" s="1" t="s">
        <v>34</v>
      </c>
      <c r="E185" s="1" t="b">
        <v>0</v>
      </c>
      <c r="F185" s="1" t="s">
        <v>35</v>
      </c>
      <c r="G185" s="1" t="str">
        <f t="array" ref="G185">XLOOKUP(A:A,'CategoriasSeções'!A:A,'CategoriasSeções'!B:B)</f>
        <v>Dúvidas Gerais</v>
      </c>
      <c r="H185" s="1" t="s">
        <v>96</v>
      </c>
      <c r="I185" s="3">
        <v>43878.066666666666</v>
      </c>
      <c r="J185" s="3">
        <v>45526.59027777778</v>
      </c>
      <c r="K185" s="1" t="s">
        <v>941</v>
      </c>
      <c r="L185" s="1" t="s">
        <v>941</v>
      </c>
      <c r="M185" s="1" t="s">
        <v>38</v>
      </c>
      <c r="N185" s="1" t="s">
        <v>75</v>
      </c>
      <c r="O185" s="1" t="s">
        <v>69</v>
      </c>
      <c r="P185" s="1" t="s">
        <v>69</v>
      </c>
      <c r="Q185" s="3">
        <v>44823.549305555556</v>
      </c>
      <c r="R185" s="1" t="s">
        <v>942</v>
      </c>
      <c r="S185" s="1" t="s">
        <v>943</v>
      </c>
    </row>
    <row r="186" ht="62.25" customHeight="1">
      <c r="A186" s="1">
        <v>3.60039477092E11</v>
      </c>
      <c r="B186" s="2" t="s">
        <v>945</v>
      </c>
      <c r="C186" s="1" t="s">
        <v>433</v>
      </c>
      <c r="D186" s="1" t="s">
        <v>47</v>
      </c>
      <c r="E186" s="1" t="b">
        <v>0</v>
      </c>
      <c r="F186" s="1" t="s">
        <v>35</v>
      </c>
      <c r="G186" s="1" t="str">
        <f t="array" ref="G186">XLOOKUP(A:A,'CategoriasSeções'!A:A,'CategoriasSeções'!B:B)</f>
        <v>Dúvidas Gerais</v>
      </c>
      <c r="H186" s="1" t="s">
        <v>129</v>
      </c>
      <c r="I186" s="3">
        <v>43878.06597222222</v>
      </c>
      <c r="J186" s="3">
        <v>45526.42152777778</v>
      </c>
      <c r="K186" s="1" t="s">
        <v>946</v>
      </c>
      <c r="L186" s="1" t="s">
        <v>946</v>
      </c>
      <c r="M186" s="1" t="s">
        <v>38</v>
      </c>
      <c r="N186" s="1" t="s">
        <v>75</v>
      </c>
      <c r="O186" s="1" t="s">
        <v>39</v>
      </c>
      <c r="P186" s="1" t="s">
        <v>39</v>
      </c>
      <c r="Q186" s="3">
        <v>44310.066666666666</v>
      </c>
      <c r="R186" s="1" t="s">
        <v>55</v>
      </c>
      <c r="S186" s="1" t="s">
        <v>947</v>
      </c>
    </row>
    <row r="187" ht="62.25" customHeight="1">
      <c r="A187" s="1">
        <v>1.15012866147E11</v>
      </c>
      <c r="B187" s="2" t="s">
        <v>949</v>
      </c>
      <c r="C187" s="1" t="s">
        <v>410</v>
      </c>
      <c r="D187" s="1" t="s">
        <v>34</v>
      </c>
      <c r="E187" s="1" t="b">
        <v>0</v>
      </c>
      <c r="F187" s="1" t="s">
        <v>35</v>
      </c>
      <c r="G187" s="1" t="str">
        <f t="array" ref="G187">XLOOKUP(A:A,'CategoriasSeções'!A:A,'CategoriasSeções'!B:B)</f>
        <v>Dúvidas Gerais</v>
      </c>
      <c r="H187" s="1" t="s">
        <v>722</v>
      </c>
      <c r="I187" s="3">
        <v>43006.76527777778</v>
      </c>
      <c r="J187" s="3">
        <v>45722.854166666664</v>
      </c>
      <c r="K187" s="1" t="s">
        <v>950</v>
      </c>
      <c r="L187" s="1" t="s">
        <v>950</v>
      </c>
      <c r="M187" s="1" t="s">
        <v>38</v>
      </c>
      <c r="N187" s="1" t="s">
        <v>75</v>
      </c>
      <c r="O187" s="1" t="s">
        <v>69</v>
      </c>
      <c r="P187" s="1" t="s">
        <v>69</v>
      </c>
      <c r="Q187" s="3">
        <v>45722.854166666664</v>
      </c>
      <c r="R187" s="1" t="s">
        <v>951</v>
      </c>
      <c r="S187" s="1" t="s">
        <v>952</v>
      </c>
    </row>
    <row r="188" ht="62.25" customHeight="1"/>
    <row r="189" ht="62.25" customHeight="1"/>
    <row r="190" ht="62.25" customHeight="1"/>
    <row r="191" ht="62.25" customHeight="1"/>
    <row r="192" ht="62.25" customHeight="1"/>
    <row r="193" ht="62.25" customHeight="1"/>
    <row r="194" ht="62.25" customHeight="1"/>
    <row r="195" ht="62.25" customHeight="1"/>
    <row r="196" ht="62.25" customHeight="1"/>
    <row r="197" ht="62.25" customHeight="1"/>
    <row r="198" ht="62.25" customHeight="1"/>
    <row r="199" ht="62.25" customHeight="1"/>
    <row r="200" ht="62.25" customHeight="1"/>
    <row r="201" ht="62.25" customHeight="1"/>
    <row r="202" ht="62.25" customHeight="1"/>
    <row r="203" ht="62.25" customHeight="1"/>
    <row r="204" ht="62.25" customHeight="1"/>
    <row r="205" ht="62.25" customHeight="1"/>
    <row r="206" ht="62.25" customHeight="1"/>
    <row r="207" ht="62.25" customHeight="1"/>
    <row r="208" ht="62.25" customHeight="1"/>
    <row r="209" ht="62.25" customHeight="1"/>
    <row r="210" ht="62.25" customHeight="1"/>
    <row r="211" ht="62.25" customHeight="1"/>
    <row r="212" ht="62.25" customHeight="1"/>
    <row r="213" ht="62.25" customHeight="1"/>
    <row r="214" ht="62.25" customHeight="1"/>
    <row r="215" ht="62.25" customHeight="1"/>
    <row r="216" ht="62.25" customHeight="1"/>
    <row r="217" ht="62.25" customHeight="1"/>
    <row r="218" ht="62.25" customHeight="1"/>
    <row r="219" ht="62.25" customHeight="1"/>
    <row r="220" ht="62.25" customHeight="1"/>
    <row r="221" ht="62.25" customHeight="1"/>
    <row r="222" ht="62.25" customHeight="1"/>
    <row r="223" ht="62.25" customHeight="1"/>
    <row r="224" ht="62.25" customHeight="1"/>
    <row r="225" ht="62.25" customHeight="1"/>
    <row r="226" ht="62.25" customHeight="1"/>
    <row r="227" ht="62.25" customHeight="1"/>
    <row r="228" ht="62.25" customHeight="1"/>
    <row r="229" ht="62.25" customHeight="1"/>
    <row r="230" ht="62.25" customHeight="1"/>
    <row r="231" ht="62.25" customHeight="1"/>
    <row r="232" ht="62.25" customHeight="1"/>
    <row r="233" ht="62.25" customHeight="1"/>
    <row r="234" ht="62.25" customHeight="1"/>
    <row r="235" ht="62.25" customHeight="1"/>
    <row r="236" ht="62.25" customHeight="1"/>
    <row r="237" ht="62.25" customHeight="1"/>
    <row r="238" ht="62.25" customHeight="1"/>
    <row r="239" ht="62.25" customHeight="1"/>
    <row r="240" ht="62.25" customHeight="1"/>
    <row r="241" ht="62.25" customHeight="1"/>
    <row r="242" ht="62.25" customHeight="1"/>
    <row r="243" ht="62.25" customHeight="1"/>
    <row r="244" ht="62.25" customHeight="1"/>
    <row r="245" ht="62.25" customHeight="1"/>
    <row r="246" ht="62.25" customHeight="1"/>
    <row r="247" ht="62.25" customHeight="1"/>
    <row r="248" ht="62.25" customHeight="1"/>
    <row r="249" ht="62.25" customHeight="1"/>
    <row r="250" ht="62.25" customHeight="1"/>
    <row r="251" ht="62.25" customHeight="1"/>
    <row r="252" ht="62.25" customHeight="1"/>
    <row r="253" ht="62.25" customHeight="1"/>
    <row r="254" ht="62.25" customHeight="1"/>
    <row r="255" ht="62.25" customHeight="1"/>
    <row r="256" ht="62.25" customHeight="1"/>
    <row r="257" ht="62.25" customHeight="1"/>
    <row r="258" ht="62.25" customHeight="1"/>
    <row r="259" ht="62.25" customHeight="1"/>
    <row r="260" ht="62.25" customHeight="1"/>
    <row r="261" ht="62.25" customHeight="1"/>
    <row r="262" ht="62.25" customHeight="1"/>
    <row r="263" ht="62.25" customHeight="1"/>
    <row r="264" ht="62.25" customHeight="1"/>
    <row r="265" ht="62.25" customHeight="1"/>
    <row r="266" ht="62.25" customHeight="1"/>
    <row r="267" ht="62.25" customHeight="1"/>
    <row r="268" ht="62.25" customHeight="1"/>
    <row r="269" ht="62.25" customHeight="1"/>
    <row r="270" ht="62.25" customHeight="1"/>
    <row r="271" ht="62.25" customHeight="1"/>
    <row r="272" ht="62.25" customHeight="1"/>
    <row r="273" ht="62.25" customHeight="1"/>
    <row r="274" ht="62.25" customHeight="1"/>
    <row r="275" ht="62.25" customHeight="1"/>
    <row r="276" ht="62.25" customHeight="1"/>
    <row r="277" ht="62.25" customHeight="1"/>
    <row r="278" ht="62.25" customHeight="1"/>
    <row r="279" ht="62.25" customHeight="1"/>
    <row r="280" ht="62.25" customHeight="1"/>
    <row r="281" ht="62.25" customHeight="1"/>
    <row r="282" ht="62.25" customHeight="1"/>
    <row r="283" ht="62.25" customHeight="1"/>
    <row r="284" ht="62.25" customHeight="1"/>
    <row r="285" ht="62.25" customHeight="1"/>
    <row r="286" ht="62.25" customHeight="1"/>
    <row r="287" ht="62.25" customHeight="1"/>
    <row r="288" ht="62.25" customHeight="1"/>
    <row r="289" ht="62.25" customHeight="1"/>
    <row r="290" ht="62.25" customHeight="1"/>
    <row r="291" ht="62.25" customHeight="1"/>
    <row r="292" ht="62.25" customHeight="1"/>
    <row r="293" ht="62.25" customHeight="1"/>
    <row r="294" ht="62.25" customHeight="1"/>
    <row r="295" ht="62.25" customHeight="1"/>
    <row r="296" ht="62.25" customHeight="1"/>
    <row r="297" ht="62.25" customHeight="1"/>
    <row r="298" ht="62.25" customHeight="1"/>
    <row r="299" ht="62.25" customHeight="1"/>
    <row r="300" ht="62.25" customHeight="1"/>
    <row r="301" ht="62.25" customHeight="1"/>
    <row r="302" ht="62.25" customHeight="1"/>
    <row r="303" ht="62.25" customHeight="1"/>
    <row r="304" ht="62.25" customHeight="1"/>
    <row r="305" ht="62.25" customHeight="1"/>
    <row r="306" ht="62.25" customHeight="1"/>
    <row r="307" ht="62.25" customHeight="1"/>
    <row r="308" ht="62.25" customHeight="1"/>
    <row r="309" ht="62.25" customHeight="1"/>
    <row r="310" ht="62.25" customHeight="1"/>
    <row r="311" ht="62.25" customHeight="1"/>
    <row r="312" ht="62.25" customHeight="1"/>
    <row r="313" ht="62.25" customHeight="1"/>
    <row r="314" ht="62.25" customHeight="1"/>
    <row r="315" ht="62.25" customHeight="1"/>
    <row r="316" ht="62.25" customHeight="1"/>
    <row r="317" ht="62.25" customHeight="1"/>
    <row r="318" ht="62.25" customHeight="1"/>
    <row r="319" ht="62.25" customHeight="1"/>
    <row r="320" ht="62.25" customHeight="1"/>
    <row r="321" ht="62.25" customHeight="1"/>
    <row r="322" ht="62.25" customHeight="1"/>
    <row r="323" ht="62.25" customHeight="1"/>
    <row r="324" ht="62.25" customHeight="1"/>
    <row r="325" ht="62.25" customHeight="1"/>
    <row r="326" ht="62.25" customHeight="1"/>
    <row r="327" ht="62.25" customHeight="1"/>
    <row r="328" ht="62.25" customHeight="1"/>
    <row r="329" ht="62.25" customHeight="1"/>
    <row r="330" ht="62.25" customHeight="1"/>
    <row r="331" ht="62.25" customHeight="1"/>
    <row r="332" ht="62.25" customHeight="1"/>
    <row r="333" ht="62.25" customHeight="1"/>
    <row r="334" ht="62.25" customHeight="1"/>
    <row r="335" ht="62.25" customHeight="1"/>
    <row r="336" ht="62.25" customHeight="1"/>
    <row r="337" ht="62.25" customHeight="1"/>
    <row r="338" ht="62.25" customHeight="1"/>
    <row r="339" ht="62.25" customHeight="1"/>
    <row r="340" ht="62.25" customHeight="1"/>
    <row r="341" ht="62.25" customHeight="1"/>
    <row r="342" ht="62.25" customHeight="1"/>
    <row r="343" ht="62.25" customHeight="1"/>
    <row r="344" ht="62.25" customHeight="1"/>
    <row r="345" ht="62.25" customHeight="1"/>
    <row r="346" ht="62.25" customHeight="1"/>
    <row r="347" ht="62.25" customHeight="1"/>
    <row r="348" ht="62.25" customHeight="1"/>
    <row r="349" ht="62.25" customHeight="1"/>
    <row r="350" ht="62.25" customHeight="1"/>
    <row r="351" ht="62.25" customHeight="1"/>
    <row r="352" ht="62.25" customHeight="1"/>
    <row r="353" ht="62.25" customHeight="1"/>
    <row r="354" ht="62.25" customHeight="1"/>
    <row r="355" ht="62.25" customHeight="1"/>
    <row r="356" ht="62.25" customHeight="1"/>
    <row r="357" ht="62.25" customHeight="1"/>
    <row r="358" ht="62.25" customHeight="1"/>
    <row r="359" ht="62.25" customHeight="1"/>
    <row r="360" ht="62.25" customHeight="1"/>
    <row r="361" ht="62.25" customHeight="1"/>
    <row r="362" ht="62.25" customHeight="1"/>
    <row r="363" ht="62.25" customHeight="1"/>
    <row r="364" ht="62.25" customHeight="1"/>
    <row r="365" ht="62.25" customHeight="1"/>
    <row r="366" ht="62.25" customHeight="1"/>
    <row r="367" ht="62.25" customHeight="1"/>
    <row r="368" ht="62.25" customHeight="1"/>
    <row r="369" ht="62.25" customHeight="1"/>
    <row r="370" ht="62.25" customHeight="1"/>
    <row r="371" ht="62.25" customHeight="1"/>
    <row r="372" ht="62.25" customHeight="1"/>
    <row r="373" ht="62.25" customHeight="1"/>
    <row r="374" ht="62.25" customHeight="1"/>
    <row r="375" ht="62.25" customHeight="1"/>
    <row r="376" ht="62.25" customHeight="1"/>
    <row r="377" ht="62.25" customHeight="1"/>
    <row r="378" ht="62.25" customHeight="1"/>
    <row r="379" ht="62.25" customHeight="1"/>
    <row r="380" ht="62.25" customHeight="1"/>
    <row r="381" ht="62.25" customHeight="1"/>
    <row r="382" ht="62.25" customHeight="1"/>
    <row r="383" ht="62.25" customHeight="1"/>
    <row r="384" ht="62.25" customHeight="1"/>
    <row r="385" ht="62.25" customHeight="1"/>
    <row r="386" ht="62.25" customHeight="1"/>
    <row r="387" ht="62.25" customHeight="1"/>
    <row r="388" ht="62.25" customHeight="1"/>
    <row r="389" ht="62.25" customHeight="1"/>
    <row r="390" ht="62.25" customHeight="1"/>
    <row r="391" ht="62.25" customHeight="1"/>
    <row r="392" ht="62.25" customHeight="1"/>
    <row r="393" ht="62.25" customHeight="1"/>
    <row r="394" ht="62.25" customHeight="1"/>
    <row r="395" ht="62.25" customHeight="1"/>
    <row r="396" ht="62.25" customHeight="1"/>
    <row r="397" ht="62.25" customHeight="1"/>
    <row r="398" ht="62.25" customHeight="1"/>
    <row r="399" ht="62.25" customHeight="1"/>
    <row r="400" ht="62.25" customHeight="1"/>
    <row r="401" ht="62.25" customHeight="1"/>
    <row r="402" ht="62.25" customHeight="1"/>
    <row r="403" ht="62.25" customHeight="1"/>
    <row r="404" ht="62.25" customHeight="1"/>
    <row r="405" ht="62.25" customHeight="1"/>
    <row r="406" ht="62.25" customHeight="1"/>
    <row r="407" ht="62.25" customHeight="1"/>
    <row r="408" ht="62.25" customHeight="1"/>
    <row r="409" ht="62.25" customHeight="1"/>
    <row r="410" ht="62.25" customHeight="1"/>
    <row r="411" ht="62.25" customHeight="1"/>
    <row r="412" ht="62.25" customHeight="1"/>
    <row r="413" ht="62.25" customHeight="1"/>
    <row r="414" ht="62.25" customHeight="1"/>
    <row r="415" ht="62.25" customHeight="1"/>
    <row r="416" ht="62.25" customHeight="1"/>
    <row r="417" ht="62.25" customHeight="1"/>
    <row r="418" ht="62.25" customHeight="1"/>
    <row r="419" ht="62.25" customHeight="1"/>
    <row r="420" ht="62.25" customHeight="1"/>
    <row r="421" ht="62.25" customHeight="1"/>
    <row r="422" ht="62.25" customHeight="1"/>
    <row r="423" ht="62.25" customHeight="1"/>
    <row r="424" ht="62.25" customHeight="1"/>
    <row r="425" ht="62.25" customHeight="1"/>
    <row r="426" ht="62.25" customHeight="1"/>
    <row r="427" ht="62.25" customHeight="1"/>
    <row r="428" ht="62.25" customHeight="1"/>
    <row r="429" ht="62.25" customHeight="1"/>
    <row r="430" ht="62.25" customHeight="1"/>
    <row r="431" ht="62.25" customHeight="1"/>
    <row r="432" ht="62.25" customHeight="1"/>
    <row r="433" ht="62.25" customHeight="1"/>
    <row r="434" ht="62.25" customHeight="1"/>
    <row r="435" ht="62.25" customHeight="1"/>
    <row r="436" ht="62.25" customHeight="1"/>
    <row r="437" ht="62.25" customHeight="1"/>
    <row r="438" ht="62.25" customHeight="1"/>
    <row r="439" ht="62.25" customHeight="1"/>
    <row r="440" ht="62.25" customHeight="1"/>
    <row r="441" ht="62.25" customHeight="1"/>
    <row r="442" ht="62.25" customHeight="1"/>
    <row r="443" ht="62.25" customHeight="1"/>
    <row r="444" ht="62.25" customHeight="1"/>
    <row r="445" ht="62.25" customHeight="1"/>
    <row r="446" ht="62.25" customHeight="1"/>
    <row r="447" ht="62.25" customHeight="1"/>
    <row r="448" ht="62.25" customHeight="1"/>
    <row r="449" ht="62.25" customHeight="1"/>
    <row r="450" ht="62.25" customHeight="1"/>
    <row r="451" ht="62.25" customHeight="1"/>
    <row r="452" ht="62.25" customHeight="1"/>
    <row r="453" ht="62.25" customHeight="1"/>
    <row r="454" ht="62.25" customHeight="1"/>
    <row r="455" ht="62.25" customHeight="1"/>
    <row r="456" ht="62.25" customHeight="1"/>
    <row r="457" ht="62.25" customHeight="1"/>
    <row r="458" ht="62.25" customHeight="1"/>
    <row r="459" ht="62.25" customHeight="1"/>
    <row r="460" ht="62.25" customHeight="1"/>
    <row r="461" ht="62.25" customHeight="1"/>
    <row r="462" ht="62.25" customHeight="1"/>
    <row r="463" ht="62.25" customHeight="1"/>
    <row r="464" ht="62.25" customHeight="1"/>
    <row r="465" ht="62.25" customHeight="1"/>
    <row r="466" ht="62.25" customHeight="1"/>
    <row r="467" ht="62.25" customHeight="1"/>
    <row r="468" ht="62.25" customHeight="1"/>
    <row r="469" ht="62.25" customHeight="1"/>
    <row r="470" ht="62.25" customHeight="1"/>
    <row r="471" ht="62.25" customHeight="1"/>
    <row r="472" ht="62.25" customHeight="1"/>
    <row r="473" ht="62.25" customHeight="1"/>
    <row r="474" ht="62.25" customHeight="1"/>
    <row r="475" ht="62.25" customHeight="1"/>
    <row r="476" ht="62.25" customHeight="1"/>
    <row r="477" ht="62.25" customHeight="1"/>
    <row r="478" ht="62.25" customHeight="1"/>
    <row r="479" ht="62.25" customHeight="1"/>
    <row r="480" ht="62.25" customHeight="1"/>
    <row r="481" ht="62.25" customHeight="1"/>
    <row r="482" ht="62.25" customHeight="1"/>
    <row r="483" ht="62.25" customHeight="1"/>
    <row r="484" ht="62.25" customHeight="1"/>
    <row r="485" ht="62.25" customHeight="1"/>
    <row r="486" ht="62.25" customHeight="1"/>
    <row r="487" ht="62.25" customHeight="1"/>
    <row r="488" ht="62.25" customHeight="1"/>
    <row r="489" ht="62.25" customHeight="1"/>
    <row r="490" ht="62.25" customHeight="1"/>
    <row r="491" ht="62.25" customHeight="1"/>
    <row r="492" ht="62.25" customHeight="1"/>
    <row r="493" ht="62.25" customHeight="1"/>
    <row r="494" ht="62.25" customHeight="1"/>
    <row r="495" ht="62.25" customHeight="1"/>
    <row r="496" ht="62.25" customHeight="1"/>
    <row r="497" ht="62.25" customHeight="1"/>
    <row r="498" ht="62.25" customHeight="1"/>
    <row r="499" ht="62.25" customHeight="1"/>
    <row r="500" ht="62.25" customHeight="1"/>
    <row r="501" ht="62.25" customHeight="1"/>
    <row r="502" ht="62.25" customHeight="1"/>
    <row r="503" ht="62.25" customHeight="1"/>
    <row r="504" ht="62.25" customHeight="1"/>
    <row r="505" ht="62.25" customHeight="1"/>
    <row r="506" ht="62.25" customHeight="1"/>
    <row r="507" ht="62.25" customHeight="1"/>
    <row r="508" ht="62.25" customHeight="1"/>
    <row r="509" ht="62.25" customHeight="1"/>
    <row r="510" ht="62.25" customHeight="1"/>
    <row r="511" ht="62.25" customHeight="1"/>
    <row r="512" ht="62.25" customHeight="1"/>
    <row r="513" ht="62.25" customHeight="1"/>
    <row r="514" ht="62.25" customHeight="1"/>
    <row r="515" ht="62.25" customHeight="1"/>
    <row r="516" ht="62.25" customHeight="1"/>
    <row r="517" ht="62.25" customHeight="1"/>
    <row r="518" ht="62.25" customHeight="1"/>
    <row r="519" ht="62.25" customHeight="1"/>
    <row r="520" ht="62.25" customHeight="1"/>
    <row r="521" ht="62.25" customHeight="1"/>
    <row r="522" ht="62.25" customHeight="1"/>
    <row r="523" ht="62.25" customHeight="1"/>
    <row r="524" ht="62.25" customHeight="1"/>
    <row r="525" ht="62.25" customHeight="1"/>
    <row r="526" ht="62.25" customHeight="1"/>
    <row r="527" ht="62.25" customHeight="1"/>
    <row r="528" ht="62.25" customHeight="1"/>
    <row r="529" ht="62.25" customHeight="1"/>
    <row r="530" ht="62.25" customHeight="1"/>
    <row r="531" ht="62.25" customHeight="1"/>
    <row r="532" ht="62.25" customHeight="1"/>
    <row r="533" ht="62.25" customHeight="1"/>
    <row r="534" ht="62.25" customHeight="1"/>
    <row r="535" ht="62.25" customHeight="1"/>
    <row r="536" ht="62.25" customHeight="1"/>
    <row r="537" ht="62.25" customHeight="1"/>
    <row r="538" ht="62.25" customHeight="1"/>
    <row r="539" ht="62.25" customHeight="1"/>
    <row r="540" ht="62.25" customHeight="1"/>
    <row r="541" ht="62.25" customHeight="1"/>
    <row r="542" ht="62.25" customHeight="1"/>
    <row r="543" ht="62.25" customHeight="1"/>
    <row r="544" ht="62.25" customHeight="1"/>
    <row r="545" ht="62.25" customHeight="1"/>
    <row r="546" ht="62.25" customHeight="1"/>
    <row r="547" ht="62.25" customHeight="1"/>
    <row r="548" ht="62.25" customHeight="1"/>
    <row r="549" ht="62.25" customHeight="1"/>
    <row r="550" ht="62.25" customHeight="1"/>
    <row r="551" ht="62.25" customHeight="1"/>
    <row r="552" ht="62.25" customHeight="1"/>
    <row r="553" ht="62.25" customHeight="1"/>
    <row r="554" ht="62.25" customHeight="1"/>
    <row r="555" ht="62.25" customHeight="1"/>
    <row r="556" ht="62.25" customHeight="1"/>
    <row r="557" ht="62.25" customHeight="1"/>
    <row r="558" ht="62.25" customHeight="1"/>
    <row r="559" ht="62.25" customHeight="1"/>
    <row r="560" ht="62.25" customHeight="1"/>
    <row r="561" ht="62.25" customHeight="1"/>
    <row r="562" ht="62.25" customHeight="1"/>
    <row r="563" ht="62.25" customHeight="1"/>
    <row r="564" ht="62.25" customHeight="1"/>
    <row r="565" ht="62.25" customHeight="1"/>
    <row r="566" ht="62.25" customHeight="1"/>
    <row r="567" ht="62.25" customHeight="1"/>
    <row r="568" ht="62.25" customHeight="1"/>
    <row r="569" ht="62.25" customHeight="1"/>
    <row r="570" ht="62.25" customHeight="1"/>
    <row r="571" ht="62.25" customHeight="1"/>
    <row r="572" ht="62.25" customHeight="1"/>
    <row r="573" ht="62.25" customHeight="1"/>
    <row r="574" ht="62.25" customHeight="1"/>
    <row r="575" ht="62.25" customHeight="1"/>
    <row r="576" ht="62.25" customHeight="1"/>
    <row r="577" ht="62.25" customHeight="1"/>
    <row r="578" ht="62.25" customHeight="1"/>
    <row r="579" ht="62.25" customHeight="1"/>
    <row r="580" ht="62.25" customHeight="1"/>
    <row r="581" ht="62.25" customHeight="1"/>
    <row r="582" ht="62.25" customHeight="1"/>
    <row r="583" ht="62.25" customHeight="1"/>
    <row r="584" ht="62.25" customHeight="1"/>
    <row r="585" ht="62.25" customHeight="1"/>
    <row r="586" ht="62.25" customHeight="1"/>
    <row r="587" ht="62.25" customHeight="1"/>
    <row r="588" ht="62.25" customHeight="1"/>
    <row r="589" ht="62.25" customHeight="1"/>
    <row r="590" ht="62.25" customHeight="1"/>
    <row r="591" ht="62.25" customHeight="1"/>
    <row r="592" ht="62.25" customHeight="1"/>
    <row r="593" ht="62.25" customHeight="1"/>
    <row r="594" ht="62.25" customHeight="1"/>
    <row r="595" ht="62.25" customHeight="1"/>
    <row r="596" ht="62.25" customHeight="1"/>
    <row r="597" ht="62.25" customHeight="1"/>
    <row r="598" ht="62.25" customHeight="1"/>
    <row r="599" ht="62.25" customHeight="1"/>
    <row r="600" ht="62.25" customHeight="1"/>
    <row r="601" ht="62.25" customHeight="1"/>
    <row r="602" ht="62.25" customHeight="1"/>
    <row r="603" ht="62.25" customHeight="1"/>
    <row r="604" ht="62.25" customHeight="1"/>
    <row r="605" ht="62.25" customHeight="1"/>
    <row r="606" ht="62.25" customHeight="1"/>
    <row r="607" ht="62.25" customHeight="1"/>
    <row r="608" ht="62.25" customHeight="1"/>
    <row r="609" ht="62.25" customHeight="1"/>
    <row r="610" ht="62.25" customHeight="1"/>
    <row r="611" ht="62.25" customHeight="1"/>
    <row r="612" ht="62.25" customHeight="1"/>
    <row r="613" ht="62.25" customHeight="1"/>
    <row r="614" ht="62.25" customHeight="1"/>
    <row r="615" ht="62.25" customHeight="1"/>
    <row r="616" ht="62.25" customHeight="1"/>
    <row r="617" ht="62.25" customHeight="1"/>
    <row r="618" ht="62.25" customHeight="1"/>
    <row r="619" ht="62.25" customHeight="1"/>
    <row r="620" ht="62.25" customHeight="1"/>
    <row r="621" ht="62.25" customHeight="1"/>
    <row r="622" ht="62.25" customHeight="1"/>
    <row r="623" ht="62.25" customHeight="1"/>
    <row r="624" ht="62.25" customHeight="1"/>
    <row r="625" ht="62.25" customHeight="1"/>
    <row r="626" ht="62.25" customHeight="1"/>
    <row r="627" ht="62.25" customHeight="1"/>
    <row r="628" ht="62.25" customHeight="1"/>
    <row r="629" ht="62.25" customHeight="1"/>
    <row r="630" ht="62.25" customHeight="1"/>
    <row r="631" ht="62.25" customHeight="1"/>
    <row r="632" ht="62.25" customHeight="1"/>
    <row r="633" ht="62.25" customHeight="1"/>
    <row r="634" ht="62.25" customHeight="1"/>
    <row r="635" ht="62.25" customHeight="1"/>
    <row r="636" ht="62.25" customHeight="1"/>
    <row r="637" ht="62.25" customHeight="1"/>
    <row r="638" ht="62.25" customHeight="1"/>
    <row r="639" ht="62.25" customHeight="1"/>
    <row r="640" ht="62.25" customHeight="1"/>
    <row r="641" ht="62.25" customHeight="1"/>
    <row r="642" ht="62.25" customHeight="1"/>
    <row r="643" ht="62.25" customHeight="1"/>
    <row r="644" ht="62.25" customHeight="1"/>
    <row r="645" ht="62.25" customHeight="1"/>
    <row r="646" ht="62.25" customHeight="1"/>
    <row r="647" ht="62.25" customHeight="1"/>
    <row r="648" ht="62.25" customHeight="1"/>
    <row r="649" ht="62.25" customHeight="1"/>
    <row r="650" ht="62.25" customHeight="1"/>
    <row r="651" ht="62.25" customHeight="1"/>
    <row r="652" ht="62.25" customHeight="1"/>
    <row r="653" ht="62.25" customHeight="1"/>
    <row r="654" ht="62.25" customHeight="1"/>
    <row r="655" ht="62.25" customHeight="1"/>
    <row r="656" ht="62.25" customHeight="1"/>
    <row r="657" ht="62.25" customHeight="1"/>
    <row r="658" ht="62.25" customHeight="1"/>
    <row r="659" ht="62.25" customHeight="1"/>
    <row r="660" ht="62.25" customHeight="1"/>
    <row r="661" ht="62.25" customHeight="1"/>
    <row r="662" ht="62.25" customHeight="1"/>
    <row r="663" ht="62.25" customHeight="1"/>
    <row r="664" ht="62.25" customHeight="1"/>
    <row r="665" ht="62.25" customHeight="1"/>
    <row r="666" ht="62.25" customHeight="1"/>
    <row r="667" ht="62.25" customHeight="1"/>
    <row r="668" ht="62.25" customHeight="1"/>
    <row r="669" ht="62.25" customHeight="1"/>
    <row r="670" ht="62.25" customHeight="1"/>
    <row r="671" ht="62.25" customHeight="1"/>
    <row r="672" ht="62.25" customHeight="1"/>
    <row r="673" ht="62.25" customHeight="1"/>
    <row r="674" ht="62.25" customHeight="1"/>
    <row r="675" ht="62.25" customHeight="1"/>
    <row r="676" ht="62.25" customHeight="1"/>
    <row r="677" ht="62.25" customHeight="1"/>
    <row r="678" ht="62.25" customHeight="1"/>
    <row r="679" ht="62.25" customHeight="1"/>
    <row r="680" ht="62.25" customHeight="1"/>
    <row r="681" ht="62.25" customHeight="1"/>
    <row r="682" ht="62.25" customHeight="1"/>
    <row r="683" ht="62.25" customHeight="1"/>
    <row r="684" ht="62.25" customHeight="1"/>
    <row r="685" ht="62.25" customHeight="1"/>
    <row r="686" ht="62.25" customHeight="1"/>
    <row r="687" ht="62.25" customHeight="1"/>
    <row r="688" ht="62.25" customHeight="1"/>
    <row r="689" ht="62.25" customHeight="1"/>
    <row r="690" ht="62.25" customHeight="1"/>
    <row r="691" ht="62.25" customHeight="1"/>
    <row r="692" ht="62.25" customHeight="1"/>
    <row r="693" ht="62.25" customHeight="1"/>
    <row r="694" ht="62.25" customHeight="1"/>
    <row r="695" ht="62.25" customHeight="1"/>
    <row r="696" ht="62.25" customHeight="1"/>
    <row r="697" ht="62.25" customHeight="1"/>
    <row r="698" ht="62.25" customHeight="1"/>
    <row r="699" ht="62.25" customHeight="1"/>
    <row r="700" ht="62.25" customHeight="1"/>
    <row r="701" ht="62.25" customHeight="1"/>
    <row r="702" ht="62.25" customHeight="1"/>
    <row r="703" ht="62.25" customHeight="1"/>
    <row r="704" ht="62.25" customHeight="1"/>
    <row r="705" ht="62.25" customHeight="1"/>
    <row r="706" ht="62.25" customHeight="1"/>
    <row r="707" ht="62.25" customHeight="1"/>
    <row r="708" ht="62.25" customHeight="1"/>
    <row r="709" ht="62.25" customHeight="1"/>
    <row r="710" ht="62.25" customHeight="1"/>
    <row r="711" ht="62.25" customHeight="1"/>
    <row r="712" ht="62.25" customHeight="1"/>
    <row r="713" ht="62.25" customHeight="1"/>
    <row r="714" ht="62.25" customHeight="1"/>
    <row r="715" ht="62.25" customHeight="1"/>
    <row r="716" ht="62.25" customHeight="1"/>
    <row r="717" ht="62.25" customHeight="1"/>
    <row r="718" ht="62.25" customHeight="1"/>
    <row r="719" ht="62.25" customHeight="1"/>
    <row r="720" ht="62.25" customHeight="1"/>
    <row r="721" ht="62.25" customHeight="1"/>
    <row r="722" ht="62.25" customHeight="1"/>
    <row r="723" ht="62.25" customHeight="1"/>
    <row r="724" ht="62.25" customHeight="1"/>
    <row r="725" ht="62.25" customHeight="1"/>
    <row r="726" ht="62.25" customHeight="1"/>
    <row r="727" ht="62.25" customHeight="1"/>
    <row r="728" ht="62.25" customHeight="1"/>
    <row r="729" ht="62.25" customHeight="1"/>
    <row r="730" ht="62.25" customHeight="1"/>
    <row r="731" ht="62.25" customHeight="1"/>
    <row r="732" ht="62.25" customHeight="1"/>
    <row r="733" ht="62.25" customHeight="1"/>
    <row r="734" ht="62.25" customHeight="1"/>
    <row r="735" ht="62.25" customHeight="1"/>
    <row r="736" ht="62.25" customHeight="1"/>
    <row r="737" ht="62.25" customHeight="1"/>
    <row r="738" ht="62.25" customHeight="1"/>
    <row r="739" ht="62.25" customHeight="1"/>
    <row r="740" ht="62.25" customHeight="1"/>
    <row r="741" ht="62.25" customHeight="1"/>
    <row r="742" ht="62.25" customHeight="1"/>
    <row r="743" ht="62.25" customHeight="1"/>
    <row r="744" ht="62.25" customHeight="1"/>
    <row r="745" ht="62.25" customHeight="1"/>
    <row r="746" ht="62.25" customHeight="1"/>
    <row r="747" ht="62.25" customHeight="1"/>
    <row r="748" ht="62.25" customHeight="1"/>
    <row r="749" ht="62.25" customHeight="1"/>
    <row r="750" ht="62.25" customHeight="1"/>
    <row r="751" ht="62.25" customHeight="1"/>
    <row r="752" ht="62.25" customHeight="1"/>
    <row r="753" ht="62.25" customHeight="1"/>
    <row r="754" ht="62.25" customHeight="1"/>
    <row r="755" ht="62.25" customHeight="1"/>
    <row r="756" ht="62.25" customHeight="1"/>
    <row r="757" ht="62.25" customHeight="1"/>
    <row r="758" ht="62.25" customHeight="1"/>
    <row r="759" ht="62.25" customHeight="1"/>
    <row r="760" ht="62.25" customHeight="1"/>
    <row r="761" ht="62.25" customHeight="1"/>
    <row r="762" ht="62.25" customHeight="1"/>
    <row r="763" ht="62.25" customHeight="1"/>
    <row r="764" ht="62.25" customHeight="1"/>
    <row r="765" ht="62.25" customHeight="1"/>
    <row r="766" ht="62.25" customHeight="1"/>
    <row r="767" ht="62.25" customHeight="1"/>
    <row r="768" ht="62.25" customHeight="1"/>
    <row r="769" ht="62.25" customHeight="1"/>
    <row r="770" ht="62.25" customHeight="1"/>
    <row r="771" ht="62.25" customHeight="1"/>
    <row r="772" ht="62.25" customHeight="1"/>
    <row r="773" ht="62.25" customHeight="1"/>
    <row r="774" ht="62.25" customHeight="1"/>
    <row r="775" ht="62.25" customHeight="1"/>
    <row r="776" ht="62.25" customHeight="1"/>
    <row r="777" ht="62.25" customHeight="1"/>
    <row r="778" ht="62.25" customHeight="1"/>
    <row r="779" ht="62.25" customHeight="1"/>
    <row r="780" ht="62.25" customHeight="1"/>
    <row r="781" ht="62.25" customHeight="1"/>
    <row r="782" ht="62.25" customHeight="1"/>
    <row r="783" ht="62.25" customHeight="1"/>
    <row r="784" ht="62.25" customHeight="1"/>
    <row r="785" ht="62.25" customHeight="1"/>
    <row r="786" ht="62.25" customHeight="1"/>
    <row r="787" ht="62.25" customHeight="1"/>
    <row r="788" ht="62.25" customHeight="1"/>
    <row r="789" ht="62.25" customHeight="1"/>
    <row r="790" ht="62.25" customHeight="1"/>
    <row r="791" ht="62.25" customHeight="1"/>
    <row r="792" ht="62.25" customHeight="1"/>
    <row r="793" ht="62.25" customHeight="1"/>
    <row r="794" ht="62.25" customHeight="1"/>
    <row r="795" ht="62.25" customHeight="1"/>
    <row r="796" ht="62.25" customHeight="1"/>
    <row r="797" ht="62.25" customHeight="1"/>
    <row r="798" ht="62.25" customHeight="1"/>
    <row r="799" ht="62.25" customHeight="1"/>
    <row r="800" ht="62.25" customHeight="1"/>
    <row r="801" ht="62.25" customHeight="1"/>
    <row r="802" ht="62.25" customHeight="1"/>
    <row r="803" ht="62.25" customHeight="1"/>
    <row r="804" ht="62.25" customHeight="1"/>
    <row r="805" ht="62.25" customHeight="1"/>
    <row r="806" ht="62.25" customHeight="1"/>
    <row r="807" ht="62.25" customHeight="1"/>
    <row r="808" ht="62.25" customHeight="1"/>
    <row r="809" ht="62.25" customHeight="1"/>
    <row r="810" ht="62.25" customHeight="1"/>
    <row r="811" ht="62.25" customHeight="1"/>
    <row r="812" ht="62.25" customHeight="1"/>
    <row r="813" ht="62.25" customHeight="1"/>
    <row r="814" ht="62.25" customHeight="1"/>
    <row r="815" ht="62.25" customHeight="1"/>
    <row r="816" ht="62.25" customHeight="1"/>
    <row r="817" ht="62.25" customHeight="1"/>
    <row r="818" ht="62.25" customHeight="1"/>
    <row r="819" ht="62.25" customHeight="1"/>
    <row r="820" ht="62.25" customHeight="1"/>
    <row r="821" ht="62.25" customHeight="1"/>
    <row r="822" ht="62.25" customHeight="1"/>
    <row r="823" ht="62.25" customHeight="1"/>
    <row r="824" ht="62.25" customHeight="1"/>
    <row r="825" ht="62.25" customHeight="1"/>
    <row r="826" ht="62.25" customHeight="1"/>
    <row r="827" ht="62.25" customHeight="1"/>
    <row r="828" ht="62.25" customHeight="1"/>
    <row r="829" ht="62.25" customHeight="1"/>
    <row r="830" ht="62.25" customHeight="1"/>
    <row r="831" ht="62.25" customHeight="1"/>
    <row r="832" ht="62.25" customHeight="1"/>
    <row r="833" ht="62.25" customHeight="1"/>
    <row r="834" ht="62.25" customHeight="1"/>
    <row r="835" ht="62.25" customHeight="1"/>
    <row r="836" ht="62.25" customHeight="1"/>
    <row r="837" ht="62.25" customHeight="1"/>
    <row r="838" ht="62.25" customHeight="1"/>
    <row r="839" ht="62.25" customHeight="1"/>
    <row r="840" ht="62.25" customHeight="1"/>
    <row r="841" ht="62.25" customHeight="1"/>
    <row r="842" ht="62.25" customHeight="1"/>
    <row r="843" ht="62.25" customHeight="1"/>
    <row r="844" ht="62.25" customHeight="1"/>
    <row r="845" ht="62.25" customHeight="1"/>
    <row r="846" ht="62.25" customHeight="1"/>
    <row r="847" ht="62.25" customHeight="1"/>
    <row r="848" ht="62.25" customHeight="1"/>
    <row r="849" ht="62.25" customHeight="1"/>
    <row r="850" ht="62.25" customHeight="1"/>
    <row r="851" ht="62.25" customHeight="1"/>
    <row r="852" ht="62.25" customHeight="1"/>
    <row r="853" ht="62.25" customHeight="1"/>
    <row r="854" ht="62.25" customHeight="1"/>
    <row r="855" ht="62.25" customHeight="1"/>
    <row r="856" ht="62.25" customHeight="1"/>
    <row r="857" ht="62.25" customHeight="1"/>
    <row r="858" ht="62.25" customHeight="1"/>
    <row r="859" ht="62.25" customHeight="1"/>
    <row r="860" ht="62.25" customHeight="1"/>
    <row r="861" ht="62.25" customHeight="1"/>
    <row r="862" ht="62.25" customHeight="1"/>
    <row r="863" ht="62.25" customHeight="1"/>
    <row r="864" ht="62.25" customHeight="1"/>
    <row r="865" ht="62.25" customHeight="1"/>
    <row r="866" ht="62.25" customHeight="1"/>
    <row r="867" ht="62.25" customHeight="1"/>
    <row r="868" ht="62.25" customHeight="1"/>
    <row r="869" ht="62.25" customHeight="1"/>
    <row r="870" ht="62.25" customHeight="1"/>
    <row r="871" ht="62.25" customHeight="1"/>
    <row r="872" ht="62.25" customHeight="1"/>
    <row r="873" ht="62.25" customHeight="1"/>
    <row r="874" ht="62.25" customHeight="1"/>
    <row r="875" ht="62.25" customHeight="1"/>
    <row r="876" ht="62.25" customHeight="1"/>
    <row r="877" ht="62.25" customHeight="1"/>
    <row r="878" ht="62.25" customHeight="1"/>
    <row r="879" ht="62.25" customHeight="1"/>
    <row r="880" ht="62.25" customHeight="1"/>
    <row r="881" ht="62.25" customHeight="1"/>
    <row r="882" ht="62.25" customHeight="1"/>
    <row r="883" ht="62.25" customHeight="1"/>
    <row r="884" ht="62.25" customHeight="1"/>
    <row r="885" ht="62.25" customHeight="1"/>
    <row r="886" ht="62.25" customHeight="1"/>
    <row r="887" ht="62.25" customHeight="1"/>
    <row r="888" ht="62.25" customHeight="1"/>
    <row r="889" ht="62.25" customHeight="1"/>
    <row r="890" ht="62.25" customHeight="1"/>
    <row r="891" ht="62.25" customHeight="1"/>
    <row r="892" ht="62.25" customHeight="1"/>
    <row r="893" ht="62.25" customHeight="1"/>
    <row r="894" ht="62.25" customHeight="1"/>
    <row r="895" ht="62.25" customHeight="1"/>
    <row r="896" ht="62.25" customHeight="1"/>
    <row r="897" ht="62.25" customHeight="1"/>
    <row r="898" ht="62.25" customHeight="1"/>
    <row r="899" ht="62.25" customHeight="1"/>
    <row r="900" ht="62.25" customHeight="1"/>
    <row r="901" ht="62.25" customHeight="1"/>
    <row r="902" ht="62.25" customHeight="1"/>
    <row r="903" ht="62.25" customHeight="1"/>
    <row r="904" ht="62.25" customHeight="1"/>
    <row r="905" ht="62.25" customHeight="1"/>
    <row r="906" ht="62.25" customHeight="1"/>
    <row r="907" ht="62.25" customHeight="1"/>
    <row r="908" ht="62.25" customHeight="1"/>
    <row r="909" ht="62.25" customHeight="1"/>
    <row r="910" ht="62.25" customHeight="1"/>
    <row r="911" ht="62.25" customHeight="1"/>
    <row r="912" ht="62.25" customHeight="1"/>
    <row r="913" ht="62.25" customHeight="1"/>
    <row r="914" ht="62.25" customHeight="1"/>
    <row r="915" ht="62.25" customHeight="1"/>
    <row r="916" ht="62.25" customHeight="1"/>
    <row r="917" ht="62.25" customHeight="1"/>
    <row r="918" ht="62.25" customHeight="1"/>
    <row r="919" ht="62.25" customHeight="1"/>
    <row r="920" ht="62.25" customHeight="1"/>
    <row r="921" ht="62.25" customHeight="1"/>
    <row r="922" ht="62.25" customHeight="1"/>
    <row r="923" ht="62.25" customHeight="1"/>
    <row r="924" ht="62.25" customHeight="1"/>
    <row r="925" ht="62.25" customHeight="1"/>
    <row r="926" ht="62.25" customHeight="1"/>
    <row r="927" ht="62.25" customHeight="1"/>
    <row r="928" ht="62.25" customHeight="1"/>
    <row r="929" ht="62.25" customHeight="1"/>
    <row r="930" ht="62.25" customHeight="1"/>
    <row r="931" ht="62.25" customHeight="1"/>
    <row r="932" ht="62.25" customHeight="1"/>
    <row r="933" ht="62.25" customHeight="1"/>
    <row r="934" ht="62.25" customHeight="1"/>
    <row r="935" ht="62.25" customHeight="1"/>
    <row r="936" ht="62.25" customHeight="1"/>
    <row r="937" ht="62.25" customHeight="1"/>
    <row r="938" ht="62.25" customHeight="1"/>
    <row r="939" ht="62.25" customHeight="1"/>
    <row r="940" ht="62.25" customHeight="1"/>
    <row r="941" ht="62.25" customHeight="1"/>
    <row r="942" ht="62.25" customHeight="1"/>
    <row r="943" ht="62.25" customHeight="1"/>
    <row r="944" ht="62.25" customHeight="1"/>
    <row r="945" ht="62.25" customHeight="1"/>
    <row r="946" ht="62.25" customHeight="1"/>
    <row r="947" ht="62.25" customHeight="1"/>
    <row r="948" ht="62.25" customHeight="1"/>
    <row r="949" ht="62.25" customHeight="1"/>
    <row r="950" ht="62.25" customHeight="1"/>
    <row r="951" ht="62.25" customHeight="1"/>
    <row r="952" ht="62.25" customHeight="1"/>
    <row r="953" ht="62.25" customHeight="1"/>
    <row r="954" ht="62.25" customHeight="1"/>
    <row r="955" ht="62.25" customHeight="1"/>
    <row r="956" ht="62.25" customHeight="1"/>
    <row r="957" ht="62.25" customHeight="1"/>
    <row r="958" ht="62.25" customHeight="1"/>
    <row r="959" ht="62.25" customHeight="1"/>
    <row r="960" ht="62.25" customHeight="1"/>
    <row r="961" ht="62.25" customHeight="1"/>
    <row r="962" ht="62.25" customHeight="1"/>
    <row r="963" ht="62.25" customHeight="1"/>
    <row r="964" ht="62.25" customHeight="1"/>
    <row r="965" ht="62.25" customHeight="1"/>
    <row r="966" ht="62.25" customHeight="1"/>
    <row r="967" ht="62.25" customHeight="1"/>
    <row r="968" ht="62.25" customHeight="1"/>
    <row r="969" ht="62.25" customHeight="1"/>
    <row r="970" ht="62.25" customHeight="1"/>
    <row r="971" ht="62.25" customHeight="1"/>
    <row r="972" ht="62.25" customHeight="1"/>
    <row r="973" ht="62.25" customHeight="1"/>
    <row r="974" ht="62.25" customHeight="1"/>
    <row r="975" ht="62.25" customHeight="1"/>
    <row r="976" ht="62.25" customHeight="1"/>
    <row r="977" ht="62.25" customHeight="1"/>
    <row r="978" ht="62.25" customHeight="1"/>
    <row r="979" ht="62.25" customHeight="1"/>
    <row r="980" ht="62.25" customHeight="1"/>
    <row r="981" ht="62.25" customHeight="1"/>
    <row r="982" ht="62.25" customHeight="1"/>
    <row r="983" ht="62.25" customHeight="1"/>
    <row r="984" ht="62.25" customHeight="1"/>
    <row r="985" ht="62.25" customHeight="1"/>
    <row r="986" ht="62.25" customHeight="1"/>
    <row r="987" ht="62.25" customHeight="1"/>
    <row r="988" ht="62.25" customHeight="1"/>
    <row r="989" ht="62.25" customHeight="1"/>
    <row r="990" ht="62.25" customHeight="1"/>
    <row r="991" ht="62.25" customHeight="1"/>
    <row r="992" ht="62.25" customHeight="1"/>
    <row r="993" ht="62.25" customHeight="1"/>
    <row r="994" ht="62.25" customHeight="1"/>
    <row r="995" ht="62.25" customHeight="1"/>
    <row r="996" ht="62.25" customHeight="1"/>
    <row r="997" ht="62.25" customHeight="1"/>
    <row r="998" ht="62.25" customHeight="1"/>
    <row r="999" ht="62.25" customHeight="1"/>
    <row r="1000" ht="62.25" customHeight="1"/>
  </sheetData>
  <conditionalFormatting sqref="D2:D187">
    <cfRule type="containsText" dxfId="0" priority="1" operator="containsText" text="Publicado">
      <formula>NOT(ISERROR(SEARCH(("Publicado"),(D2))))</formula>
    </cfRule>
  </conditionalFormatting>
  <conditionalFormatting sqref="D2:D187">
    <cfRule type="containsText" dxfId="1" priority="2" operator="containsText" text="Rascunho">
      <formula>NOT(ISERROR(SEARCH(("Rascunho"),(D2))))</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s>
  <drawing r:id="rId1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26.25"/>
    <col customWidth="1" min="3" max="3" width="29.25"/>
  </cols>
  <sheetData>
    <row r="1">
      <c r="A1" s="1" t="s">
        <v>2376</v>
      </c>
      <c r="B1" s="1" t="s">
        <v>13</v>
      </c>
      <c r="C1" s="1" t="s">
        <v>2377</v>
      </c>
    </row>
    <row r="2">
      <c r="A2" s="1">
        <v>3.1974530052237E13</v>
      </c>
      <c r="B2" s="1" t="s">
        <v>2231</v>
      </c>
      <c r="C2" s="1" t="s">
        <v>2231</v>
      </c>
    </row>
    <row r="3">
      <c r="A3" s="1">
        <v>2.1546550050701E13</v>
      </c>
      <c r="B3" s="1" t="s">
        <v>2236</v>
      </c>
      <c r="C3" s="1" t="s">
        <v>2236</v>
      </c>
    </row>
    <row r="4">
      <c r="A4" s="1">
        <v>2.1546200101389E13</v>
      </c>
      <c r="B4" s="1" t="s">
        <v>2236</v>
      </c>
      <c r="C4" s="1" t="s">
        <v>2236</v>
      </c>
    </row>
    <row r="5">
      <c r="A5" s="1">
        <v>2.1535317991181E13</v>
      </c>
      <c r="B5" s="1" t="s">
        <v>2378</v>
      </c>
      <c r="C5" s="1" t="s">
        <v>2245</v>
      </c>
    </row>
    <row r="6">
      <c r="A6" s="1">
        <v>2.1437444874509E13</v>
      </c>
      <c r="B6" s="1" t="s">
        <v>2231</v>
      </c>
      <c r="C6" s="1" t="s">
        <v>2250</v>
      </c>
    </row>
    <row r="7">
      <c r="A7" s="1">
        <v>2.1388893615245E13</v>
      </c>
      <c r="B7" s="1" t="s">
        <v>2231</v>
      </c>
      <c r="C7" s="1" t="s">
        <v>2231</v>
      </c>
    </row>
    <row r="8">
      <c r="A8" s="1">
        <v>2.1335802337165E13</v>
      </c>
      <c r="B8" s="1" t="s">
        <v>2379</v>
      </c>
      <c r="C8" s="1" t="s">
        <v>2259</v>
      </c>
    </row>
    <row r="9">
      <c r="A9" s="1">
        <v>2.1321243806605E13</v>
      </c>
      <c r="B9" s="1" t="s">
        <v>2264</v>
      </c>
      <c r="C9" s="1" t="s">
        <v>2264</v>
      </c>
    </row>
    <row r="10">
      <c r="A10" s="1">
        <v>2.1321143473549E13</v>
      </c>
      <c r="B10" s="1" t="s">
        <v>2264</v>
      </c>
      <c r="C10" s="1" t="s">
        <v>2264</v>
      </c>
    </row>
    <row r="11">
      <c r="A11" s="1">
        <v>2.1320366235149E13</v>
      </c>
      <c r="B11" s="1" t="s">
        <v>2264</v>
      </c>
      <c r="C11" s="1" t="s">
        <v>96</v>
      </c>
    </row>
    <row r="12">
      <c r="A12" s="1">
        <v>2.1194573757837E13</v>
      </c>
      <c r="B12" s="1" t="s">
        <v>2379</v>
      </c>
      <c r="C12" s="1" t="s">
        <v>2277</v>
      </c>
    </row>
    <row r="13">
      <c r="A13" s="1">
        <v>2.1193197828493E13</v>
      </c>
      <c r="B13" s="1" t="s">
        <v>2282</v>
      </c>
      <c r="C13" s="1" t="s">
        <v>2282</v>
      </c>
    </row>
    <row r="14">
      <c r="A14" s="1">
        <v>2.1191337151245E13</v>
      </c>
      <c r="B14" s="1" t="s">
        <v>2282</v>
      </c>
      <c r="C14" s="1" t="s">
        <v>2282</v>
      </c>
    </row>
    <row r="15">
      <c r="A15" s="1">
        <v>2.1191019931405E13</v>
      </c>
      <c r="B15" s="1" t="s">
        <v>2282</v>
      </c>
      <c r="C15" s="1" t="s">
        <v>2282</v>
      </c>
    </row>
    <row r="16">
      <c r="A16" s="1">
        <v>1.7576958544269E13</v>
      </c>
      <c r="B16" s="1" t="s">
        <v>2236</v>
      </c>
      <c r="C16" s="1" t="s">
        <v>2236</v>
      </c>
    </row>
    <row r="17">
      <c r="A17" s="1">
        <v>1.7576949803149E13</v>
      </c>
      <c r="B17" s="1" t="s">
        <v>2231</v>
      </c>
      <c r="C17" s="1" t="s">
        <v>2231</v>
      </c>
    </row>
    <row r="18">
      <c r="A18" s="1">
        <v>1.7576960767501E13</v>
      </c>
      <c r="B18" s="1" t="s">
        <v>2231</v>
      </c>
      <c r="C18" s="1" t="s">
        <v>2231</v>
      </c>
    </row>
    <row r="19">
      <c r="A19" s="1">
        <v>2.1548989029773E13</v>
      </c>
      <c r="B19" s="1" t="s">
        <v>2231</v>
      </c>
      <c r="C19" s="1" t="s">
        <v>2250</v>
      </c>
    </row>
    <row r="20">
      <c r="A20" s="1">
        <v>2.1539182906509E13</v>
      </c>
      <c r="B20" s="1" t="s">
        <v>2236</v>
      </c>
      <c r="C20" s="1" t="s">
        <v>2236</v>
      </c>
    </row>
    <row r="21">
      <c r="A21" s="1">
        <v>2.1334091379085E13</v>
      </c>
      <c r="B21" s="1" t="s">
        <v>2378</v>
      </c>
      <c r="C21" s="1" t="s">
        <v>2315</v>
      </c>
    </row>
    <row r="22">
      <c r="A22" s="1">
        <v>2.1330992215437E13</v>
      </c>
      <c r="B22" s="1" t="s">
        <v>2379</v>
      </c>
      <c r="C22" s="1" t="s">
        <v>2320</v>
      </c>
    </row>
    <row r="23">
      <c r="A23" s="1">
        <v>3.1977286869773E13</v>
      </c>
      <c r="B23" s="1" t="s">
        <v>2379</v>
      </c>
      <c r="C23" s="1" t="s">
        <v>2320</v>
      </c>
    </row>
    <row r="24">
      <c r="A24" s="1">
        <v>2.1548644503437E13</v>
      </c>
      <c r="B24" s="1" t="s">
        <v>2231</v>
      </c>
      <c r="C24" s="1" t="s">
        <v>2250</v>
      </c>
    </row>
    <row r="25">
      <c r="A25" s="1">
        <v>2.1538404709901E13</v>
      </c>
      <c r="B25" s="1" t="s">
        <v>2236</v>
      </c>
      <c r="C25" s="1" t="s">
        <v>2236</v>
      </c>
    </row>
    <row r="26">
      <c r="A26" s="1">
        <v>2.1335033812621E13</v>
      </c>
      <c r="B26" s="1" t="s">
        <v>2379</v>
      </c>
      <c r="C26" s="1" t="s">
        <v>2259</v>
      </c>
    </row>
    <row r="27">
      <c r="A27" s="1">
        <v>3.1975424122253E13</v>
      </c>
      <c r="B27" s="1" t="s">
        <v>2379</v>
      </c>
      <c r="C27" s="1" t="s">
        <v>2320</v>
      </c>
    </row>
    <row r="28">
      <c r="A28" s="1">
        <v>2.1441225233037E13</v>
      </c>
      <c r="B28" s="1" t="s">
        <v>2231</v>
      </c>
      <c r="C28" s="1" t="s">
        <v>2250</v>
      </c>
    </row>
    <row r="29">
      <c r="A29" s="1">
        <v>2.1550086559245E13</v>
      </c>
      <c r="B29" s="1" t="s">
        <v>2231</v>
      </c>
      <c r="C29" s="1" t="s">
        <v>2250</v>
      </c>
    </row>
    <row r="30">
      <c r="A30" s="1">
        <v>2.1538774959373E13</v>
      </c>
      <c r="B30" s="1" t="s">
        <v>2236</v>
      </c>
      <c r="C30" s="1" t="s">
        <v>2236</v>
      </c>
    </row>
    <row r="31">
      <c r="A31" s="1">
        <v>2.1192934251021E13</v>
      </c>
      <c r="B31" s="1" t="s">
        <v>2379</v>
      </c>
      <c r="C31" s="1" t="s">
        <v>2320</v>
      </c>
    </row>
    <row r="32">
      <c r="A32" s="1">
        <v>2.1545561544973E13</v>
      </c>
      <c r="B32" s="1" t="s">
        <v>2236</v>
      </c>
      <c r="C32" s="1" t="s">
        <v>2236</v>
      </c>
    </row>
    <row r="33">
      <c r="A33" s="1">
        <v>2.1539429059725E13</v>
      </c>
      <c r="B33" s="1" t="s">
        <v>2236</v>
      </c>
      <c r="C33" s="1" t="s">
        <v>2236</v>
      </c>
    </row>
    <row r="34">
      <c r="A34" s="1">
        <v>2.1539267227661E13</v>
      </c>
      <c r="B34" s="1" t="s">
        <v>2236</v>
      </c>
      <c r="C34" s="1" t="s">
        <v>2236</v>
      </c>
    </row>
    <row r="35">
      <c r="A35" s="1">
        <v>2.1538565680269E13</v>
      </c>
      <c r="B35" s="1" t="s">
        <v>2236</v>
      </c>
      <c r="C35" s="1" t="s">
        <v>2236</v>
      </c>
    </row>
    <row r="36">
      <c r="A36" s="1">
        <v>1.5794686007053E13</v>
      </c>
      <c r="B36" s="1" t="s">
        <v>2380</v>
      </c>
      <c r="C36" s="1" t="s">
        <v>2164</v>
      </c>
    </row>
    <row r="37">
      <c r="A37" s="1">
        <v>1.5794675334285E13</v>
      </c>
      <c r="B37" s="1" t="s">
        <v>2380</v>
      </c>
      <c r="C37" s="1" t="s">
        <v>2170</v>
      </c>
    </row>
    <row r="38">
      <c r="A38" s="1">
        <v>1.5794645210893E13</v>
      </c>
      <c r="B38" s="1" t="s">
        <v>2380</v>
      </c>
      <c r="C38" s="1" t="s">
        <v>2175</v>
      </c>
    </row>
    <row r="39">
      <c r="A39" s="1">
        <v>1.5794641932557E13</v>
      </c>
      <c r="B39" s="1" t="s">
        <v>2380</v>
      </c>
      <c r="C39" s="1" t="s">
        <v>2180</v>
      </c>
    </row>
    <row r="40">
      <c r="A40" s="1">
        <v>1.5794606914701E13</v>
      </c>
      <c r="B40" s="1" t="s">
        <v>2380</v>
      </c>
      <c r="C40" s="1" t="s">
        <v>2180</v>
      </c>
    </row>
    <row r="41">
      <c r="A41" s="1">
        <v>1.5794578117517E13</v>
      </c>
      <c r="B41" s="1" t="s">
        <v>2380</v>
      </c>
      <c r="C41" s="1" t="s">
        <v>2189</v>
      </c>
    </row>
    <row r="42">
      <c r="A42" s="1">
        <v>1.5794575554829E13</v>
      </c>
      <c r="B42" s="1" t="s">
        <v>2380</v>
      </c>
      <c r="C42" s="1" t="s">
        <v>2194</v>
      </c>
    </row>
    <row r="43">
      <c r="A43" s="1">
        <v>1.5794522403597E13</v>
      </c>
      <c r="B43" s="1" t="s">
        <v>2380</v>
      </c>
      <c r="C43" s="1" t="s">
        <v>2199</v>
      </c>
    </row>
    <row r="44">
      <c r="A44" s="1">
        <v>1.5794519365773E13</v>
      </c>
      <c r="B44" s="1" t="s">
        <v>2380</v>
      </c>
      <c r="C44" s="1" t="s">
        <v>2204</v>
      </c>
    </row>
    <row r="45">
      <c r="A45" s="1">
        <v>1.5794541644685E13</v>
      </c>
      <c r="B45" s="1" t="s">
        <v>2380</v>
      </c>
      <c r="C45" s="1" t="s">
        <v>2209</v>
      </c>
    </row>
    <row r="46">
      <c r="A46" s="1">
        <v>1.5794232790157E13</v>
      </c>
      <c r="B46" s="1" t="s">
        <v>2380</v>
      </c>
      <c r="C46" s="1" t="s">
        <v>2214</v>
      </c>
    </row>
    <row r="47">
      <c r="A47" s="1">
        <v>1.5794193866381E13</v>
      </c>
      <c r="B47" s="1" t="s">
        <v>2381</v>
      </c>
      <c r="C47" s="1" t="s">
        <v>2219</v>
      </c>
    </row>
    <row r="48">
      <c r="A48" s="1">
        <v>1.5794190489741E13</v>
      </c>
      <c r="B48" s="1" t="s">
        <v>2381</v>
      </c>
      <c r="C48" s="1" t="s">
        <v>2224</v>
      </c>
    </row>
    <row r="49">
      <c r="A49" s="1">
        <v>4.6580151525773E13</v>
      </c>
      <c r="B49" s="1" t="s">
        <v>2382</v>
      </c>
      <c r="C49" s="1" t="s">
        <v>957</v>
      </c>
    </row>
    <row r="50">
      <c r="A50" s="1">
        <v>4.5969746240653E13</v>
      </c>
      <c r="B50" s="1" t="s">
        <v>2382</v>
      </c>
      <c r="C50" s="1" t="s">
        <v>957</v>
      </c>
    </row>
    <row r="51">
      <c r="A51" s="1">
        <v>4.5969542413965E13</v>
      </c>
      <c r="B51" s="1" t="s">
        <v>2382</v>
      </c>
      <c r="C51" s="1" t="s">
        <v>957</v>
      </c>
    </row>
    <row r="52">
      <c r="A52" s="1">
        <v>4.5640367424525E13</v>
      </c>
      <c r="B52" s="1" t="s">
        <v>2382</v>
      </c>
      <c r="C52" s="1" t="s">
        <v>957</v>
      </c>
    </row>
    <row r="53">
      <c r="A53" s="1">
        <v>4.5445136445709E13</v>
      </c>
      <c r="B53" s="1" t="s">
        <v>2382</v>
      </c>
      <c r="C53" s="1" t="s">
        <v>981</v>
      </c>
    </row>
    <row r="54">
      <c r="A54" s="1">
        <v>4.5398674305549E13</v>
      </c>
      <c r="B54" s="1" t="s">
        <v>2382</v>
      </c>
      <c r="C54" s="1" t="s">
        <v>957</v>
      </c>
    </row>
    <row r="55">
      <c r="A55" s="1">
        <v>4.5175124069133E13</v>
      </c>
      <c r="B55" s="1" t="s">
        <v>2382</v>
      </c>
      <c r="C55" s="1" t="s">
        <v>981</v>
      </c>
    </row>
    <row r="56">
      <c r="A56" s="1">
        <v>4.3417777244557E13</v>
      </c>
      <c r="B56" s="1" t="s">
        <v>2382</v>
      </c>
      <c r="C56" s="1" t="s">
        <v>957</v>
      </c>
    </row>
    <row r="57">
      <c r="A57" s="1">
        <v>4.3287279721485E13</v>
      </c>
      <c r="B57" s="1" t="s">
        <v>2382</v>
      </c>
      <c r="C57" s="1" t="s">
        <v>981</v>
      </c>
    </row>
    <row r="58">
      <c r="A58" s="1">
        <v>4.3079305437069E13</v>
      </c>
      <c r="B58" s="1" t="s">
        <v>2382</v>
      </c>
      <c r="C58" s="1" t="s">
        <v>957</v>
      </c>
    </row>
    <row r="59">
      <c r="A59" s="1">
        <v>4.1548829098765E13</v>
      </c>
      <c r="B59" s="1" t="s">
        <v>2382</v>
      </c>
      <c r="C59" s="1" t="s">
        <v>981</v>
      </c>
    </row>
    <row r="60">
      <c r="A60" s="1">
        <v>4.1200958123533E13</v>
      </c>
      <c r="B60" s="1" t="s">
        <v>2382</v>
      </c>
      <c r="C60" s="1" t="s">
        <v>957</v>
      </c>
    </row>
    <row r="61">
      <c r="A61" s="1">
        <v>4.1200676487309E13</v>
      </c>
      <c r="B61" s="1" t="s">
        <v>2382</v>
      </c>
      <c r="C61" s="1" t="s">
        <v>957</v>
      </c>
    </row>
    <row r="62">
      <c r="A62" s="1">
        <v>4.1200449568653E13</v>
      </c>
      <c r="B62" s="1" t="s">
        <v>2382</v>
      </c>
      <c r="C62" s="1" t="s">
        <v>981</v>
      </c>
    </row>
    <row r="63">
      <c r="A63" s="1">
        <v>4.0886099111565E13</v>
      </c>
      <c r="B63" s="1" t="s">
        <v>2382</v>
      </c>
      <c r="C63" s="1" t="s">
        <v>957</v>
      </c>
    </row>
    <row r="64">
      <c r="A64" s="1">
        <v>3.9657211014157E13</v>
      </c>
      <c r="B64" s="1" t="s">
        <v>2382</v>
      </c>
      <c r="C64" s="1" t="s">
        <v>957</v>
      </c>
    </row>
    <row r="65">
      <c r="A65" s="1">
        <v>3.9656940905229E13</v>
      </c>
      <c r="B65" s="1" t="s">
        <v>2382</v>
      </c>
      <c r="C65" s="1" t="s">
        <v>981</v>
      </c>
    </row>
    <row r="66">
      <c r="A66" s="1">
        <v>3.9406117531405E13</v>
      </c>
      <c r="B66" s="1" t="s">
        <v>2382</v>
      </c>
      <c r="C66" s="1" t="s">
        <v>957</v>
      </c>
    </row>
    <row r="67">
      <c r="A67" s="1">
        <v>3.8085354542221E13</v>
      </c>
      <c r="B67" s="1" t="s">
        <v>2383</v>
      </c>
      <c r="C67" s="1" t="s">
        <v>1062</v>
      </c>
    </row>
    <row r="68">
      <c r="A68" s="1">
        <v>3.7649625863565E13</v>
      </c>
      <c r="B68" s="1" t="s">
        <v>2382</v>
      </c>
      <c r="C68" s="1" t="s">
        <v>957</v>
      </c>
    </row>
    <row r="69">
      <c r="A69" s="1">
        <v>3.5458668968205E13</v>
      </c>
      <c r="B69" s="1" t="s">
        <v>2382</v>
      </c>
      <c r="C69" s="1" t="s">
        <v>981</v>
      </c>
    </row>
    <row r="70">
      <c r="A70" s="1">
        <v>3.5219054400013E13</v>
      </c>
      <c r="B70" s="1" t="s">
        <v>2382</v>
      </c>
      <c r="C70" s="1" t="s">
        <v>957</v>
      </c>
    </row>
    <row r="71">
      <c r="A71" s="1">
        <v>3.4977454727309E13</v>
      </c>
      <c r="B71" s="1" t="s">
        <v>2382</v>
      </c>
      <c r="C71" s="1" t="s">
        <v>957</v>
      </c>
    </row>
    <row r="72">
      <c r="A72" s="1">
        <v>3.4533744033293E13</v>
      </c>
      <c r="B72" s="1" t="s">
        <v>85</v>
      </c>
      <c r="C72" s="1" t="s">
        <v>85</v>
      </c>
    </row>
    <row r="73">
      <c r="A73" s="1">
        <v>3.2788615559437E13</v>
      </c>
      <c r="B73" s="1" t="s">
        <v>2382</v>
      </c>
      <c r="C73" s="1" t="s">
        <v>957</v>
      </c>
    </row>
    <row r="74">
      <c r="A74" s="1">
        <v>3.2765029645453E13</v>
      </c>
      <c r="B74" s="1" t="s">
        <v>2382</v>
      </c>
      <c r="C74" s="1" t="s">
        <v>957</v>
      </c>
    </row>
    <row r="75">
      <c r="A75" s="1">
        <v>3.2750085420813E13</v>
      </c>
      <c r="B75" s="1" t="s">
        <v>2382</v>
      </c>
      <c r="C75" s="1" t="s">
        <v>957</v>
      </c>
    </row>
    <row r="76">
      <c r="A76" s="1">
        <v>3.2382131940749E13</v>
      </c>
      <c r="B76" s="1" t="s">
        <v>2382</v>
      </c>
      <c r="C76" s="1" t="s">
        <v>981</v>
      </c>
    </row>
    <row r="77">
      <c r="A77" s="1">
        <v>3.2342362768781E13</v>
      </c>
      <c r="B77" s="1" t="s">
        <v>2382</v>
      </c>
      <c r="C77" s="1" t="s">
        <v>957</v>
      </c>
    </row>
    <row r="78">
      <c r="A78" s="1">
        <v>3.1894433750669E13</v>
      </c>
      <c r="B78" s="1" t="s">
        <v>2382</v>
      </c>
      <c r="C78" s="1" t="s">
        <v>981</v>
      </c>
    </row>
    <row r="79">
      <c r="A79" s="1">
        <v>3.1784146316813E13</v>
      </c>
      <c r="B79" s="1" t="s">
        <v>2382</v>
      </c>
      <c r="C79" s="1" t="s">
        <v>957</v>
      </c>
    </row>
    <row r="80">
      <c r="A80" s="1">
        <v>3.1598015164813E13</v>
      </c>
      <c r="B80" s="1" t="s">
        <v>2382</v>
      </c>
      <c r="C80" s="1" t="s">
        <v>957</v>
      </c>
    </row>
    <row r="81">
      <c r="A81" s="1">
        <v>3.1482849083917E13</v>
      </c>
      <c r="B81" s="1" t="s">
        <v>2382</v>
      </c>
      <c r="C81" s="1" t="s">
        <v>981</v>
      </c>
    </row>
    <row r="82">
      <c r="A82" s="1">
        <v>3.1055242863629E13</v>
      </c>
      <c r="B82" s="1" t="s">
        <v>1147</v>
      </c>
      <c r="C82" s="1" t="s">
        <v>1147</v>
      </c>
    </row>
    <row r="83">
      <c r="A83" s="1">
        <v>3.0762383780749E13</v>
      </c>
      <c r="B83" s="1" t="s">
        <v>2382</v>
      </c>
      <c r="C83" s="1" t="s">
        <v>957</v>
      </c>
    </row>
    <row r="84">
      <c r="A84" s="1">
        <v>3.0761980899213E13</v>
      </c>
      <c r="B84" s="1" t="s">
        <v>2382</v>
      </c>
      <c r="C84" s="1" t="s">
        <v>981</v>
      </c>
    </row>
    <row r="85">
      <c r="A85" s="1">
        <v>3.0354274293133E13</v>
      </c>
      <c r="B85" s="1" t="s">
        <v>2382</v>
      </c>
      <c r="C85" s="1" t="s">
        <v>957</v>
      </c>
    </row>
    <row r="86">
      <c r="A86" s="1">
        <v>2.9674349356173E13</v>
      </c>
      <c r="B86" s="1" t="s">
        <v>2382</v>
      </c>
      <c r="C86" s="1" t="s">
        <v>981</v>
      </c>
    </row>
    <row r="87">
      <c r="A87" s="1">
        <v>2.8301456374797E13</v>
      </c>
      <c r="B87" s="1" t="s">
        <v>2382</v>
      </c>
      <c r="C87" s="1" t="s">
        <v>957</v>
      </c>
    </row>
    <row r="88">
      <c r="A88" s="1">
        <v>2.7323227298957E13</v>
      </c>
      <c r="B88" s="1" t="s">
        <v>2382</v>
      </c>
      <c r="C88" s="1" t="s">
        <v>957</v>
      </c>
    </row>
    <row r="89">
      <c r="A89" s="1">
        <v>2.7127276969741E13</v>
      </c>
      <c r="B89" s="1" t="s">
        <v>2382</v>
      </c>
      <c r="C89" s="1" t="s">
        <v>957</v>
      </c>
    </row>
    <row r="90">
      <c r="A90" s="1">
        <v>2.7004238909453E13</v>
      </c>
      <c r="B90" s="1" t="s">
        <v>2383</v>
      </c>
      <c r="C90" s="1" t="s">
        <v>1062</v>
      </c>
    </row>
    <row r="91">
      <c r="A91" s="1">
        <v>2.6983378201357E13</v>
      </c>
      <c r="B91" s="1" t="s">
        <v>2382</v>
      </c>
      <c r="C91" s="1" t="s">
        <v>957</v>
      </c>
    </row>
    <row r="92">
      <c r="A92" s="1">
        <v>2.6227407016205E13</v>
      </c>
      <c r="B92" s="1" t="s">
        <v>2382</v>
      </c>
      <c r="C92" s="1" t="s">
        <v>981</v>
      </c>
    </row>
    <row r="93">
      <c r="A93" s="1">
        <v>2.5137822806925E13</v>
      </c>
      <c r="B93" s="1" t="s">
        <v>2382</v>
      </c>
      <c r="C93" s="1" t="s">
        <v>981</v>
      </c>
    </row>
    <row r="94">
      <c r="A94" s="1">
        <v>2.4152041145101E13</v>
      </c>
      <c r="B94" s="1" t="s">
        <v>2382</v>
      </c>
      <c r="C94" s="1" t="s">
        <v>957</v>
      </c>
    </row>
    <row r="95">
      <c r="A95" s="1">
        <v>2.4151933493517E13</v>
      </c>
      <c r="B95" s="1" t="s">
        <v>2382</v>
      </c>
      <c r="C95" s="1" t="s">
        <v>957</v>
      </c>
    </row>
    <row r="96">
      <c r="A96" s="1">
        <v>2.3611695756813E13</v>
      </c>
      <c r="B96" s="1" t="s">
        <v>2382</v>
      </c>
      <c r="C96" s="1" t="s">
        <v>957</v>
      </c>
    </row>
    <row r="97">
      <c r="A97" s="1">
        <v>2.3419183642381E13</v>
      </c>
      <c r="B97" s="1" t="s">
        <v>2382</v>
      </c>
      <c r="C97" s="1" t="s">
        <v>957</v>
      </c>
    </row>
    <row r="98">
      <c r="A98" s="1">
        <v>2.3064756986125E13</v>
      </c>
      <c r="B98" s="1" t="s">
        <v>2382</v>
      </c>
      <c r="C98" s="1" t="s">
        <v>957</v>
      </c>
    </row>
    <row r="99">
      <c r="A99" s="1">
        <v>2.2740942433421E13</v>
      </c>
      <c r="B99" s="1" t="s">
        <v>2382</v>
      </c>
      <c r="C99" s="1" t="s">
        <v>957</v>
      </c>
    </row>
    <row r="100">
      <c r="A100" s="1">
        <v>2.2450090828685E13</v>
      </c>
      <c r="B100" s="1" t="s">
        <v>85</v>
      </c>
      <c r="C100" s="1" t="s">
        <v>85</v>
      </c>
    </row>
    <row r="101">
      <c r="A101" s="1">
        <v>2.2306998271629E13</v>
      </c>
      <c r="B101" s="1" t="s">
        <v>2382</v>
      </c>
      <c r="C101" s="1" t="s">
        <v>957</v>
      </c>
    </row>
    <row r="102">
      <c r="A102" s="1">
        <v>2.2119140551821E13</v>
      </c>
      <c r="B102" s="1" t="s">
        <v>2382</v>
      </c>
      <c r="C102" s="1" t="s">
        <v>981</v>
      </c>
    </row>
    <row r="103">
      <c r="A103" s="1">
        <v>2.1970104444301E13</v>
      </c>
      <c r="B103" s="1" t="s">
        <v>2382</v>
      </c>
      <c r="C103" s="1" t="s">
        <v>957</v>
      </c>
    </row>
    <row r="104">
      <c r="A104" s="1">
        <v>2.1782606423309E13</v>
      </c>
      <c r="B104" s="1" t="s">
        <v>2382</v>
      </c>
      <c r="C104" s="1" t="s">
        <v>957</v>
      </c>
    </row>
    <row r="105">
      <c r="A105" s="1">
        <v>2.1570569609869E13</v>
      </c>
      <c r="B105" s="1" t="s">
        <v>2382</v>
      </c>
      <c r="C105" s="1" t="s">
        <v>981</v>
      </c>
    </row>
    <row r="106">
      <c r="A106" s="1">
        <v>2.1442794584717E13</v>
      </c>
      <c r="B106" s="1" t="s">
        <v>2382</v>
      </c>
      <c r="C106" s="1" t="s">
        <v>957</v>
      </c>
    </row>
    <row r="107">
      <c r="A107" s="1">
        <v>2.1140353410061E13</v>
      </c>
      <c r="B107" s="1" t="s">
        <v>2382</v>
      </c>
      <c r="C107" s="1" t="s">
        <v>981</v>
      </c>
    </row>
    <row r="108">
      <c r="A108" s="1">
        <v>2.1140250551565E13</v>
      </c>
      <c r="B108" s="1" t="s">
        <v>2382</v>
      </c>
      <c r="C108" s="1" t="s">
        <v>957</v>
      </c>
    </row>
    <row r="109">
      <c r="A109" s="1">
        <v>2.0894965584013E13</v>
      </c>
      <c r="B109" s="1" t="s">
        <v>2382</v>
      </c>
      <c r="C109" s="1" t="s">
        <v>957</v>
      </c>
    </row>
    <row r="110">
      <c r="A110" s="1">
        <v>2.0749961209101E13</v>
      </c>
      <c r="B110" s="1" t="s">
        <v>2382</v>
      </c>
      <c r="C110" s="1" t="s">
        <v>981</v>
      </c>
    </row>
    <row r="111">
      <c r="A111" s="1">
        <v>2.0671333162509E13</v>
      </c>
      <c r="B111" s="1" t="s">
        <v>1501</v>
      </c>
      <c r="C111" s="1" t="s">
        <v>129</v>
      </c>
    </row>
    <row r="112">
      <c r="A112" s="1">
        <v>2.0472573985293E13</v>
      </c>
      <c r="B112" s="1" t="s">
        <v>1501</v>
      </c>
      <c r="C112" s="1" t="s">
        <v>129</v>
      </c>
    </row>
    <row r="113">
      <c r="A113" s="1">
        <v>2.0169865795085E13</v>
      </c>
      <c r="B113" s="1" t="s">
        <v>2382</v>
      </c>
      <c r="C113" s="1" t="s">
        <v>981</v>
      </c>
    </row>
    <row r="114">
      <c r="A114" s="1">
        <v>1.9750990892173E13</v>
      </c>
      <c r="B114" s="1" t="s">
        <v>2382</v>
      </c>
      <c r="C114" s="1" t="s">
        <v>957</v>
      </c>
    </row>
    <row r="115">
      <c r="A115" s="1">
        <v>1.9539846987149E13</v>
      </c>
      <c r="B115" s="1" t="s">
        <v>2382</v>
      </c>
      <c r="C115" s="1" t="s">
        <v>957</v>
      </c>
    </row>
    <row r="116">
      <c r="A116" s="1">
        <v>1.9208038855565E13</v>
      </c>
      <c r="B116" s="1" t="s">
        <v>1501</v>
      </c>
      <c r="C116" s="1" t="s">
        <v>129</v>
      </c>
    </row>
    <row r="117">
      <c r="A117" s="1">
        <v>1.8983478092813E13</v>
      </c>
      <c r="B117" s="1" t="s">
        <v>2382</v>
      </c>
      <c r="C117" s="1" t="s">
        <v>981</v>
      </c>
    </row>
    <row r="118">
      <c r="A118" s="1">
        <v>1.7605571493901E13</v>
      </c>
      <c r="B118" s="1" t="s">
        <v>2382</v>
      </c>
      <c r="C118" s="1" t="s">
        <v>957</v>
      </c>
    </row>
    <row r="119">
      <c r="A119" s="1">
        <v>1.7149292259213E13</v>
      </c>
      <c r="B119" s="1" t="s">
        <v>2382</v>
      </c>
      <c r="C119" s="1" t="s">
        <v>981</v>
      </c>
    </row>
    <row r="120">
      <c r="A120" s="1">
        <v>1.6818095609869E13</v>
      </c>
      <c r="B120" s="1" t="s">
        <v>2382</v>
      </c>
      <c r="C120" s="1" t="s">
        <v>981</v>
      </c>
    </row>
    <row r="121">
      <c r="A121" s="1">
        <v>1.6417342917901E13</v>
      </c>
      <c r="B121" s="1" t="s">
        <v>2382</v>
      </c>
      <c r="C121" s="1" t="s">
        <v>981</v>
      </c>
    </row>
    <row r="122">
      <c r="A122" s="1">
        <v>1.5611721936013E13</v>
      </c>
      <c r="B122" s="1" t="s">
        <v>2383</v>
      </c>
      <c r="C122" s="1" t="s">
        <v>1062</v>
      </c>
    </row>
    <row r="123">
      <c r="A123" s="1">
        <v>1.5237788044045E13</v>
      </c>
      <c r="B123" s="1" t="s">
        <v>2382</v>
      </c>
      <c r="C123" s="1" t="s">
        <v>981</v>
      </c>
    </row>
    <row r="124">
      <c r="A124" s="1">
        <v>1.4387162947725E13</v>
      </c>
      <c r="B124" s="1" t="s">
        <v>2382</v>
      </c>
      <c r="C124" s="1" t="s">
        <v>981</v>
      </c>
    </row>
    <row r="125">
      <c r="A125" s="1">
        <v>1.3100388154637E13</v>
      </c>
      <c r="B125" s="1" t="s">
        <v>2382</v>
      </c>
      <c r="C125" s="1" t="s">
        <v>981</v>
      </c>
    </row>
    <row r="126">
      <c r="A126" s="1">
        <v>1.2573680069389E13</v>
      </c>
      <c r="B126" s="1" t="s">
        <v>2382</v>
      </c>
      <c r="C126" s="1" t="s">
        <v>981</v>
      </c>
    </row>
    <row r="127">
      <c r="A127" s="1">
        <v>1.1848928325901E13</v>
      </c>
      <c r="B127" s="1" t="s">
        <v>1501</v>
      </c>
      <c r="C127" s="1" t="s">
        <v>129</v>
      </c>
    </row>
    <row r="128">
      <c r="A128" s="1">
        <v>1.1267242185741E13</v>
      </c>
      <c r="B128" s="1" t="s">
        <v>2382</v>
      </c>
      <c r="C128" s="1" t="s">
        <v>981</v>
      </c>
    </row>
    <row r="129">
      <c r="A129" s="1">
        <v>1.0909721856525E13</v>
      </c>
      <c r="B129" s="1" t="s">
        <v>2382</v>
      </c>
      <c r="C129" s="1" t="s">
        <v>981</v>
      </c>
    </row>
    <row r="130">
      <c r="A130" s="1">
        <v>1.0903221771277E13</v>
      </c>
      <c r="B130" s="1" t="s">
        <v>1501</v>
      </c>
      <c r="C130" s="1" t="s">
        <v>129</v>
      </c>
    </row>
    <row r="131">
      <c r="A131" s="1">
        <v>1.0820290343309E13</v>
      </c>
      <c r="B131" s="1" t="s">
        <v>2382</v>
      </c>
      <c r="C131" s="1" t="s">
        <v>981</v>
      </c>
    </row>
    <row r="132">
      <c r="A132" s="1">
        <v>1.0819800438797E13</v>
      </c>
      <c r="B132" s="1" t="s">
        <v>2382</v>
      </c>
      <c r="C132" s="1" t="s">
        <v>981</v>
      </c>
    </row>
    <row r="133">
      <c r="A133" s="1">
        <v>9.142649688077E12</v>
      </c>
      <c r="B133" s="1" t="s">
        <v>2383</v>
      </c>
      <c r="C133" s="1" t="s">
        <v>1062</v>
      </c>
    </row>
    <row r="134">
      <c r="A134" s="1">
        <v>6.615245310605E12</v>
      </c>
      <c r="B134" s="1" t="s">
        <v>1501</v>
      </c>
      <c r="C134" s="1" t="s">
        <v>129</v>
      </c>
    </row>
    <row r="135">
      <c r="A135" s="1">
        <v>4.414741485197E12</v>
      </c>
      <c r="B135" s="1" t="s">
        <v>1501</v>
      </c>
      <c r="C135" s="1" t="s">
        <v>129</v>
      </c>
    </row>
    <row r="136">
      <c r="A136" s="1">
        <v>4.412812626445E12</v>
      </c>
      <c r="B136" s="1" t="s">
        <v>2384</v>
      </c>
      <c r="C136" s="1" t="s">
        <v>1449</v>
      </c>
    </row>
    <row r="137">
      <c r="A137" s="1">
        <v>4.410772250125E12</v>
      </c>
      <c r="B137" s="1" t="s">
        <v>2384</v>
      </c>
      <c r="C137" s="1" t="s">
        <v>1449</v>
      </c>
    </row>
    <row r="138">
      <c r="A138" s="1">
        <v>4.410447945741E12</v>
      </c>
      <c r="B138" s="1" t="s">
        <v>2384</v>
      </c>
      <c r="C138" s="1" t="s">
        <v>1449</v>
      </c>
    </row>
    <row r="139">
      <c r="A139" s="1">
        <v>4.408342400013E12</v>
      </c>
      <c r="B139" s="1" t="s">
        <v>2384</v>
      </c>
      <c r="C139" s="1" t="s">
        <v>1449</v>
      </c>
    </row>
    <row r="140">
      <c r="A140" s="1">
        <v>4.402863718029E12</v>
      </c>
      <c r="B140" s="1" t="s">
        <v>2385</v>
      </c>
      <c r="C140" s="1" t="s">
        <v>1470</v>
      </c>
    </row>
    <row r="141">
      <c r="A141" s="1">
        <v>3.60058846591E11</v>
      </c>
      <c r="B141" s="1" t="s">
        <v>2386</v>
      </c>
      <c r="C141" s="1" t="s">
        <v>1476</v>
      </c>
    </row>
    <row r="142">
      <c r="A142" s="1">
        <v>3.60058171672E11</v>
      </c>
      <c r="B142" s="1" t="s">
        <v>2384</v>
      </c>
      <c r="C142" s="1" t="s">
        <v>1449</v>
      </c>
    </row>
    <row r="143">
      <c r="A143" s="1">
        <v>3.60053838232E11</v>
      </c>
      <c r="B143" s="1" t="s">
        <v>1501</v>
      </c>
      <c r="C143" s="1" t="s">
        <v>129</v>
      </c>
    </row>
    <row r="144">
      <c r="A144" s="1">
        <v>3.60053571571E11</v>
      </c>
      <c r="B144" s="1" t="s">
        <v>1501</v>
      </c>
      <c r="C144" s="1" t="s">
        <v>129</v>
      </c>
    </row>
    <row r="145">
      <c r="A145" s="1">
        <v>3.60052831411E11</v>
      </c>
      <c r="B145" s="1" t="s">
        <v>1501</v>
      </c>
      <c r="C145" s="1" t="s">
        <v>129</v>
      </c>
    </row>
    <row r="146">
      <c r="A146" s="1">
        <v>3.60050016032E11</v>
      </c>
      <c r="B146" s="1" t="s">
        <v>2386</v>
      </c>
      <c r="C146" s="1" t="s">
        <v>1501</v>
      </c>
    </row>
    <row r="147">
      <c r="A147" s="1">
        <v>3.60043898131E11</v>
      </c>
      <c r="B147" s="1" t="s">
        <v>2386</v>
      </c>
      <c r="C147" s="1" t="s">
        <v>1476</v>
      </c>
    </row>
    <row r="148">
      <c r="A148" s="1">
        <v>3.60040428672E11</v>
      </c>
      <c r="B148" s="1" t="s">
        <v>85</v>
      </c>
      <c r="C148" s="1" t="s">
        <v>85</v>
      </c>
    </row>
    <row r="149">
      <c r="A149" s="1">
        <v>3.60040410632E11</v>
      </c>
      <c r="B149" s="1" t="s">
        <v>85</v>
      </c>
      <c r="C149" s="1" t="s">
        <v>85</v>
      </c>
    </row>
    <row r="150">
      <c r="A150" s="1">
        <v>3.60040840231E11</v>
      </c>
      <c r="B150" s="1" t="s">
        <v>85</v>
      </c>
      <c r="C150" s="1" t="s">
        <v>85</v>
      </c>
    </row>
    <row r="151">
      <c r="A151" s="1">
        <v>3.60040837671E11</v>
      </c>
      <c r="B151" s="1" t="s">
        <v>85</v>
      </c>
      <c r="C151" s="1" t="s">
        <v>85</v>
      </c>
    </row>
    <row r="152">
      <c r="A152" s="1">
        <v>3.60040097051E11</v>
      </c>
      <c r="B152" s="1" t="s">
        <v>2384</v>
      </c>
      <c r="C152" s="1" t="s">
        <v>1449</v>
      </c>
    </row>
    <row r="153">
      <c r="A153" s="1">
        <v>3.60039870291E11</v>
      </c>
      <c r="B153" s="1" t="s">
        <v>1501</v>
      </c>
      <c r="C153" s="1" t="s">
        <v>129</v>
      </c>
    </row>
    <row r="154">
      <c r="A154" s="1">
        <v>3.60039467172E11</v>
      </c>
      <c r="B154" s="1" t="s">
        <v>2383</v>
      </c>
      <c r="C154" s="1" t="s">
        <v>1062</v>
      </c>
    </row>
    <row r="155">
      <c r="A155" s="1">
        <v>3.60039870111E11</v>
      </c>
      <c r="B155" s="1" t="s">
        <v>2383</v>
      </c>
      <c r="C155" s="1" t="s">
        <v>1062</v>
      </c>
    </row>
    <row r="156">
      <c r="A156" s="1">
        <v>3.60039866151E11</v>
      </c>
      <c r="B156" s="1" t="s">
        <v>1501</v>
      </c>
      <c r="C156" s="1" t="s">
        <v>129</v>
      </c>
    </row>
    <row r="157">
      <c r="A157" s="1">
        <v>3.60039125992E11</v>
      </c>
      <c r="B157" s="1" t="s">
        <v>2384</v>
      </c>
      <c r="C157" s="1" t="s">
        <v>1449</v>
      </c>
    </row>
    <row r="158">
      <c r="A158" s="1">
        <v>3.60039250551E11</v>
      </c>
      <c r="B158" s="1" t="s">
        <v>2384</v>
      </c>
      <c r="C158" s="1" t="s">
        <v>1449</v>
      </c>
    </row>
    <row r="159">
      <c r="A159" s="1">
        <v>3.60038852332E11</v>
      </c>
      <c r="B159" s="1" t="s">
        <v>2384</v>
      </c>
      <c r="C159" s="1" t="s">
        <v>1449</v>
      </c>
    </row>
    <row r="160">
      <c r="A160" s="1">
        <v>3.60039244611E11</v>
      </c>
      <c r="B160" s="1" t="s">
        <v>2383</v>
      </c>
      <c r="C160" s="1" t="s">
        <v>1062</v>
      </c>
    </row>
    <row r="161">
      <c r="A161" s="1">
        <v>3.60038845112E11</v>
      </c>
      <c r="B161" s="1" t="s">
        <v>2383</v>
      </c>
      <c r="C161" s="1" t="s">
        <v>1062</v>
      </c>
    </row>
    <row r="162">
      <c r="A162" s="1">
        <v>3.60039238731E11</v>
      </c>
      <c r="B162" s="1" t="s">
        <v>2384</v>
      </c>
      <c r="C162" s="1" t="s">
        <v>1449</v>
      </c>
    </row>
    <row r="163">
      <c r="A163" s="1">
        <v>3.60039119351E11</v>
      </c>
      <c r="B163" s="1" t="s">
        <v>2384</v>
      </c>
      <c r="C163" s="1" t="s">
        <v>1449</v>
      </c>
    </row>
    <row r="164">
      <c r="A164" s="1">
        <v>3.60039074331E11</v>
      </c>
      <c r="B164" s="1" t="s">
        <v>1501</v>
      </c>
      <c r="C164" s="1" t="s">
        <v>129</v>
      </c>
    </row>
    <row r="165">
      <c r="A165" s="1">
        <v>3.60038794051E11</v>
      </c>
      <c r="B165" s="1" t="s">
        <v>1501</v>
      </c>
      <c r="C165" s="1" t="s">
        <v>129</v>
      </c>
    </row>
    <row r="166">
      <c r="A166" s="1">
        <v>3.60038160532E11</v>
      </c>
      <c r="B166" s="1" t="s">
        <v>2384</v>
      </c>
      <c r="C166" s="1" t="s">
        <v>1449</v>
      </c>
    </row>
    <row r="167">
      <c r="A167" s="1">
        <v>3.60038044552E11</v>
      </c>
      <c r="B167" s="1" t="s">
        <v>85</v>
      </c>
      <c r="C167" s="1" t="s">
        <v>1605</v>
      </c>
    </row>
    <row r="168">
      <c r="A168" s="1">
        <v>3.60038044472E11</v>
      </c>
      <c r="B168" s="1" t="s">
        <v>85</v>
      </c>
      <c r="C168" s="1" t="s">
        <v>85</v>
      </c>
    </row>
    <row r="169">
      <c r="A169" s="1">
        <v>3.60038414491E11</v>
      </c>
      <c r="B169" s="1" t="s">
        <v>85</v>
      </c>
      <c r="C169" s="1" t="s">
        <v>85</v>
      </c>
    </row>
    <row r="170">
      <c r="A170" s="1">
        <v>3.60038414471E11</v>
      </c>
      <c r="B170" s="1" t="s">
        <v>85</v>
      </c>
      <c r="C170" s="1" t="s">
        <v>85</v>
      </c>
    </row>
    <row r="171">
      <c r="A171" s="1">
        <v>3.60038375771E11</v>
      </c>
      <c r="B171" s="1" t="s">
        <v>85</v>
      </c>
      <c r="C171" s="1" t="s">
        <v>85</v>
      </c>
    </row>
    <row r="172">
      <c r="A172" s="1">
        <v>3.60038008092E11</v>
      </c>
      <c r="B172" s="1" t="s">
        <v>85</v>
      </c>
      <c r="C172" s="1" t="s">
        <v>85</v>
      </c>
    </row>
    <row r="173">
      <c r="A173" s="1">
        <v>3.60038007852E11</v>
      </c>
      <c r="B173" s="1" t="s">
        <v>85</v>
      </c>
      <c r="C173" s="1" t="s">
        <v>85</v>
      </c>
    </row>
    <row r="174">
      <c r="A174" s="1">
        <v>3.60038007532E11</v>
      </c>
      <c r="B174" s="1" t="s">
        <v>2383</v>
      </c>
      <c r="C174" s="1" t="s">
        <v>1062</v>
      </c>
    </row>
    <row r="175">
      <c r="A175" s="1">
        <v>3.60038007032E11</v>
      </c>
      <c r="B175" s="1" t="s">
        <v>2383</v>
      </c>
      <c r="C175" s="1" t="s">
        <v>1062</v>
      </c>
    </row>
    <row r="176">
      <c r="A176" s="1">
        <v>3.60038374511E11</v>
      </c>
      <c r="B176" s="1" t="s">
        <v>85</v>
      </c>
      <c r="C176" s="1" t="s">
        <v>85</v>
      </c>
    </row>
    <row r="177">
      <c r="A177" s="1">
        <v>3.60038006272E11</v>
      </c>
      <c r="B177" s="1" t="s">
        <v>85</v>
      </c>
      <c r="C177" s="1" t="s">
        <v>85</v>
      </c>
    </row>
    <row r="178">
      <c r="A178" s="1">
        <v>3.60038373511E11</v>
      </c>
      <c r="B178" s="1" t="s">
        <v>2383</v>
      </c>
      <c r="C178" s="1" t="s">
        <v>1062</v>
      </c>
    </row>
    <row r="179">
      <c r="A179" s="1">
        <v>3.60038372991E11</v>
      </c>
      <c r="B179" s="1" t="s">
        <v>2383</v>
      </c>
      <c r="C179" s="1" t="s">
        <v>1062</v>
      </c>
    </row>
    <row r="180">
      <c r="A180" s="1">
        <v>3.60033823631E11</v>
      </c>
      <c r="B180" s="1" t="s">
        <v>2386</v>
      </c>
      <c r="C180" s="1" t="s">
        <v>1501</v>
      </c>
    </row>
    <row r="181">
      <c r="A181" s="1">
        <v>3.60033453872E11</v>
      </c>
      <c r="B181" s="1" t="s">
        <v>2386</v>
      </c>
      <c r="C181" s="1" t="s">
        <v>1501</v>
      </c>
    </row>
    <row r="182">
      <c r="A182" s="1">
        <v>3.60033812011E11</v>
      </c>
      <c r="B182" s="1" t="s">
        <v>2383</v>
      </c>
      <c r="C182" s="1" t="s">
        <v>1062</v>
      </c>
    </row>
    <row r="183">
      <c r="A183" s="1">
        <v>3.60033811191E11</v>
      </c>
      <c r="B183" s="1" t="s">
        <v>2383</v>
      </c>
      <c r="C183" s="1" t="s">
        <v>1062</v>
      </c>
    </row>
    <row r="184">
      <c r="A184" s="1">
        <v>3.60033810571E11</v>
      </c>
      <c r="B184" s="1" t="s">
        <v>2386</v>
      </c>
      <c r="C184" s="1" t="s">
        <v>1501</v>
      </c>
    </row>
    <row r="185">
      <c r="A185" s="1">
        <v>3.60033450332E11</v>
      </c>
      <c r="B185" s="1" t="s">
        <v>2384</v>
      </c>
      <c r="C185" s="1" t="s">
        <v>1449</v>
      </c>
    </row>
    <row r="186">
      <c r="A186" s="1">
        <v>3.60033789491E11</v>
      </c>
      <c r="B186" s="1" t="s">
        <v>2386</v>
      </c>
      <c r="C186" s="1" t="s">
        <v>1501</v>
      </c>
    </row>
    <row r="187">
      <c r="A187" s="1">
        <v>3.60033425552E11</v>
      </c>
      <c r="B187" s="1" t="s">
        <v>1501</v>
      </c>
      <c r="C187" s="1" t="s">
        <v>129</v>
      </c>
    </row>
    <row r="188">
      <c r="A188" s="1">
        <v>3.60000319152E11</v>
      </c>
      <c r="B188" s="1" t="s">
        <v>2383</v>
      </c>
      <c r="C188" s="1" t="s">
        <v>1062</v>
      </c>
    </row>
    <row r="189">
      <c r="A189" s="1">
        <v>3.60000326551E11</v>
      </c>
      <c r="B189" s="1" t="s">
        <v>2384</v>
      </c>
      <c r="C189" s="1" t="s">
        <v>1449</v>
      </c>
    </row>
    <row r="190">
      <c r="A190" s="1">
        <v>3.60000323871E11</v>
      </c>
      <c r="B190" s="1" t="s">
        <v>1147</v>
      </c>
      <c r="C190" s="1" t="s">
        <v>1147</v>
      </c>
    </row>
    <row r="191">
      <c r="A191" s="1">
        <v>1.7287287948685E13</v>
      </c>
      <c r="B191" s="1" t="s">
        <v>2382</v>
      </c>
      <c r="C191" s="1" t="s">
        <v>957</v>
      </c>
    </row>
    <row r="192">
      <c r="A192" s="1">
        <v>1.0820058261261E13</v>
      </c>
      <c r="B192" s="1" t="s">
        <v>2382</v>
      </c>
      <c r="C192" s="1" t="s">
        <v>981</v>
      </c>
    </row>
    <row r="193">
      <c r="A193" s="1">
        <v>3.60048851792E11</v>
      </c>
      <c r="B193" s="1" t="s">
        <v>1147</v>
      </c>
      <c r="C193" s="1" t="s">
        <v>1147</v>
      </c>
    </row>
    <row r="194">
      <c r="A194" s="1">
        <v>3.60033450452E11</v>
      </c>
      <c r="B194" s="1" t="s">
        <v>1501</v>
      </c>
      <c r="C194" s="1" t="s">
        <v>129</v>
      </c>
    </row>
    <row r="195">
      <c r="A195" s="1">
        <v>1.6945680967821E13</v>
      </c>
      <c r="B195" s="1" t="s">
        <v>2382</v>
      </c>
      <c r="C195" s="1" t="s">
        <v>957</v>
      </c>
    </row>
    <row r="196">
      <c r="A196" s="1">
        <v>1.0189750495757E13</v>
      </c>
      <c r="B196" s="1" t="s">
        <v>2382</v>
      </c>
      <c r="C196" s="1" t="s">
        <v>981</v>
      </c>
    </row>
    <row r="197">
      <c r="A197" s="1">
        <v>3.60048847852E11</v>
      </c>
      <c r="B197" s="1" t="s">
        <v>1147</v>
      </c>
      <c r="C197" s="1" t="s">
        <v>1147</v>
      </c>
    </row>
    <row r="198">
      <c r="A198" s="1">
        <v>1.6885100113165E13</v>
      </c>
      <c r="B198" s="1" t="s">
        <v>2382</v>
      </c>
      <c r="C198" s="1" t="s">
        <v>957</v>
      </c>
    </row>
    <row r="199">
      <c r="A199" s="1">
        <v>9.634096872333E12</v>
      </c>
      <c r="B199" s="1" t="s">
        <v>2382</v>
      </c>
      <c r="C199" s="1" t="s">
        <v>981</v>
      </c>
    </row>
    <row r="200">
      <c r="A200" s="1">
        <v>1.6506253580429E13</v>
      </c>
      <c r="B200" s="1" t="s">
        <v>2382</v>
      </c>
      <c r="C200" s="1" t="s">
        <v>957</v>
      </c>
    </row>
    <row r="201">
      <c r="A201" s="1">
        <v>9.158185673869E12</v>
      </c>
      <c r="B201" s="1" t="s">
        <v>2382</v>
      </c>
      <c r="C201" s="1" t="s">
        <v>981</v>
      </c>
    </row>
    <row r="202">
      <c r="A202" s="1">
        <v>3.60000326591E11</v>
      </c>
      <c r="B202" s="1" t="s">
        <v>1501</v>
      </c>
      <c r="C202" s="1" t="s">
        <v>129</v>
      </c>
    </row>
    <row r="203">
      <c r="A203" s="1">
        <v>1.6314615075597E13</v>
      </c>
      <c r="B203" s="1" t="s">
        <v>2382</v>
      </c>
      <c r="C203" s="1" t="s">
        <v>957</v>
      </c>
    </row>
    <row r="204">
      <c r="A204" s="1">
        <v>8.852303339661E12</v>
      </c>
      <c r="B204" s="1" t="s">
        <v>2382</v>
      </c>
      <c r="C204" s="1" t="s">
        <v>981</v>
      </c>
    </row>
    <row r="205">
      <c r="A205" s="1">
        <v>1.6234303919501E13</v>
      </c>
      <c r="B205" s="1" t="s">
        <v>2382</v>
      </c>
      <c r="C205" s="1" t="s">
        <v>957</v>
      </c>
    </row>
    <row r="206">
      <c r="A206" s="1">
        <v>7.172806233485E12</v>
      </c>
      <c r="B206" s="1" t="s">
        <v>2382</v>
      </c>
      <c r="C206" s="1" t="s">
        <v>981</v>
      </c>
    </row>
    <row r="207">
      <c r="A207" s="1">
        <v>1.5870500978701E13</v>
      </c>
      <c r="B207" s="1" t="s">
        <v>2382</v>
      </c>
      <c r="C207" s="1" t="s">
        <v>957</v>
      </c>
    </row>
    <row r="208">
      <c r="A208" s="1">
        <v>5.343888822925E12</v>
      </c>
      <c r="B208" s="1" t="s">
        <v>2382</v>
      </c>
      <c r="C208" s="1" t="s">
        <v>981</v>
      </c>
    </row>
    <row r="209">
      <c r="A209" s="1">
        <v>1.4621914526093E13</v>
      </c>
      <c r="B209" s="1" t="s">
        <v>2382</v>
      </c>
      <c r="C209" s="1" t="s">
        <v>957</v>
      </c>
    </row>
    <row r="210">
      <c r="A210" s="1">
        <v>4.463234184333E12</v>
      </c>
      <c r="B210" s="1" t="s">
        <v>2382</v>
      </c>
      <c r="C210" s="1" t="s">
        <v>981</v>
      </c>
    </row>
    <row r="211">
      <c r="A211" s="1">
        <v>1.4178022837773E13</v>
      </c>
      <c r="B211" s="1" t="s">
        <v>2382</v>
      </c>
      <c r="C211" s="1" t="s">
        <v>957</v>
      </c>
    </row>
    <row r="212">
      <c r="A212" s="1">
        <v>4.422723563405E12</v>
      </c>
      <c r="B212" s="1" t="s">
        <v>2382</v>
      </c>
      <c r="C212" s="1" t="s">
        <v>981</v>
      </c>
    </row>
    <row r="213">
      <c r="A213" s="1">
        <v>1.8167986236301E13</v>
      </c>
      <c r="B213" s="1" t="s">
        <v>2382</v>
      </c>
      <c r="C213" s="1" t="s">
        <v>957</v>
      </c>
    </row>
    <row r="214">
      <c r="A214" s="1">
        <v>4.415975176461E12</v>
      </c>
      <c r="B214" s="1" t="s">
        <v>2382</v>
      </c>
      <c r="C214" s="1" t="s">
        <v>981</v>
      </c>
    </row>
    <row r="215">
      <c r="A215" s="1">
        <v>1.2664438646797E13</v>
      </c>
      <c r="B215" s="1" t="s">
        <v>2382</v>
      </c>
      <c r="C215" s="1" t="s">
        <v>957</v>
      </c>
    </row>
    <row r="216">
      <c r="A216" s="1">
        <v>4.412732747917E12</v>
      </c>
      <c r="B216" s="1" t="s">
        <v>2382</v>
      </c>
      <c r="C216" s="1" t="s">
        <v>981</v>
      </c>
    </row>
    <row r="217">
      <c r="A217" s="1">
        <v>1.2296696702221E13</v>
      </c>
      <c r="B217" s="1" t="s">
        <v>2382</v>
      </c>
      <c r="C217" s="1" t="s">
        <v>957</v>
      </c>
    </row>
    <row r="218">
      <c r="A218" s="1">
        <v>4.411841376909E12</v>
      </c>
      <c r="B218" s="1" t="s">
        <v>2382</v>
      </c>
      <c r="C218" s="1" t="s">
        <v>981</v>
      </c>
    </row>
    <row r="219">
      <c r="A219" s="1">
        <v>1.1817143199245E13</v>
      </c>
      <c r="B219" s="1" t="s">
        <v>2382</v>
      </c>
      <c r="C219" s="1" t="s">
        <v>957</v>
      </c>
    </row>
    <row r="220">
      <c r="A220" s="1">
        <v>4.410747132941E12</v>
      </c>
      <c r="B220" s="1" t="s">
        <v>2382</v>
      </c>
      <c r="C220" s="1" t="s">
        <v>981</v>
      </c>
    </row>
    <row r="221">
      <c r="A221" s="1">
        <v>1.1615891740941E13</v>
      </c>
      <c r="B221" s="1" t="s">
        <v>2382</v>
      </c>
      <c r="C221" s="1" t="s">
        <v>957</v>
      </c>
    </row>
    <row r="222">
      <c r="A222" s="1">
        <v>4.408935937165E12</v>
      </c>
      <c r="B222" s="1" t="s">
        <v>2382</v>
      </c>
      <c r="C222" s="1" t="s">
        <v>981</v>
      </c>
    </row>
    <row r="223">
      <c r="A223" s="1">
        <v>1.1427775089933E13</v>
      </c>
      <c r="B223" s="1" t="s">
        <v>2382</v>
      </c>
      <c r="C223" s="1" t="s">
        <v>957</v>
      </c>
    </row>
    <row r="224">
      <c r="A224" s="1">
        <v>4.408192338701E12</v>
      </c>
      <c r="B224" s="1" t="s">
        <v>2382</v>
      </c>
      <c r="C224" s="1" t="s">
        <v>981</v>
      </c>
    </row>
    <row r="225">
      <c r="A225" s="1">
        <v>1.1184405951885E13</v>
      </c>
      <c r="B225" s="1" t="s">
        <v>2382</v>
      </c>
      <c r="C225" s="1" t="s">
        <v>957</v>
      </c>
    </row>
    <row r="226">
      <c r="A226" s="1">
        <v>4.402788262541E12</v>
      </c>
      <c r="B226" s="1" t="s">
        <v>2382</v>
      </c>
      <c r="C226" s="1" t="s">
        <v>981</v>
      </c>
    </row>
    <row r="227">
      <c r="A227" s="1">
        <v>1.1032670727821E13</v>
      </c>
      <c r="B227" s="1" t="s">
        <v>2382</v>
      </c>
      <c r="C227" s="1" t="s">
        <v>957</v>
      </c>
    </row>
    <row r="228">
      <c r="A228" s="1">
        <v>3.60061589751E11</v>
      </c>
      <c r="B228" s="1" t="s">
        <v>2382</v>
      </c>
      <c r="C228" s="1" t="s">
        <v>981</v>
      </c>
    </row>
    <row r="229">
      <c r="A229" s="1">
        <v>1.0474798909965E13</v>
      </c>
      <c r="B229" s="1" t="s">
        <v>2382</v>
      </c>
      <c r="C229" s="1" t="s">
        <v>957</v>
      </c>
    </row>
    <row r="230">
      <c r="A230" s="1">
        <v>3.60060393971E11</v>
      </c>
      <c r="B230" s="1" t="s">
        <v>2382</v>
      </c>
      <c r="C230" s="1" t="s">
        <v>981</v>
      </c>
    </row>
    <row r="231">
      <c r="A231" s="1">
        <v>1.0281175928077E13</v>
      </c>
      <c r="B231" s="1" t="s">
        <v>2382</v>
      </c>
      <c r="C231" s="1" t="s">
        <v>957</v>
      </c>
    </row>
    <row r="232">
      <c r="A232" s="1">
        <v>3.60059102152E11</v>
      </c>
      <c r="B232" s="1" t="s">
        <v>2382</v>
      </c>
      <c r="C232" s="1" t="s">
        <v>981</v>
      </c>
    </row>
    <row r="233">
      <c r="A233" s="1">
        <v>1.0106414825613E13</v>
      </c>
      <c r="B233" s="1" t="s">
        <v>2382</v>
      </c>
      <c r="C233" s="1" t="s">
        <v>957</v>
      </c>
    </row>
    <row r="234">
      <c r="A234" s="1">
        <v>3.60058953071E11</v>
      </c>
      <c r="B234" s="1" t="s">
        <v>2382</v>
      </c>
      <c r="C234" s="1" t="s">
        <v>981</v>
      </c>
    </row>
    <row r="235">
      <c r="A235" s="1">
        <v>9.717845832205E12</v>
      </c>
      <c r="B235" s="1" t="s">
        <v>2382</v>
      </c>
      <c r="C235" s="1" t="s">
        <v>957</v>
      </c>
    </row>
    <row r="236">
      <c r="A236" s="1">
        <v>3.60056022232E11</v>
      </c>
      <c r="B236" s="1" t="s">
        <v>2382</v>
      </c>
      <c r="C236" s="1" t="s">
        <v>981</v>
      </c>
    </row>
    <row r="237">
      <c r="A237" s="1">
        <v>9.467579676941E12</v>
      </c>
      <c r="B237" s="1" t="s">
        <v>2382</v>
      </c>
      <c r="C237" s="1" t="s">
        <v>957</v>
      </c>
    </row>
    <row r="238">
      <c r="A238" s="1">
        <v>3.60055863831E11</v>
      </c>
      <c r="B238" s="1" t="s">
        <v>2382</v>
      </c>
      <c r="C238" s="1" t="s">
        <v>981</v>
      </c>
    </row>
    <row r="239">
      <c r="A239" s="1">
        <v>9.185581677197E12</v>
      </c>
      <c r="B239" s="1" t="s">
        <v>2382</v>
      </c>
      <c r="C239" s="1" t="s">
        <v>957</v>
      </c>
    </row>
    <row r="240">
      <c r="A240" s="1">
        <v>3.60053518051E11</v>
      </c>
      <c r="B240" s="1" t="s">
        <v>2382</v>
      </c>
      <c r="C240" s="1" t="s">
        <v>981</v>
      </c>
    </row>
    <row r="241">
      <c r="A241" s="1">
        <v>8.705793155469E12</v>
      </c>
      <c r="B241" s="1" t="s">
        <v>2382</v>
      </c>
      <c r="C241" s="1" t="s">
        <v>957</v>
      </c>
    </row>
    <row r="242">
      <c r="A242" s="1">
        <v>3.60050927732E11</v>
      </c>
      <c r="B242" s="1" t="s">
        <v>2382</v>
      </c>
      <c r="C242" s="1" t="s">
        <v>981</v>
      </c>
    </row>
    <row r="243">
      <c r="A243" s="1">
        <v>8.466998498957E12</v>
      </c>
      <c r="B243" s="1" t="s">
        <v>2382</v>
      </c>
      <c r="C243" s="1" t="s">
        <v>957</v>
      </c>
    </row>
    <row r="244">
      <c r="A244" s="1">
        <v>3.60050291092E11</v>
      </c>
      <c r="B244" s="1" t="s">
        <v>2382</v>
      </c>
      <c r="C244" s="1" t="s">
        <v>981</v>
      </c>
    </row>
    <row r="245">
      <c r="A245" s="1">
        <v>9.143835844749E12</v>
      </c>
      <c r="B245" s="1" t="s">
        <v>2382</v>
      </c>
      <c r="C245" s="1" t="s">
        <v>957</v>
      </c>
    </row>
    <row r="246">
      <c r="A246" s="1">
        <v>3.60049012551E11</v>
      </c>
      <c r="B246" s="1" t="s">
        <v>2382</v>
      </c>
      <c r="C246" s="1" t="s">
        <v>981</v>
      </c>
    </row>
    <row r="247">
      <c r="A247" s="1">
        <v>8.315342664973E12</v>
      </c>
      <c r="B247" s="1" t="s">
        <v>2382</v>
      </c>
      <c r="C247" s="1" t="s">
        <v>957</v>
      </c>
    </row>
    <row r="248">
      <c r="A248" s="1">
        <v>6.887285472013E12</v>
      </c>
      <c r="B248" s="1" t="s">
        <v>2382</v>
      </c>
      <c r="C248" s="1" t="s">
        <v>957</v>
      </c>
    </row>
    <row r="249">
      <c r="A249" s="1">
        <v>6.790997731853E12</v>
      </c>
      <c r="B249" s="1" t="s">
        <v>2382</v>
      </c>
      <c r="C249" s="1" t="s">
        <v>957</v>
      </c>
    </row>
    <row r="250">
      <c r="A250" s="1">
        <v>6.699678891277E12</v>
      </c>
      <c r="B250" s="1" t="s">
        <v>2382</v>
      </c>
      <c r="C250" s="1" t="s">
        <v>957</v>
      </c>
    </row>
    <row r="251">
      <c r="A251" s="1">
        <v>5.063187725709E12</v>
      </c>
      <c r="B251" s="1" t="s">
        <v>2382</v>
      </c>
      <c r="C251" s="1" t="s">
        <v>957</v>
      </c>
    </row>
    <row r="252">
      <c r="A252" s="1">
        <v>4.801646821901E12</v>
      </c>
      <c r="B252" s="1" t="s">
        <v>2382</v>
      </c>
      <c r="C252" s="1" t="s">
        <v>957</v>
      </c>
    </row>
    <row r="253">
      <c r="A253" s="1">
        <v>4.488765940493E12</v>
      </c>
      <c r="B253" s="1" t="s">
        <v>2382</v>
      </c>
      <c r="C253" s="1" t="s">
        <v>957</v>
      </c>
    </row>
    <row r="254">
      <c r="A254" s="1">
        <v>4.423660733069E12</v>
      </c>
      <c r="B254" s="1" t="s">
        <v>2382</v>
      </c>
      <c r="C254" s="1" t="s">
        <v>957</v>
      </c>
    </row>
    <row r="255">
      <c r="A255" s="1">
        <v>4.420759921677E12</v>
      </c>
      <c r="B255" s="1" t="s">
        <v>2382</v>
      </c>
      <c r="C255" s="1" t="s">
        <v>957</v>
      </c>
    </row>
    <row r="256">
      <c r="A256" s="1">
        <v>4.405629521421E12</v>
      </c>
      <c r="B256" s="1" t="s">
        <v>2382</v>
      </c>
      <c r="C256" s="1" t="s">
        <v>957</v>
      </c>
    </row>
    <row r="257">
      <c r="A257" s="1">
        <v>4.404537138189E12</v>
      </c>
      <c r="B257" s="1" t="s">
        <v>2382</v>
      </c>
      <c r="C257" s="1" t="s">
        <v>957</v>
      </c>
    </row>
    <row r="258">
      <c r="A258" s="1">
        <v>3.60062373751E11</v>
      </c>
      <c r="B258" s="1" t="s">
        <v>2382</v>
      </c>
      <c r="C258" s="1" t="s">
        <v>957</v>
      </c>
    </row>
    <row r="259">
      <c r="A259" s="1">
        <v>3.60061215691E11</v>
      </c>
      <c r="B259" s="1" t="s">
        <v>2382</v>
      </c>
      <c r="C259" s="1" t="s">
        <v>957</v>
      </c>
    </row>
    <row r="260">
      <c r="A260" s="1">
        <v>3.60057727691E11</v>
      </c>
      <c r="B260" s="1" t="s">
        <v>2382</v>
      </c>
      <c r="C260" s="1" t="s">
        <v>957</v>
      </c>
    </row>
    <row r="261">
      <c r="A261" s="1">
        <v>3.60055628451E11</v>
      </c>
      <c r="B261" s="1" t="s">
        <v>2382</v>
      </c>
      <c r="C261" s="1" t="s">
        <v>957</v>
      </c>
    </row>
    <row r="262">
      <c r="A262" s="1">
        <v>3.60053114852E11</v>
      </c>
      <c r="B262" s="1" t="s">
        <v>2382</v>
      </c>
      <c r="C262" s="1" t="s">
        <v>957</v>
      </c>
    </row>
    <row r="263">
      <c r="A263" s="1">
        <v>3.60053183451E11</v>
      </c>
      <c r="B263" s="1" t="s">
        <v>2382</v>
      </c>
      <c r="C263" s="1" t="s">
        <v>957</v>
      </c>
    </row>
    <row r="264">
      <c r="A264" s="1">
        <v>3.60052322731E11</v>
      </c>
      <c r="B264" s="1" t="s">
        <v>2382</v>
      </c>
      <c r="C264" s="1" t="s">
        <v>957</v>
      </c>
    </row>
    <row r="265">
      <c r="A265" s="1">
        <v>3.60052322631E11</v>
      </c>
      <c r="B265" s="1" t="s">
        <v>2382</v>
      </c>
      <c r="C265" s="1" t="s">
        <v>957</v>
      </c>
    </row>
    <row r="266">
      <c r="A266" s="1">
        <v>3.60051868352E11</v>
      </c>
      <c r="B266" s="1" t="s">
        <v>2382</v>
      </c>
      <c r="C266" s="1" t="s">
        <v>957</v>
      </c>
    </row>
    <row r="267">
      <c r="A267" s="1">
        <v>3.60047722531E11</v>
      </c>
      <c r="B267" s="1" t="s">
        <v>2382</v>
      </c>
      <c r="C267" s="1" t="s">
        <v>957</v>
      </c>
    </row>
    <row r="268">
      <c r="A268" s="1">
        <v>3.60044574571E11</v>
      </c>
      <c r="B268" s="1" t="s">
        <v>2382</v>
      </c>
      <c r="C268" s="1" t="s">
        <v>957</v>
      </c>
    </row>
    <row r="269">
      <c r="A269" s="1">
        <v>3.60044125672E11</v>
      </c>
      <c r="B269" s="1" t="s">
        <v>2382</v>
      </c>
      <c r="C269" s="1" t="s">
        <v>957</v>
      </c>
    </row>
    <row r="270">
      <c r="A270" s="1">
        <v>3.60041450431E11</v>
      </c>
      <c r="B270" s="1" t="s">
        <v>2382</v>
      </c>
      <c r="C270" s="1" t="s">
        <v>957</v>
      </c>
    </row>
    <row r="271">
      <c r="A271" s="1">
        <v>3.60038940492E11</v>
      </c>
      <c r="B271" s="1" t="s">
        <v>2382</v>
      </c>
      <c r="C271" s="1" t="s">
        <v>957</v>
      </c>
    </row>
    <row r="272">
      <c r="A272" s="1">
        <v>3.60037925072E11</v>
      </c>
      <c r="B272" s="1" t="s">
        <v>2382</v>
      </c>
      <c r="C272" s="1" t="s">
        <v>957</v>
      </c>
    </row>
    <row r="273">
      <c r="A273" s="1">
        <v>3.60038284651E11</v>
      </c>
      <c r="B273" s="1" t="s">
        <v>2382</v>
      </c>
      <c r="C273" s="1" t="s">
        <v>957</v>
      </c>
    </row>
    <row r="274">
      <c r="A274" s="1">
        <v>3.60028822912E11</v>
      </c>
      <c r="B274" s="1" t="s">
        <v>2382</v>
      </c>
      <c r="C274" s="1" t="s">
        <v>957</v>
      </c>
    </row>
    <row r="275">
      <c r="A275" s="1">
        <v>1.15013900628E11</v>
      </c>
      <c r="B275" s="1" t="s">
        <v>2382</v>
      </c>
      <c r="C275" s="1" t="s">
        <v>957</v>
      </c>
    </row>
    <row r="276">
      <c r="A276" s="1">
        <v>3.60029135751E11</v>
      </c>
      <c r="B276" s="1" t="s">
        <v>2382</v>
      </c>
      <c r="C276" s="1" t="s">
        <v>957</v>
      </c>
    </row>
    <row r="277">
      <c r="A277" s="1">
        <v>3.60007056091E11</v>
      </c>
      <c r="B277" s="1" t="s">
        <v>2382</v>
      </c>
      <c r="C277" s="1" t="s">
        <v>957</v>
      </c>
    </row>
    <row r="278">
      <c r="A278" s="1">
        <v>4.4508084248973E13</v>
      </c>
      <c r="B278" s="1" t="s">
        <v>2387</v>
      </c>
      <c r="C278" s="1" t="s">
        <v>36</v>
      </c>
    </row>
    <row r="279">
      <c r="A279" s="1">
        <v>4.4507889059469E13</v>
      </c>
      <c r="B279" s="1" t="s">
        <v>2387</v>
      </c>
      <c r="C279" s="1" t="s">
        <v>36</v>
      </c>
    </row>
    <row r="280">
      <c r="A280" s="1">
        <v>4.1600964186509E13</v>
      </c>
      <c r="B280" s="1" t="s">
        <v>2387</v>
      </c>
      <c r="C280" s="1" t="s">
        <v>53</v>
      </c>
    </row>
    <row r="281">
      <c r="A281" s="1">
        <v>4.1483147497613E13</v>
      </c>
      <c r="B281" s="1" t="s">
        <v>2387</v>
      </c>
      <c r="C281" s="1" t="s">
        <v>53</v>
      </c>
    </row>
    <row r="282">
      <c r="A282" s="1">
        <v>4.1454970746765E13</v>
      </c>
      <c r="B282" s="1" t="s">
        <v>2387</v>
      </c>
      <c r="C282" s="1" t="s">
        <v>53</v>
      </c>
    </row>
    <row r="283">
      <c r="A283" s="1">
        <v>4.1421370993293E13</v>
      </c>
      <c r="B283" s="1" t="s">
        <v>2387</v>
      </c>
      <c r="C283" s="1" t="s">
        <v>53</v>
      </c>
    </row>
    <row r="284">
      <c r="A284" s="1">
        <v>4.1414964107277E13</v>
      </c>
      <c r="B284" s="1" t="s">
        <v>2387</v>
      </c>
      <c r="C284" s="1" t="s">
        <v>53</v>
      </c>
    </row>
    <row r="285">
      <c r="A285" s="1">
        <v>3.9796803468557E13</v>
      </c>
      <c r="B285" s="1" t="s">
        <v>2387</v>
      </c>
      <c r="C285" s="1" t="s">
        <v>36</v>
      </c>
    </row>
    <row r="286">
      <c r="A286" s="1">
        <v>3.9605716395661E13</v>
      </c>
      <c r="B286" s="1" t="s">
        <v>2384</v>
      </c>
      <c r="C286" s="1" t="s">
        <v>85</v>
      </c>
    </row>
    <row r="287">
      <c r="A287" s="1">
        <v>3.9493737922701E13</v>
      </c>
      <c r="B287" s="1" t="s">
        <v>2387</v>
      </c>
      <c r="C287" s="1" t="s">
        <v>53</v>
      </c>
    </row>
    <row r="288">
      <c r="A288" s="1">
        <v>3.9441645259661E13</v>
      </c>
      <c r="B288" s="1" t="s">
        <v>2384</v>
      </c>
      <c r="C288" s="1" t="s">
        <v>96</v>
      </c>
    </row>
    <row r="289">
      <c r="A289" s="1">
        <v>3.9441546144909E13</v>
      </c>
      <c r="B289" s="1" t="s">
        <v>2384</v>
      </c>
      <c r="C289" s="1" t="s">
        <v>103</v>
      </c>
    </row>
    <row r="290">
      <c r="A290" s="1">
        <v>3.9441453704461E13</v>
      </c>
      <c r="B290" s="1" t="s">
        <v>2384</v>
      </c>
      <c r="C290" s="1" t="s">
        <v>85</v>
      </c>
    </row>
    <row r="291">
      <c r="A291" s="1">
        <v>3.9441330577549E13</v>
      </c>
      <c r="B291" s="1" t="s">
        <v>2384</v>
      </c>
      <c r="C291" s="1" t="s">
        <v>116</v>
      </c>
    </row>
    <row r="292">
      <c r="A292" s="1">
        <v>3.9441101772813E13</v>
      </c>
      <c r="B292" s="1" t="s">
        <v>2384</v>
      </c>
      <c r="C292" s="1" t="s">
        <v>85</v>
      </c>
    </row>
    <row r="293">
      <c r="A293" s="1">
        <v>3.9440345586957E13</v>
      </c>
      <c r="B293" s="1" t="s">
        <v>2384</v>
      </c>
      <c r="C293" s="1" t="s">
        <v>129</v>
      </c>
    </row>
    <row r="294">
      <c r="A294" s="1">
        <v>3.8750663731597E13</v>
      </c>
      <c r="B294" s="1" t="s">
        <v>2387</v>
      </c>
      <c r="C294" s="1" t="s">
        <v>36</v>
      </c>
    </row>
    <row r="295">
      <c r="A295" s="1">
        <v>3.8750474751501E13</v>
      </c>
      <c r="B295" s="1" t="s">
        <v>2387</v>
      </c>
      <c r="C295" s="1" t="s">
        <v>36</v>
      </c>
    </row>
    <row r="296">
      <c r="A296" s="1">
        <v>3.8750034735245E13</v>
      </c>
      <c r="B296" s="1" t="s">
        <v>2387</v>
      </c>
      <c r="C296" s="1" t="s">
        <v>36</v>
      </c>
    </row>
    <row r="297">
      <c r="A297" s="1">
        <v>3.8589735513741E13</v>
      </c>
      <c r="B297" s="1" t="s">
        <v>2387</v>
      </c>
      <c r="C297" s="1" t="s">
        <v>151</v>
      </c>
    </row>
    <row r="298">
      <c r="A298" s="1">
        <v>3.8589596521357E13</v>
      </c>
      <c r="B298" s="1" t="s">
        <v>2387</v>
      </c>
      <c r="C298" s="1" t="s">
        <v>36</v>
      </c>
    </row>
    <row r="299">
      <c r="A299" s="1">
        <v>3.8589581068685E13</v>
      </c>
      <c r="B299" s="1" t="s">
        <v>2387</v>
      </c>
      <c r="C299" s="1" t="s">
        <v>53</v>
      </c>
    </row>
    <row r="300">
      <c r="A300" s="1">
        <v>3.8351856848781E13</v>
      </c>
      <c r="B300" s="1" t="s">
        <v>2387</v>
      </c>
      <c r="C300" s="1" t="s">
        <v>36</v>
      </c>
    </row>
    <row r="301">
      <c r="A301" s="1">
        <v>3.7399282484493E13</v>
      </c>
      <c r="B301" s="1" t="s">
        <v>2387</v>
      </c>
      <c r="C301" s="1" t="s">
        <v>36</v>
      </c>
    </row>
    <row r="302">
      <c r="A302" s="1">
        <v>3.7399135154189E13</v>
      </c>
      <c r="B302" s="1" t="s">
        <v>2387</v>
      </c>
      <c r="C302" s="1" t="s">
        <v>36</v>
      </c>
    </row>
    <row r="303">
      <c r="A303" s="1">
        <v>3.7398719932685E13</v>
      </c>
      <c r="B303" s="1" t="s">
        <v>2387</v>
      </c>
      <c r="C303" s="1" t="s">
        <v>36</v>
      </c>
    </row>
    <row r="304">
      <c r="A304" s="1">
        <v>3.7398529659277E13</v>
      </c>
      <c r="B304" s="1" t="s">
        <v>2387</v>
      </c>
      <c r="C304" s="1" t="s">
        <v>36</v>
      </c>
    </row>
    <row r="305">
      <c r="A305" s="1">
        <v>3.7398134287757E13</v>
      </c>
      <c r="B305" s="1" t="s">
        <v>2387</v>
      </c>
      <c r="C305" s="1" t="s">
        <v>36</v>
      </c>
    </row>
    <row r="306">
      <c r="A306" s="1">
        <v>3.7396586698509E13</v>
      </c>
      <c r="B306" s="1" t="s">
        <v>2387</v>
      </c>
      <c r="C306" s="1" t="s">
        <v>36</v>
      </c>
    </row>
    <row r="307">
      <c r="A307" s="1">
        <v>3.7396408254861E13</v>
      </c>
      <c r="B307" s="1" t="s">
        <v>2387</v>
      </c>
      <c r="C307" s="1" t="s">
        <v>151</v>
      </c>
    </row>
    <row r="308">
      <c r="A308" s="1">
        <v>3.7396243677069E13</v>
      </c>
      <c r="B308" s="1" t="s">
        <v>2387</v>
      </c>
      <c r="C308" s="1" t="s">
        <v>36</v>
      </c>
    </row>
    <row r="309">
      <c r="A309" s="1">
        <v>3.7172030444813E13</v>
      </c>
      <c r="B309" s="1" t="s">
        <v>2387</v>
      </c>
      <c r="C309" s="1" t="s">
        <v>36</v>
      </c>
    </row>
    <row r="310">
      <c r="A310" s="1">
        <v>3.7068658033805E13</v>
      </c>
      <c r="B310" s="1" t="s">
        <v>2387</v>
      </c>
      <c r="C310" s="1" t="s">
        <v>53</v>
      </c>
    </row>
    <row r="311">
      <c r="A311" s="1">
        <v>3.6675349937549E13</v>
      </c>
      <c r="B311" s="1" t="s">
        <v>2387</v>
      </c>
      <c r="C311" s="1" t="s">
        <v>36</v>
      </c>
    </row>
    <row r="312">
      <c r="A312" s="1">
        <v>3.6546556060813E13</v>
      </c>
      <c r="B312" s="1" t="s">
        <v>2387</v>
      </c>
      <c r="C312" s="1" t="s">
        <v>53</v>
      </c>
    </row>
    <row r="313">
      <c r="A313" s="1">
        <v>3.5520846588173E13</v>
      </c>
      <c r="B313" s="1" t="s">
        <v>2387</v>
      </c>
      <c r="C313" s="1" t="s">
        <v>53</v>
      </c>
    </row>
    <row r="314">
      <c r="A314" s="1">
        <v>3.5218213469069E13</v>
      </c>
      <c r="B314" s="1" t="s">
        <v>2382</v>
      </c>
      <c r="C314" s="1" t="s">
        <v>229</v>
      </c>
    </row>
    <row r="315">
      <c r="A315" s="1">
        <v>3.5175755935373E13</v>
      </c>
      <c r="B315" s="1" t="s">
        <v>2387</v>
      </c>
      <c r="C315" s="1" t="s">
        <v>53</v>
      </c>
    </row>
    <row r="316">
      <c r="A316" s="1">
        <v>3.4794054641165E13</v>
      </c>
      <c r="B316" s="1" t="s">
        <v>2387</v>
      </c>
      <c r="C316" s="1" t="s">
        <v>36</v>
      </c>
    </row>
    <row r="317">
      <c r="A317" s="1">
        <v>3.4785884296717E13</v>
      </c>
      <c r="B317" s="1" t="s">
        <v>2387</v>
      </c>
      <c r="C317" s="1" t="s">
        <v>36</v>
      </c>
    </row>
    <row r="318">
      <c r="A318" s="1">
        <v>3.4785442835469E13</v>
      </c>
      <c r="B318" s="1" t="s">
        <v>2387</v>
      </c>
      <c r="C318" s="1" t="s">
        <v>36</v>
      </c>
    </row>
    <row r="319">
      <c r="A319" s="1">
        <v>3.4775675603213E13</v>
      </c>
      <c r="B319" s="1" t="s">
        <v>2384</v>
      </c>
      <c r="C319" s="1" t="s">
        <v>129</v>
      </c>
    </row>
    <row r="320">
      <c r="A320" s="1">
        <v>3.4753844548493E13</v>
      </c>
      <c r="B320" s="1" t="s">
        <v>2387</v>
      </c>
      <c r="C320" s="1" t="s">
        <v>36</v>
      </c>
    </row>
    <row r="321">
      <c r="A321" s="1">
        <v>3.4753608699533E13</v>
      </c>
      <c r="B321" s="1" t="s">
        <v>2387</v>
      </c>
      <c r="C321" s="1" t="s">
        <v>36</v>
      </c>
    </row>
    <row r="322">
      <c r="A322" s="1">
        <v>3.4752710223245E13</v>
      </c>
      <c r="B322" s="1" t="s">
        <v>2387</v>
      </c>
      <c r="C322" s="1" t="s">
        <v>36</v>
      </c>
    </row>
    <row r="323">
      <c r="A323" s="1">
        <v>3.4540951766413E13</v>
      </c>
      <c r="B323" s="1" t="s">
        <v>2387</v>
      </c>
      <c r="C323" s="1" t="s">
        <v>36</v>
      </c>
    </row>
    <row r="324">
      <c r="A324" s="1">
        <v>3.4283158492045E13</v>
      </c>
      <c r="B324" s="1" t="s">
        <v>2382</v>
      </c>
      <c r="C324" s="1" t="s">
        <v>229</v>
      </c>
    </row>
    <row r="325">
      <c r="A325" s="1">
        <v>3.4283089416717E13</v>
      </c>
      <c r="B325" s="1" t="s">
        <v>2382</v>
      </c>
      <c r="C325" s="1" t="s">
        <v>229</v>
      </c>
    </row>
    <row r="326">
      <c r="A326" s="1">
        <v>3.4283041708045E13</v>
      </c>
      <c r="B326" s="1" t="s">
        <v>2382</v>
      </c>
      <c r="C326" s="1" t="s">
        <v>229</v>
      </c>
    </row>
    <row r="327">
      <c r="A327" s="1">
        <v>3.4282873411469E13</v>
      </c>
      <c r="B327" s="1" t="s">
        <v>2382</v>
      </c>
      <c r="C327" s="1" t="s">
        <v>299</v>
      </c>
    </row>
    <row r="328">
      <c r="A328" s="1">
        <v>3.3908704901645E13</v>
      </c>
      <c r="B328" s="1" t="s">
        <v>2387</v>
      </c>
      <c r="C328" s="1" t="s">
        <v>36</v>
      </c>
    </row>
    <row r="329">
      <c r="A329" s="1">
        <v>3.2752013473421E13</v>
      </c>
      <c r="B329" s="1" t="s">
        <v>2387</v>
      </c>
      <c r="C329" s="1" t="s">
        <v>36</v>
      </c>
    </row>
    <row r="330">
      <c r="A330" s="1">
        <v>3.1609567057421E13</v>
      </c>
      <c r="B330" s="1" t="s">
        <v>2387</v>
      </c>
      <c r="C330" s="1" t="s">
        <v>36</v>
      </c>
    </row>
    <row r="331">
      <c r="A331" s="1">
        <v>3.0609408808973E13</v>
      </c>
      <c r="B331" s="1" t="s">
        <v>2387</v>
      </c>
      <c r="C331" s="1" t="s">
        <v>53</v>
      </c>
    </row>
    <row r="332">
      <c r="A332" s="1">
        <v>2.9462863199501E13</v>
      </c>
      <c r="B332" s="1" t="s">
        <v>2384</v>
      </c>
      <c r="C332" s="1" t="s">
        <v>85</v>
      </c>
    </row>
    <row r="333">
      <c r="A333" s="1">
        <v>2.9407516852109E13</v>
      </c>
      <c r="B333" s="1" t="s">
        <v>2387</v>
      </c>
      <c r="C333" s="1" t="s">
        <v>36</v>
      </c>
    </row>
    <row r="334">
      <c r="A334" s="1">
        <v>2.9368705103245E13</v>
      </c>
      <c r="B334" s="1" t="s">
        <v>2387</v>
      </c>
      <c r="C334" s="1" t="s">
        <v>36</v>
      </c>
    </row>
    <row r="335">
      <c r="A335" s="1">
        <v>2.8274881247117E13</v>
      </c>
      <c r="B335" s="1" t="s">
        <v>2387</v>
      </c>
      <c r="C335" s="1" t="s">
        <v>36</v>
      </c>
    </row>
    <row r="336">
      <c r="A336" s="1">
        <v>2.8261675994253E13</v>
      </c>
      <c r="B336" s="1" t="s">
        <v>2387</v>
      </c>
      <c r="C336" s="1" t="s">
        <v>36</v>
      </c>
    </row>
    <row r="337">
      <c r="A337" s="1">
        <v>2.8123310185997E13</v>
      </c>
      <c r="B337" s="1" t="s">
        <v>2387</v>
      </c>
      <c r="C337" s="1" t="s">
        <v>36</v>
      </c>
    </row>
    <row r="338">
      <c r="A338" s="1">
        <v>2.7948299859213E13</v>
      </c>
      <c r="B338" s="1" t="s">
        <v>2384</v>
      </c>
      <c r="C338" s="1" t="s">
        <v>116</v>
      </c>
    </row>
    <row r="339">
      <c r="A339" s="1">
        <v>2.7772709459853E13</v>
      </c>
      <c r="B339" s="1" t="s">
        <v>2387</v>
      </c>
      <c r="C339" s="1" t="s">
        <v>36</v>
      </c>
    </row>
    <row r="340">
      <c r="A340" s="1">
        <v>2.7707345547405E13</v>
      </c>
      <c r="B340" s="1" t="s">
        <v>2387</v>
      </c>
      <c r="C340" s="1" t="s">
        <v>36</v>
      </c>
    </row>
    <row r="341">
      <c r="A341" s="1">
        <v>2.7696971298701E13</v>
      </c>
      <c r="B341" s="1" t="s">
        <v>2387</v>
      </c>
      <c r="C341" s="1" t="s">
        <v>36</v>
      </c>
    </row>
    <row r="342">
      <c r="A342" s="1">
        <v>2.7637289639309E13</v>
      </c>
      <c r="B342" s="1" t="s">
        <v>2387</v>
      </c>
      <c r="C342" s="1" t="s">
        <v>36</v>
      </c>
    </row>
    <row r="343">
      <c r="A343" s="1">
        <v>2.7519478089613E13</v>
      </c>
      <c r="B343" s="1" t="s">
        <v>2387</v>
      </c>
      <c r="C343" s="1" t="s">
        <v>36</v>
      </c>
    </row>
    <row r="344">
      <c r="A344" s="1">
        <v>2.7100081298445E13</v>
      </c>
      <c r="B344" s="1" t="s">
        <v>2382</v>
      </c>
      <c r="C344" s="1" t="s">
        <v>229</v>
      </c>
    </row>
    <row r="345">
      <c r="A345" s="1">
        <v>2.6874963139085E13</v>
      </c>
      <c r="B345" s="1" t="s">
        <v>2387</v>
      </c>
      <c r="C345" s="1" t="s">
        <v>36</v>
      </c>
    </row>
    <row r="346">
      <c r="A346" s="1">
        <v>2.6862583438733E13</v>
      </c>
      <c r="B346" s="1" t="s">
        <v>2384</v>
      </c>
      <c r="C346" s="1" t="s">
        <v>129</v>
      </c>
    </row>
    <row r="347">
      <c r="A347" s="1">
        <v>2.6833115189645E13</v>
      </c>
      <c r="B347" s="1" t="s">
        <v>2387</v>
      </c>
      <c r="C347" s="1" t="s">
        <v>36</v>
      </c>
    </row>
    <row r="348">
      <c r="A348" s="1">
        <v>2.6832096452621E13</v>
      </c>
      <c r="B348" s="1" t="s">
        <v>2387</v>
      </c>
      <c r="C348" s="1" t="s">
        <v>36</v>
      </c>
    </row>
    <row r="349">
      <c r="A349" s="1">
        <v>2.6238146165645E13</v>
      </c>
      <c r="B349" s="1" t="s">
        <v>2387</v>
      </c>
      <c r="C349" s="1" t="s">
        <v>36</v>
      </c>
    </row>
    <row r="350">
      <c r="A350" s="1">
        <v>2.6116851130893E13</v>
      </c>
      <c r="B350" s="1" t="s">
        <v>2387</v>
      </c>
      <c r="C350" s="1" t="s">
        <v>36</v>
      </c>
    </row>
    <row r="351">
      <c r="A351" s="1">
        <v>2.6098271911693E13</v>
      </c>
      <c r="B351" s="1" t="s">
        <v>2382</v>
      </c>
      <c r="C351" s="1" t="s">
        <v>229</v>
      </c>
    </row>
    <row r="352">
      <c r="A352" s="1">
        <v>2.5867376725517E13</v>
      </c>
      <c r="B352" s="1" t="s">
        <v>2387</v>
      </c>
      <c r="C352" s="1" t="s">
        <v>36</v>
      </c>
    </row>
    <row r="353">
      <c r="A353" s="1">
        <v>2.5711257715981E13</v>
      </c>
      <c r="B353" s="1" t="s">
        <v>2387</v>
      </c>
      <c r="C353" s="1" t="s">
        <v>36</v>
      </c>
    </row>
    <row r="354">
      <c r="A354" s="1">
        <v>2.5558774085005E13</v>
      </c>
      <c r="B354" s="1" t="s">
        <v>2384</v>
      </c>
      <c r="C354" s="1" t="s">
        <v>103</v>
      </c>
    </row>
    <row r="355">
      <c r="A355" s="1">
        <v>2.5041149577869E13</v>
      </c>
      <c r="B355" s="1" t="s">
        <v>2387</v>
      </c>
      <c r="C355" s="1" t="s">
        <v>36</v>
      </c>
    </row>
    <row r="356">
      <c r="A356" s="1">
        <v>2.4923243522061E13</v>
      </c>
      <c r="B356" s="1" t="s">
        <v>2387</v>
      </c>
      <c r="C356" s="1" t="s">
        <v>36</v>
      </c>
    </row>
    <row r="357">
      <c r="A357" s="1">
        <v>2.4708327125517E13</v>
      </c>
      <c r="B357" s="1" t="s">
        <v>2387</v>
      </c>
      <c r="C357" s="1" t="s">
        <v>36</v>
      </c>
    </row>
    <row r="358">
      <c r="A358" s="1">
        <v>2.4678305656077E13</v>
      </c>
      <c r="B358" s="1" t="s">
        <v>2387</v>
      </c>
      <c r="C358" s="1" t="s">
        <v>36</v>
      </c>
    </row>
    <row r="359">
      <c r="A359" s="1">
        <v>2.4630553363725E13</v>
      </c>
      <c r="B359" s="1" t="s">
        <v>2387</v>
      </c>
      <c r="C359" s="1" t="s">
        <v>36</v>
      </c>
    </row>
    <row r="360">
      <c r="A360" s="1">
        <v>2.4629332843661E13</v>
      </c>
      <c r="B360" s="1" t="s">
        <v>2387</v>
      </c>
      <c r="C360" s="1" t="s">
        <v>36</v>
      </c>
    </row>
    <row r="361">
      <c r="A361" s="1">
        <v>2.4627515210381E13</v>
      </c>
      <c r="B361" s="1" t="s">
        <v>2387</v>
      </c>
      <c r="C361" s="1" t="s">
        <v>36</v>
      </c>
    </row>
    <row r="362">
      <c r="A362" s="1">
        <v>2.4503978193677E13</v>
      </c>
      <c r="B362" s="1" t="s">
        <v>2387</v>
      </c>
      <c r="C362" s="1" t="s">
        <v>53</v>
      </c>
    </row>
    <row r="363">
      <c r="A363" s="1">
        <v>2.4503908210701E13</v>
      </c>
      <c r="B363" s="1" t="s">
        <v>2388</v>
      </c>
      <c r="C363" s="1" t="s">
        <v>494</v>
      </c>
    </row>
    <row r="364">
      <c r="A364" s="1">
        <v>2.4503817095821E13</v>
      </c>
      <c r="B364" s="1" t="s">
        <v>2387</v>
      </c>
      <c r="C364" s="1" t="s">
        <v>53</v>
      </c>
    </row>
    <row r="365">
      <c r="A365" s="1">
        <v>2.4503739866381E13</v>
      </c>
      <c r="B365" s="1" t="s">
        <v>2387</v>
      </c>
      <c r="C365" s="1" t="s">
        <v>53</v>
      </c>
    </row>
    <row r="366">
      <c r="A366" s="1">
        <v>2.4503660244237E13</v>
      </c>
      <c r="B366" s="1" t="s">
        <v>2387</v>
      </c>
      <c r="C366" s="1" t="s">
        <v>53</v>
      </c>
    </row>
    <row r="367">
      <c r="A367" s="1">
        <v>2.4500388349325E13</v>
      </c>
      <c r="B367" s="1" t="s">
        <v>2384</v>
      </c>
      <c r="C367" s="1" t="s">
        <v>85</v>
      </c>
    </row>
    <row r="368">
      <c r="A368" s="1">
        <v>2.4500060040333E13</v>
      </c>
      <c r="B368" s="1" t="s">
        <v>2387</v>
      </c>
      <c r="C368" s="1" t="s">
        <v>36</v>
      </c>
    </row>
    <row r="369">
      <c r="A369" s="1">
        <v>2.4499751348109E13</v>
      </c>
      <c r="B369" s="1" t="s">
        <v>2387</v>
      </c>
      <c r="C369" s="1" t="s">
        <v>36</v>
      </c>
    </row>
    <row r="370">
      <c r="A370" s="1">
        <v>2.4466294676109E13</v>
      </c>
      <c r="B370" s="1" t="s">
        <v>2387</v>
      </c>
      <c r="C370" s="1" t="s">
        <v>36</v>
      </c>
    </row>
    <row r="371">
      <c r="A371" s="1">
        <v>2.4416965172109E13</v>
      </c>
      <c r="B371" s="1" t="s">
        <v>2387</v>
      </c>
      <c r="C371" s="1" t="s">
        <v>36</v>
      </c>
    </row>
    <row r="372">
      <c r="A372" s="1">
        <v>2.4415735639053E13</v>
      </c>
      <c r="B372" s="1" t="s">
        <v>2387</v>
      </c>
      <c r="C372" s="1" t="s">
        <v>36</v>
      </c>
    </row>
    <row r="373">
      <c r="A373" s="1">
        <v>2.4415359538957E13</v>
      </c>
      <c r="B373" s="1" t="s">
        <v>2387</v>
      </c>
      <c r="C373" s="1" t="s">
        <v>36</v>
      </c>
    </row>
    <row r="374">
      <c r="A374" s="1">
        <v>2.4369015719949E13</v>
      </c>
      <c r="B374" s="1" t="s">
        <v>2387</v>
      </c>
      <c r="C374" s="1" t="s">
        <v>36</v>
      </c>
    </row>
    <row r="375">
      <c r="A375" s="1">
        <v>2.4364194894989E13</v>
      </c>
      <c r="B375" s="1" t="s">
        <v>2387</v>
      </c>
      <c r="C375" s="1" t="s">
        <v>36</v>
      </c>
    </row>
    <row r="376">
      <c r="A376" s="1">
        <v>2.4364089757965E13</v>
      </c>
      <c r="B376" s="1" t="s">
        <v>2387</v>
      </c>
      <c r="C376" s="1" t="s">
        <v>36</v>
      </c>
    </row>
    <row r="377">
      <c r="A377" s="1">
        <v>2.4329379792397E13</v>
      </c>
      <c r="B377" s="1" t="s">
        <v>2387</v>
      </c>
      <c r="C377" s="1" t="s">
        <v>36</v>
      </c>
    </row>
    <row r="378">
      <c r="A378" s="1">
        <v>2.4319729697549E13</v>
      </c>
      <c r="B378" s="1" t="s">
        <v>2387</v>
      </c>
      <c r="C378" s="1" t="s">
        <v>36</v>
      </c>
    </row>
    <row r="379">
      <c r="A379" s="1">
        <v>2.4281357697933E13</v>
      </c>
      <c r="B379" s="1" t="s">
        <v>2387</v>
      </c>
      <c r="C379" s="1" t="s">
        <v>36</v>
      </c>
    </row>
    <row r="380">
      <c r="A380" s="1">
        <v>2.4278130169997E13</v>
      </c>
      <c r="B380" s="1" t="s">
        <v>2387</v>
      </c>
      <c r="C380" s="1" t="s">
        <v>579</v>
      </c>
    </row>
    <row r="381">
      <c r="A381" s="1">
        <v>2.4204949822605E13</v>
      </c>
      <c r="B381" s="1" t="s">
        <v>2387</v>
      </c>
      <c r="C381" s="1" t="s">
        <v>36</v>
      </c>
    </row>
    <row r="382">
      <c r="A382" s="1">
        <v>2.4204752747277E13</v>
      </c>
      <c r="B382" s="1" t="s">
        <v>2387</v>
      </c>
      <c r="C382" s="1" t="s">
        <v>36</v>
      </c>
    </row>
    <row r="383">
      <c r="A383" s="1">
        <v>2.4023737865997E13</v>
      </c>
      <c r="B383" s="1" t="s">
        <v>2387</v>
      </c>
      <c r="C383" s="1" t="s">
        <v>36</v>
      </c>
    </row>
    <row r="384">
      <c r="A384" s="1">
        <v>2.3943883896589E13</v>
      </c>
      <c r="B384" s="1" t="s">
        <v>2382</v>
      </c>
      <c r="C384" s="1" t="s">
        <v>229</v>
      </c>
    </row>
    <row r="385">
      <c r="A385" s="1">
        <v>2.3333132191117E13</v>
      </c>
      <c r="B385" s="1" t="s">
        <v>2387</v>
      </c>
      <c r="C385" s="1" t="s">
        <v>36</v>
      </c>
    </row>
    <row r="386">
      <c r="A386" s="1">
        <v>2.3331971505165E13</v>
      </c>
      <c r="B386" s="1" t="s">
        <v>2387</v>
      </c>
      <c r="C386" s="1" t="s">
        <v>36</v>
      </c>
    </row>
    <row r="387">
      <c r="A387" s="1">
        <v>2.3317440954509E13</v>
      </c>
      <c r="B387" s="1" t="s">
        <v>2387</v>
      </c>
      <c r="C387" s="1" t="s">
        <v>53</v>
      </c>
    </row>
    <row r="388">
      <c r="A388" s="1">
        <v>2.3120757650957E13</v>
      </c>
      <c r="B388" s="1" t="s">
        <v>2387</v>
      </c>
      <c r="C388" s="1" t="s">
        <v>36</v>
      </c>
    </row>
    <row r="389">
      <c r="A389" s="1">
        <v>2.3047723490061E13</v>
      </c>
      <c r="B389" s="1" t="s">
        <v>2387</v>
      </c>
      <c r="C389" s="1" t="s">
        <v>36</v>
      </c>
    </row>
    <row r="390">
      <c r="A390" s="1">
        <v>2.2884212670221E13</v>
      </c>
      <c r="B390" s="1" t="s">
        <v>2387</v>
      </c>
      <c r="C390" s="1" t="s">
        <v>36</v>
      </c>
    </row>
    <row r="391">
      <c r="A391" s="1">
        <v>2.2883722491149E13</v>
      </c>
      <c r="B391" s="1" t="s">
        <v>2387</v>
      </c>
      <c r="C391" s="1" t="s">
        <v>36</v>
      </c>
    </row>
    <row r="392">
      <c r="A392" s="1">
        <v>2.2859736115341E13</v>
      </c>
      <c r="B392" s="1" t="s">
        <v>2387</v>
      </c>
      <c r="C392" s="1" t="s">
        <v>36</v>
      </c>
    </row>
    <row r="393">
      <c r="A393" s="1">
        <v>2.2718603281805E13</v>
      </c>
      <c r="B393" s="1" t="s">
        <v>2387</v>
      </c>
      <c r="C393" s="1" t="s">
        <v>36</v>
      </c>
    </row>
    <row r="394">
      <c r="A394" s="1">
        <v>2.2601750339853E13</v>
      </c>
      <c r="B394" s="1" t="s">
        <v>2387</v>
      </c>
      <c r="C394" s="1" t="s">
        <v>36</v>
      </c>
    </row>
    <row r="395">
      <c r="A395" s="1">
        <v>2.2545719006093E13</v>
      </c>
      <c r="B395" s="1" t="s">
        <v>2387</v>
      </c>
      <c r="C395" s="1" t="s">
        <v>36</v>
      </c>
    </row>
    <row r="396">
      <c r="A396" s="1">
        <v>2.2528858942477E13</v>
      </c>
      <c r="B396" s="1" t="s">
        <v>2387</v>
      </c>
      <c r="C396" s="1" t="s">
        <v>53</v>
      </c>
    </row>
    <row r="397">
      <c r="A397" s="1">
        <v>2.2527297395469E13</v>
      </c>
      <c r="B397" s="1" t="s">
        <v>2387</v>
      </c>
      <c r="C397" s="1" t="s">
        <v>53</v>
      </c>
    </row>
    <row r="398">
      <c r="A398" s="1">
        <v>2.2527023643277E13</v>
      </c>
      <c r="B398" s="1" t="s">
        <v>2387</v>
      </c>
      <c r="C398" s="1" t="s">
        <v>53</v>
      </c>
    </row>
    <row r="399">
      <c r="A399" s="1">
        <v>2.2526914045965E13</v>
      </c>
      <c r="B399" s="1" t="s">
        <v>2387</v>
      </c>
      <c r="C399" s="1" t="s">
        <v>53</v>
      </c>
    </row>
    <row r="400">
      <c r="A400" s="1">
        <v>2.2526646445837E13</v>
      </c>
      <c r="B400" s="1" t="s">
        <v>2387</v>
      </c>
      <c r="C400" s="1" t="s">
        <v>53</v>
      </c>
    </row>
    <row r="401">
      <c r="A401" s="1">
        <v>2.2526541868941E13</v>
      </c>
      <c r="B401" s="1" t="s">
        <v>2387</v>
      </c>
      <c r="C401" s="1" t="s">
        <v>53</v>
      </c>
    </row>
    <row r="402">
      <c r="A402" s="1">
        <v>2.2526318397453E13</v>
      </c>
      <c r="B402" s="1" t="s">
        <v>2387</v>
      </c>
      <c r="C402" s="1" t="s">
        <v>36</v>
      </c>
    </row>
    <row r="403">
      <c r="A403" s="1">
        <v>2.2419830133901E13</v>
      </c>
      <c r="B403" s="1" t="s">
        <v>2387</v>
      </c>
      <c r="C403" s="1" t="s">
        <v>53</v>
      </c>
    </row>
    <row r="404">
      <c r="A404" s="1">
        <v>1.8817200171021E13</v>
      </c>
      <c r="B404" s="1" t="s">
        <v>2382</v>
      </c>
      <c r="C404" s="1" t="s">
        <v>229</v>
      </c>
    </row>
    <row r="405">
      <c r="A405" s="1">
        <v>1.8727472957581E13</v>
      </c>
      <c r="B405" s="1" t="s">
        <v>2387</v>
      </c>
      <c r="C405" s="1" t="s">
        <v>36</v>
      </c>
    </row>
    <row r="406">
      <c r="A406" s="1">
        <v>1.8665299725581E13</v>
      </c>
      <c r="B406" s="1" t="s">
        <v>2384</v>
      </c>
      <c r="C406" s="1" t="s">
        <v>85</v>
      </c>
    </row>
    <row r="407">
      <c r="A407" s="1">
        <v>1.8664293608461E13</v>
      </c>
      <c r="B407" s="1" t="s">
        <v>2384</v>
      </c>
      <c r="C407" s="1" t="s">
        <v>85</v>
      </c>
    </row>
    <row r="408">
      <c r="A408" s="1">
        <v>1.8663428825869E13</v>
      </c>
      <c r="B408" s="1" t="s">
        <v>2384</v>
      </c>
      <c r="C408" s="1" t="s">
        <v>722</v>
      </c>
    </row>
    <row r="409">
      <c r="A409" s="1">
        <v>1.8171266379277E13</v>
      </c>
      <c r="B409" s="1" t="s">
        <v>2387</v>
      </c>
      <c r="C409" s="1" t="s">
        <v>151</v>
      </c>
    </row>
    <row r="410">
      <c r="A410" s="1">
        <v>1.6171823237901E13</v>
      </c>
      <c r="B410" s="1" t="s">
        <v>2387</v>
      </c>
      <c r="C410" s="1" t="s">
        <v>731</v>
      </c>
    </row>
    <row r="411">
      <c r="A411" s="1">
        <v>1.0516074299277E13</v>
      </c>
      <c r="B411" s="1" t="s">
        <v>2387</v>
      </c>
      <c r="C411" s="1" t="s">
        <v>36</v>
      </c>
    </row>
    <row r="412">
      <c r="A412" s="1">
        <v>1.0205136927501E13</v>
      </c>
      <c r="B412" s="1" t="s">
        <v>2384</v>
      </c>
      <c r="C412" s="1" t="s">
        <v>129</v>
      </c>
    </row>
    <row r="413">
      <c r="A413" s="1">
        <v>8.840845251597E12</v>
      </c>
      <c r="B413" s="1" t="s">
        <v>2384</v>
      </c>
      <c r="C413" s="1" t="s">
        <v>96</v>
      </c>
    </row>
    <row r="414">
      <c r="A414" s="1">
        <v>8.472874606349E12</v>
      </c>
      <c r="B414" s="1" t="s">
        <v>2384</v>
      </c>
      <c r="C414" s="1" t="s">
        <v>96</v>
      </c>
    </row>
    <row r="415">
      <c r="A415" s="1">
        <v>8.472814179981E12</v>
      </c>
      <c r="B415" s="1" t="s">
        <v>2384</v>
      </c>
      <c r="C415" s="1" t="s">
        <v>96</v>
      </c>
    </row>
    <row r="416">
      <c r="A416" s="1">
        <v>8.472516540045E12</v>
      </c>
      <c r="B416" s="1" t="s">
        <v>2384</v>
      </c>
      <c r="C416" s="1" t="s">
        <v>96</v>
      </c>
    </row>
    <row r="417">
      <c r="A417" s="1">
        <v>8.472312195085E12</v>
      </c>
      <c r="B417" s="1" t="s">
        <v>2384</v>
      </c>
      <c r="C417" s="1" t="s">
        <v>96</v>
      </c>
    </row>
    <row r="418">
      <c r="A418" s="1">
        <v>8.472214549133E12</v>
      </c>
      <c r="B418" s="1" t="s">
        <v>2384</v>
      </c>
      <c r="C418" s="1" t="s">
        <v>96</v>
      </c>
    </row>
    <row r="419">
      <c r="A419" s="1">
        <v>8.472058613261E12</v>
      </c>
      <c r="B419" s="1" t="s">
        <v>2384</v>
      </c>
      <c r="C419" s="1" t="s">
        <v>96</v>
      </c>
    </row>
    <row r="420">
      <c r="A420" s="1">
        <v>8.390753642381E12</v>
      </c>
      <c r="B420" s="1" t="s">
        <v>2384</v>
      </c>
      <c r="C420" s="1" t="s">
        <v>96</v>
      </c>
    </row>
    <row r="421">
      <c r="A421" s="1">
        <v>4.652559260557E12</v>
      </c>
      <c r="B421" s="1" t="s">
        <v>2387</v>
      </c>
      <c r="C421" s="1" t="s">
        <v>151</v>
      </c>
    </row>
    <row r="422">
      <c r="A422" s="1">
        <v>4.422919758861E12</v>
      </c>
      <c r="B422" s="1" t="s">
        <v>2384</v>
      </c>
      <c r="C422" s="1" t="s">
        <v>103</v>
      </c>
    </row>
    <row r="423">
      <c r="A423" s="1">
        <v>3.60060364071E11</v>
      </c>
      <c r="B423" s="1" t="s">
        <v>2384</v>
      </c>
      <c r="C423" s="1" t="s">
        <v>103</v>
      </c>
    </row>
    <row r="424">
      <c r="A424" s="1">
        <v>3.60059921652E11</v>
      </c>
      <c r="B424" s="1" t="s">
        <v>2387</v>
      </c>
      <c r="C424" s="1" t="s">
        <v>53</v>
      </c>
    </row>
    <row r="425">
      <c r="A425" s="1">
        <v>3.60059919672E11</v>
      </c>
      <c r="B425" s="1" t="s">
        <v>2384</v>
      </c>
      <c r="C425" s="1" t="s">
        <v>103</v>
      </c>
    </row>
    <row r="426">
      <c r="A426" s="1">
        <v>3.60060360031E11</v>
      </c>
      <c r="B426" s="1" t="s">
        <v>2387</v>
      </c>
      <c r="C426" s="1" t="s">
        <v>53</v>
      </c>
    </row>
    <row r="427">
      <c r="A427" s="1">
        <v>3.60060359971E11</v>
      </c>
      <c r="B427" s="1" t="s">
        <v>2384</v>
      </c>
      <c r="C427" s="1" t="s">
        <v>103</v>
      </c>
    </row>
    <row r="428">
      <c r="A428" s="1">
        <v>3.60060359871E11</v>
      </c>
      <c r="B428" s="1" t="s">
        <v>2384</v>
      </c>
      <c r="C428" s="1" t="s">
        <v>103</v>
      </c>
    </row>
    <row r="429">
      <c r="A429" s="1">
        <v>3.60060359551E11</v>
      </c>
      <c r="B429" s="1" t="s">
        <v>2384</v>
      </c>
      <c r="C429" s="1" t="s">
        <v>85</v>
      </c>
    </row>
    <row r="430">
      <c r="A430" s="1">
        <v>3.60060359511E11</v>
      </c>
      <c r="B430" s="1" t="s">
        <v>2384</v>
      </c>
      <c r="C430" s="1" t="s">
        <v>85</v>
      </c>
    </row>
    <row r="431">
      <c r="A431" s="1">
        <v>3.60059919412E11</v>
      </c>
      <c r="B431" s="1" t="s">
        <v>2384</v>
      </c>
      <c r="C431" s="1" t="s">
        <v>85</v>
      </c>
    </row>
    <row r="432">
      <c r="A432" s="1">
        <v>3.60059919392E11</v>
      </c>
      <c r="B432" s="1" t="s">
        <v>2384</v>
      </c>
      <c r="C432" s="1" t="s">
        <v>85</v>
      </c>
    </row>
    <row r="433">
      <c r="A433" s="1">
        <v>3.60060359471E11</v>
      </c>
      <c r="B433" s="1" t="s">
        <v>2384</v>
      </c>
      <c r="C433" s="1" t="s">
        <v>85</v>
      </c>
    </row>
    <row r="434">
      <c r="A434" s="1">
        <v>3.60059919332E11</v>
      </c>
      <c r="B434" s="1" t="s">
        <v>2384</v>
      </c>
      <c r="C434" s="1" t="s">
        <v>85</v>
      </c>
    </row>
    <row r="435">
      <c r="A435" s="1">
        <v>3.60060359431E11</v>
      </c>
      <c r="B435" s="1" t="s">
        <v>2384</v>
      </c>
      <c r="C435" s="1" t="s">
        <v>85</v>
      </c>
    </row>
    <row r="436">
      <c r="A436" s="1">
        <v>3.60059919312E11</v>
      </c>
      <c r="B436" s="1" t="s">
        <v>2384</v>
      </c>
      <c r="C436" s="1" t="s">
        <v>85</v>
      </c>
    </row>
    <row r="437">
      <c r="A437" s="1">
        <v>3.60059918512E11</v>
      </c>
      <c r="B437" s="1" t="s">
        <v>2384</v>
      </c>
      <c r="C437" s="1" t="s">
        <v>129</v>
      </c>
    </row>
    <row r="438">
      <c r="A438" s="1">
        <v>3.60060358151E11</v>
      </c>
      <c r="B438" s="1" t="s">
        <v>2384</v>
      </c>
      <c r="C438" s="1" t="s">
        <v>722</v>
      </c>
    </row>
    <row r="439">
      <c r="A439" s="1">
        <v>3.60059917992E11</v>
      </c>
      <c r="B439" s="1" t="s">
        <v>2384</v>
      </c>
      <c r="C439" s="1" t="s">
        <v>722</v>
      </c>
    </row>
    <row r="440">
      <c r="A440" s="1">
        <v>3.60059917872E11</v>
      </c>
      <c r="B440" s="1" t="s">
        <v>2384</v>
      </c>
      <c r="C440" s="1" t="s">
        <v>722</v>
      </c>
    </row>
    <row r="441">
      <c r="A441" s="1">
        <v>3.60059917212E11</v>
      </c>
      <c r="B441" s="1" t="s">
        <v>2384</v>
      </c>
      <c r="C441" s="1" t="s">
        <v>103</v>
      </c>
    </row>
    <row r="442">
      <c r="A442" s="1">
        <v>3.60059917192E11</v>
      </c>
      <c r="B442" s="1" t="s">
        <v>2384</v>
      </c>
      <c r="C442" s="1" t="s">
        <v>103</v>
      </c>
    </row>
    <row r="443">
      <c r="A443" s="1">
        <v>3.60060357151E11</v>
      </c>
      <c r="B443" s="1" t="s">
        <v>2384</v>
      </c>
      <c r="C443" s="1" t="s">
        <v>85</v>
      </c>
    </row>
    <row r="444">
      <c r="A444" s="1">
        <v>3.60059917172E11</v>
      </c>
      <c r="B444" s="1" t="s">
        <v>2384</v>
      </c>
      <c r="C444" s="1" t="s">
        <v>103</v>
      </c>
    </row>
    <row r="445">
      <c r="A445" s="1">
        <v>3.60059917152E11</v>
      </c>
      <c r="B445" s="1" t="s">
        <v>2384</v>
      </c>
      <c r="C445" s="1" t="s">
        <v>103</v>
      </c>
    </row>
    <row r="446">
      <c r="A446" s="1">
        <v>3.60060357131E11</v>
      </c>
      <c r="B446" s="1" t="s">
        <v>2384</v>
      </c>
      <c r="C446" s="1" t="s">
        <v>103</v>
      </c>
    </row>
    <row r="447">
      <c r="A447" s="1">
        <v>3.60059917132E11</v>
      </c>
      <c r="B447" s="1" t="s">
        <v>2384</v>
      </c>
      <c r="C447" s="1" t="s">
        <v>85</v>
      </c>
    </row>
    <row r="448">
      <c r="A448" s="1">
        <v>3.60059917112E11</v>
      </c>
      <c r="B448" s="1" t="s">
        <v>2384</v>
      </c>
      <c r="C448" s="1" t="s">
        <v>96</v>
      </c>
    </row>
    <row r="449">
      <c r="A449" s="1">
        <v>3.60059917092E11</v>
      </c>
      <c r="B449" s="1" t="s">
        <v>2384</v>
      </c>
      <c r="C449" s="1" t="s">
        <v>96</v>
      </c>
    </row>
    <row r="450">
      <c r="A450" s="1">
        <v>3.60060357051E11</v>
      </c>
      <c r="B450" s="1" t="s">
        <v>2384</v>
      </c>
      <c r="C450" s="1" t="s">
        <v>96</v>
      </c>
    </row>
    <row r="451">
      <c r="A451" s="1">
        <v>3.60059915672E11</v>
      </c>
      <c r="B451" s="1" t="s">
        <v>2384</v>
      </c>
      <c r="C451" s="1" t="s">
        <v>722</v>
      </c>
    </row>
    <row r="452">
      <c r="A452" s="1">
        <v>3.60058295252E11</v>
      </c>
      <c r="B452" s="1" t="s">
        <v>2382</v>
      </c>
      <c r="C452" s="1" t="s">
        <v>229</v>
      </c>
    </row>
    <row r="453">
      <c r="A453" s="1">
        <v>3.60057068151E11</v>
      </c>
      <c r="B453" s="1" t="s">
        <v>2382</v>
      </c>
      <c r="C453" s="1" t="s">
        <v>299</v>
      </c>
    </row>
    <row r="454">
      <c r="A454" s="1">
        <v>3.60048461712E11</v>
      </c>
      <c r="B454" s="1" t="s">
        <v>2384</v>
      </c>
      <c r="C454" s="1" t="s">
        <v>722</v>
      </c>
    </row>
    <row r="455">
      <c r="A455" s="1">
        <v>3.60048128671E11</v>
      </c>
      <c r="B455" s="1" t="s">
        <v>2382</v>
      </c>
      <c r="C455" s="1" t="s">
        <v>229</v>
      </c>
    </row>
    <row r="456">
      <c r="A456" s="1">
        <v>3.60048128011E11</v>
      </c>
      <c r="B456" s="1" t="s">
        <v>2382</v>
      </c>
      <c r="C456" s="1" t="s">
        <v>299</v>
      </c>
    </row>
    <row r="457">
      <c r="A457" s="1">
        <v>3.60048127531E11</v>
      </c>
      <c r="B457" s="1" t="s">
        <v>2388</v>
      </c>
      <c r="C457" s="1" t="s">
        <v>494</v>
      </c>
    </row>
    <row r="458">
      <c r="A458" s="1">
        <v>3.60047652432E11</v>
      </c>
      <c r="B458" s="1" t="s">
        <v>2388</v>
      </c>
      <c r="C458" s="1" t="s">
        <v>494</v>
      </c>
    </row>
    <row r="459">
      <c r="A459" s="1">
        <v>3.60039880171E11</v>
      </c>
      <c r="B459" s="1" t="s">
        <v>2384</v>
      </c>
      <c r="C459" s="1" t="s">
        <v>129</v>
      </c>
    </row>
    <row r="460">
      <c r="A460" s="1">
        <v>3.60039880091E11</v>
      </c>
      <c r="B460" s="1" t="s">
        <v>2384</v>
      </c>
      <c r="C460" s="1" t="s">
        <v>96</v>
      </c>
    </row>
    <row r="461">
      <c r="A461" s="1">
        <v>3.60039477132E11</v>
      </c>
      <c r="B461" s="1" t="s">
        <v>2384</v>
      </c>
      <c r="C461" s="1" t="s">
        <v>96</v>
      </c>
    </row>
    <row r="462">
      <c r="A462" s="1">
        <v>3.60039477092E11</v>
      </c>
      <c r="B462" s="1" t="s">
        <v>2384</v>
      </c>
      <c r="C462" s="1" t="s">
        <v>129</v>
      </c>
    </row>
    <row r="463">
      <c r="A463" s="1">
        <v>1.15012866147E11</v>
      </c>
      <c r="B463" s="1" t="s">
        <v>2384</v>
      </c>
      <c r="C463" s="1" t="s">
        <v>722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5" max="5" width="12.63"/>
  </cols>
  <sheetData>
    <row r="1">
      <c r="A1" s="1" t="s">
        <v>0</v>
      </c>
      <c r="B1" s="1" t="s">
        <v>2</v>
      </c>
      <c r="C1" s="1" t="s">
        <v>4</v>
      </c>
      <c r="D1" s="1" t="s">
        <v>6</v>
      </c>
      <c r="E1" s="1" t="s">
        <v>7</v>
      </c>
      <c r="F1" s="1" t="s">
        <v>12</v>
      </c>
      <c r="G1" s="1" t="s">
        <v>13</v>
      </c>
      <c r="H1" s="1" t="s">
        <v>14</v>
      </c>
      <c r="I1" s="1" t="s">
        <v>15</v>
      </c>
      <c r="J1" s="1" t="s">
        <v>16</v>
      </c>
      <c r="K1" s="1" t="s">
        <v>17</v>
      </c>
      <c r="L1" s="1" t="s">
        <v>18</v>
      </c>
      <c r="M1" s="1" t="s">
        <v>20</v>
      </c>
      <c r="N1" s="1" t="s">
        <v>21</v>
      </c>
      <c r="O1" s="1" t="s">
        <v>22</v>
      </c>
      <c r="P1" s="1" t="s">
        <v>23</v>
      </c>
      <c r="Q1" s="1" t="s">
        <v>24</v>
      </c>
      <c r="R1" s="1" t="s">
        <v>28</v>
      </c>
      <c r="S1" s="1" t="s">
        <v>29</v>
      </c>
    </row>
    <row r="2" ht="69.0" customHeight="1">
      <c r="A2" s="1">
        <v>4.6580151525773E13</v>
      </c>
      <c r="B2" s="2" t="s">
        <v>954</v>
      </c>
      <c r="C2" s="1" t="s">
        <v>955</v>
      </c>
      <c r="D2" s="1" t="s">
        <v>34</v>
      </c>
      <c r="E2" s="1" t="b">
        <v>0</v>
      </c>
      <c r="F2" s="1" t="s">
        <v>956</v>
      </c>
      <c r="G2" s="1" t="str">
        <f t="array" ref="G2">XLOOKUP(A:A,'CategoriasSeções'!A:A,'CategoriasSeções'!B:B)</f>
        <v>Comunicados</v>
      </c>
      <c r="H2" s="1" t="s">
        <v>957</v>
      </c>
      <c r="I2" s="3">
        <v>46184.78194444445</v>
      </c>
      <c r="J2" s="3">
        <v>46184.782638888886</v>
      </c>
      <c r="K2" s="1" t="s">
        <v>958</v>
      </c>
      <c r="L2" s="1" t="s">
        <v>958</v>
      </c>
      <c r="M2" s="1" t="s">
        <v>38</v>
      </c>
      <c r="N2" s="1" t="s">
        <v>75</v>
      </c>
      <c r="O2" s="1" t="s">
        <v>69</v>
      </c>
      <c r="P2" s="1" t="s">
        <v>69</v>
      </c>
      <c r="Q2" s="3">
        <v>46184.782638888886</v>
      </c>
      <c r="R2" s="1" t="s">
        <v>960</v>
      </c>
      <c r="S2" s="1" t="s">
        <v>961</v>
      </c>
    </row>
    <row r="3" ht="69.0" customHeight="1">
      <c r="A3" s="1">
        <v>4.5969746240653E13</v>
      </c>
      <c r="B3" s="2" t="s">
        <v>963</v>
      </c>
      <c r="C3" s="1" t="s">
        <v>964</v>
      </c>
      <c r="D3" s="1" t="s">
        <v>34</v>
      </c>
      <c r="E3" s="1" t="b">
        <v>0</v>
      </c>
      <c r="F3" s="1" t="s">
        <v>956</v>
      </c>
      <c r="G3" s="1" t="str">
        <f t="array" ref="G3">XLOOKUP(A:A,'CategoriasSeções'!A:A,'CategoriasSeções'!B:B)</f>
        <v>Comunicados</v>
      </c>
      <c r="H3" s="1" t="s">
        <v>957</v>
      </c>
      <c r="I3" s="3">
        <v>46161.53472222222</v>
      </c>
      <c r="J3" s="3">
        <v>46161.53680555556</v>
      </c>
      <c r="K3" s="1" t="s">
        <v>965</v>
      </c>
      <c r="L3" s="1" t="s">
        <v>965</v>
      </c>
      <c r="M3" s="1" t="s">
        <v>38</v>
      </c>
      <c r="N3" s="1" t="s">
        <v>75</v>
      </c>
      <c r="O3" s="1" t="s">
        <v>69</v>
      </c>
      <c r="P3" s="1" t="s">
        <v>69</v>
      </c>
      <c r="Q3" s="3">
        <v>46161.53680555556</v>
      </c>
      <c r="R3" s="1" t="s">
        <v>967</v>
      </c>
      <c r="S3" s="1" t="s">
        <v>968</v>
      </c>
    </row>
    <row r="4" ht="69.0" customHeight="1">
      <c r="A4" s="1">
        <v>4.5969542413965E13</v>
      </c>
      <c r="B4" s="2" t="s">
        <v>970</v>
      </c>
      <c r="C4" s="1" t="s">
        <v>955</v>
      </c>
      <c r="D4" s="1" t="s">
        <v>34</v>
      </c>
      <c r="E4" s="1" t="b">
        <v>0</v>
      </c>
      <c r="F4" s="1" t="s">
        <v>956</v>
      </c>
      <c r="G4" s="1" t="str">
        <f t="array" ref="G4">XLOOKUP(A:A,'CategoriasSeções'!A:A,'CategoriasSeções'!B:B)</f>
        <v>Comunicados</v>
      </c>
      <c r="H4" s="1" t="s">
        <v>957</v>
      </c>
      <c r="I4" s="3">
        <v>46161.52916666667</v>
      </c>
      <c r="J4" s="3">
        <v>46161.53055555555</v>
      </c>
      <c r="K4" s="1" t="s">
        <v>971</v>
      </c>
      <c r="L4" s="1" t="s">
        <v>971</v>
      </c>
      <c r="M4" s="1" t="s">
        <v>38</v>
      </c>
      <c r="N4" s="1" t="s">
        <v>75</v>
      </c>
      <c r="O4" s="1" t="s">
        <v>39</v>
      </c>
      <c r="P4" s="1" t="s">
        <v>39</v>
      </c>
      <c r="Q4" s="3">
        <v>46161.529861111114</v>
      </c>
      <c r="R4" s="1" t="s">
        <v>55</v>
      </c>
      <c r="S4" s="1" t="s">
        <v>973</v>
      </c>
    </row>
    <row r="5" ht="69.0" customHeight="1">
      <c r="A5" s="1">
        <v>4.5640367424525E13</v>
      </c>
      <c r="B5" s="2" t="s">
        <v>975</v>
      </c>
      <c r="C5" s="1" t="s">
        <v>955</v>
      </c>
      <c r="D5" s="1" t="s">
        <v>34</v>
      </c>
      <c r="E5" s="1" t="b">
        <v>0</v>
      </c>
      <c r="F5" s="1" t="s">
        <v>956</v>
      </c>
      <c r="G5" s="1" t="str">
        <f t="array" ref="G5">XLOOKUP(A:A,'CategoriasSeções'!A:A,'CategoriasSeções'!B:B)</f>
        <v>Comunicados</v>
      </c>
      <c r="H5" s="1" t="s">
        <v>957</v>
      </c>
      <c r="I5" s="3">
        <v>46148.54583333333</v>
      </c>
      <c r="J5" s="3">
        <v>46148.614583333336</v>
      </c>
      <c r="K5" s="1" t="s">
        <v>976</v>
      </c>
      <c r="L5" s="1" t="s">
        <v>976</v>
      </c>
      <c r="M5" s="1" t="s">
        <v>38</v>
      </c>
      <c r="N5" s="1" t="s">
        <v>75</v>
      </c>
      <c r="O5" s="1" t="s">
        <v>69</v>
      </c>
      <c r="P5" s="1" t="s">
        <v>69</v>
      </c>
      <c r="Q5" s="3">
        <v>46148.614583333336</v>
      </c>
      <c r="R5" s="1" t="s">
        <v>55</v>
      </c>
      <c r="S5" s="1" t="s">
        <v>978</v>
      </c>
    </row>
    <row r="6" ht="69.0" customHeight="1">
      <c r="A6" s="1">
        <v>4.5445136445709E13</v>
      </c>
      <c r="B6" s="2" t="s">
        <v>980</v>
      </c>
      <c r="C6" s="1" t="s">
        <v>955</v>
      </c>
      <c r="D6" s="1" t="s">
        <v>34</v>
      </c>
      <c r="E6" s="1" t="b">
        <v>0</v>
      </c>
      <c r="F6" s="1" t="s">
        <v>956</v>
      </c>
      <c r="G6" s="1" t="str">
        <f t="array" ref="G6">XLOOKUP(A:A,'CategoriasSeções'!A:A,'CategoriasSeções'!B:B)</f>
        <v>Comunicados</v>
      </c>
      <c r="H6" s="1" t="s">
        <v>981</v>
      </c>
      <c r="I6" s="3">
        <v>46140.79375</v>
      </c>
      <c r="J6" s="3">
        <v>46140.794444444444</v>
      </c>
      <c r="K6" s="1" t="s">
        <v>982</v>
      </c>
      <c r="L6" s="1" t="s">
        <v>982</v>
      </c>
      <c r="M6" s="1" t="s">
        <v>38</v>
      </c>
      <c r="N6" s="1" t="s">
        <v>75</v>
      </c>
      <c r="O6" s="1" t="s">
        <v>69</v>
      </c>
      <c r="P6" s="1" t="s">
        <v>69</v>
      </c>
      <c r="Q6" s="3">
        <v>46140.794444444444</v>
      </c>
      <c r="R6" s="1" t="s">
        <v>984</v>
      </c>
      <c r="S6" s="1" t="s">
        <v>985</v>
      </c>
    </row>
    <row r="7" ht="69.0" customHeight="1">
      <c r="A7" s="1">
        <v>4.5398674305549E13</v>
      </c>
      <c r="B7" s="2" t="s">
        <v>987</v>
      </c>
      <c r="C7" s="1" t="s">
        <v>955</v>
      </c>
      <c r="D7" s="1" t="s">
        <v>34</v>
      </c>
      <c r="E7" s="1" t="b">
        <v>0</v>
      </c>
      <c r="F7" s="1" t="s">
        <v>956</v>
      </c>
      <c r="G7" s="1" t="str">
        <f t="array" ref="G7">XLOOKUP(A:A,'CategoriasSeções'!A:A,'CategoriasSeções'!B:B)</f>
        <v>Comunicados</v>
      </c>
      <c r="H7" s="1" t="s">
        <v>957</v>
      </c>
      <c r="I7" s="3">
        <v>46139.56041666667</v>
      </c>
      <c r="J7" s="3">
        <v>46139.56041666667</v>
      </c>
      <c r="K7" s="1" t="s">
        <v>988</v>
      </c>
      <c r="L7" s="1" t="s">
        <v>988</v>
      </c>
      <c r="M7" s="1" t="s">
        <v>38</v>
      </c>
      <c r="N7" s="1" t="s">
        <v>75</v>
      </c>
      <c r="O7" s="1" t="s">
        <v>69</v>
      </c>
      <c r="P7" s="1" t="s">
        <v>69</v>
      </c>
      <c r="Q7" s="3">
        <v>46139.56041666667</v>
      </c>
      <c r="R7" s="1" t="s">
        <v>989</v>
      </c>
      <c r="S7" s="1" t="s">
        <v>990</v>
      </c>
    </row>
    <row r="8" ht="69.0" customHeight="1">
      <c r="A8" s="1">
        <v>4.5175124069133E13</v>
      </c>
      <c r="B8" s="2" t="s">
        <v>992</v>
      </c>
      <c r="C8" s="1" t="s">
        <v>955</v>
      </c>
      <c r="D8" s="1" t="s">
        <v>47</v>
      </c>
      <c r="E8" s="1" t="b">
        <v>0</v>
      </c>
      <c r="F8" s="1" t="s">
        <v>956</v>
      </c>
      <c r="G8" s="1" t="str">
        <f t="array" ref="G8">XLOOKUP(A:A,'CategoriasSeções'!A:A,'CategoriasSeções'!B:B)</f>
        <v>Comunicados</v>
      </c>
      <c r="H8" s="1" t="s">
        <v>981</v>
      </c>
      <c r="I8" s="3">
        <v>46129.604166666664</v>
      </c>
      <c r="J8" s="3">
        <v>46129.604166666664</v>
      </c>
      <c r="K8" s="1" t="s">
        <v>993</v>
      </c>
      <c r="L8" s="1" t="s">
        <v>993</v>
      </c>
      <c r="M8" s="1" t="s">
        <v>38</v>
      </c>
      <c r="N8" s="1" t="s">
        <v>75</v>
      </c>
      <c r="O8" s="1" t="s">
        <v>69</v>
      </c>
      <c r="P8" s="1" t="s">
        <v>69</v>
      </c>
      <c r="Q8" s="3">
        <v>46129.604166666664</v>
      </c>
      <c r="R8" s="1" t="s">
        <v>995</v>
      </c>
      <c r="S8" s="1" t="s">
        <v>996</v>
      </c>
    </row>
    <row r="9" ht="69.0" customHeight="1">
      <c r="A9" s="1">
        <v>4.3417777244557E13</v>
      </c>
      <c r="B9" s="2" t="s">
        <v>998</v>
      </c>
      <c r="C9" s="1" t="s">
        <v>964</v>
      </c>
      <c r="D9" s="1" t="s">
        <v>34</v>
      </c>
      <c r="E9" s="1" t="b">
        <v>0</v>
      </c>
      <c r="F9" s="1" t="s">
        <v>956</v>
      </c>
      <c r="G9" s="1" t="str">
        <f t="array" ref="G9">XLOOKUP(A:A,'CategoriasSeções'!A:A,'CategoriasSeções'!B:B)</f>
        <v>Comunicados</v>
      </c>
      <c r="H9" s="1" t="s">
        <v>957</v>
      </c>
      <c r="I9" s="3">
        <v>46063.86597222222</v>
      </c>
      <c r="J9" s="3">
        <v>46063.86875</v>
      </c>
      <c r="K9" s="1" t="s">
        <v>999</v>
      </c>
      <c r="L9" s="1" t="s">
        <v>999</v>
      </c>
      <c r="M9" s="1" t="s">
        <v>38</v>
      </c>
      <c r="N9" s="1" t="s">
        <v>75</v>
      </c>
      <c r="O9" s="1" t="s">
        <v>69</v>
      </c>
      <c r="P9" s="1" t="s">
        <v>69</v>
      </c>
      <c r="Q9" s="3">
        <v>46063.86875</v>
      </c>
      <c r="R9" s="1" t="s">
        <v>1001</v>
      </c>
      <c r="S9" s="1" t="s">
        <v>1002</v>
      </c>
    </row>
    <row r="10" ht="69.0" customHeight="1">
      <c r="A10" s="1">
        <v>4.3287279721485E13</v>
      </c>
      <c r="B10" s="2" t="s">
        <v>1004</v>
      </c>
      <c r="C10" s="1" t="s">
        <v>964</v>
      </c>
      <c r="D10" s="1" t="s">
        <v>34</v>
      </c>
      <c r="E10" s="1" t="b">
        <v>0</v>
      </c>
      <c r="F10" s="1" t="s">
        <v>956</v>
      </c>
      <c r="G10" s="1" t="str">
        <f t="array" ref="G10">XLOOKUP(A:A,'CategoriasSeções'!A:A,'CategoriasSeções'!B:B)</f>
        <v>Comunicados</v>
      </c>
      <c r="H10" s="1" t="s">
        <v>981</v>
      </c>
      <c r="I10" s="3">
        <v>46058.85</v>
      </c>
      <c r="J10" s="3">
        <v>46058.85</v>
      </c>
      <c r="K10" s="1" t="s">
        <v>1005</v>
      </c>
      <c r="L10" s="1" t="s">
        <v>1005</v>
      </c>
      <c r="M10" s="1" t="s">
        <v>38</v>
      </c>
      <c r="N10" s="1" t="s">
        <v>75</v>
      </c>
      <c r="O10" s="1" t="s">
        <v>69</v>
      </c>
      <c r="P10" s="1" t="s">
        <v>69</v>
      </c>
      <c r="Q10" s="3">
        <v>46058.85</v>
      </c>
      <c r="R10" s="1" t="s">
        <v>1007</v>
      </c>
      <c r="S10" s="1" t="s">
        <v>1008</v>
      </c>
    </row>
    <row r="11" ht="69.0" customHeight="1">
      <c r="A11" s="1">
        <v>4.3079305437069E13</v>
      </c>
      <c r="B11" s="2" t="s">
        <v>1010</v>
      </c>
      <c r="C11" s="1" t="s">
        <v>964</v>
      </c>
      <c r="D11" s="1" t="s">
        <v>34</v>
      </c>
      <c r="E11" s="1" t="b">
        <v>0</v>
      </c>
      <c r="F11" s="1" t="s">
        <v>956</v>
      </c>
      <c r="G11" s="1" t="str">
        <f t="array" ref="G11">XLOOKUP(A:A,'CategoriasSeções'!A:A,'CategoriasSeções'!B:B)</f>
        <v>Comunicados</v>
      </c>
      <c r="H11" s="1" t="s">
        <v>957</v>
      </c>
      <c r="I11" s="3">
        <v>46051.74166666667</v>
      </c>
      <c r="J11" s="3">
        <v>46063.82708333333</v>
      </c>
      <c r="K11" s="1" t="s">
        <v>1011</v>
      </c>
      <c r="L11" s="1" t="s">
        <v>1011</v>
      </c>
      <c r="M11" s="1" t="s">
        <v>38</v>
      </c>
      <c r="N11" s="1" t="s">
        <v>75</v>
      </c>
      <c r="O11" s="1" t="s">
        <v>69</v>
      </c>
      <c r="P11" s="1" t="s">
        <v>69</v>
      </c>
      <c r="Q11" s="3">
        <v>46063.82708333333</v>
      </c>
      <c r="R11" s="1" t="s">
        <v>1012</v>
      </c>
      <c r="S11" s="1" t="s">
        <v>1013</v>
      </c>
    </row>
    <row r="12" ht="69.0" customHeight="1">
      <c r="A12" s="1">
        <v>4.1548829098765E13</v>
      </c>
      <c r="B12" s="2" t="s">
        <v>1015</v>
      </c>
      <c r="C12" s="1" t="s">
        <v>955</v>
      </c>
      <c r="D12" s="1" t="s">
        <v>34</v>
      </c>
      <c r="E12" s="1" t="b">
        <v>0</v>
      </c>
      <c r="F12" s="1" t="s">
        <v>956</v>
      </c>
      <c r="G12" s="1" t="str">
        <f t="array" ref="G12">XLOOKUP(A:A,'CategoriasSeções'!A:A,'CategoriasSeções'!B:B)</f>
        <v>Comunicados</v>
      </c>
      <c r="H12" s="1" t="s">
        <v>981</v>
      </c>
      <c r="I12" s="3">
        <v>45992.50902777778</v>
      </c>
      <c r="J12" s="3">
        <v>45992.509722222225</v>
      </c>
      <c r="K12" s="1" t="s">
        <v>1016</v>
      </c>
      <c r="L12" s="1" t="s">
        <v>1016</v>
      </c>
      <c r="M12" s="1" t="s">
        <v>38</v>
      </c>
      <c r="N12" s="1" t="s">
        <v>75</v>
      </c>
      <c r="O12" s="1" t="s">
        <v>69</v>
      </c>
      <c r="P12" s="1" t="s">
        <v>69</v>
      </c>
      <c r="Q12" s="3">
        <v>45992.509722222225</v>
      </c>
      <c r="R12" s="1" t="s">
        <v>1018</v>
      </c>
      <c r="S12" s="1" t="s">
        <v>1019</v>
      </c>
    </row>
    <row r="13" ht="69.0" customHeight="1">
      <c r="A13" s="1">
        <v>4.1200958123533E13</v>
      </c>
      <c r="B13" s="2" t="s">
        <v>1021</v>
      </c>
      <c r="C13" s="1" t="s">
        <v>955</v>
      </c>
      <c r="D13" s="1" t="s">
        <v>34</v>
      </c>
      <c r="E13" s="1" t="b">
        <v>0</v>
      </c>
      <c r="F13" s="1" t="s">
        <v>956</v>
      </c>
      <c r="G13" s="1" t="str">
        <f t="array" ref="G13">XLOOKUP(A:A,'CategoriasSeções'!A:A,'CategoriasSeções'!B:B)</f>
        <v>Comunicados</v>
      </c>
      <c r="H13" s="1" t="s">
        <v>957</v>
      </c>
      <c r="I13" s="12">
        <v>45978.65277777778</v>
      </c>
      <c r="J13" s="12">
        <v>45978.65277777778</v>
      </c>
      <c r="K13" s="1" t="s">
        <v>1022</v>
      </c>
      <c r="L13" s="1" t="s">
        <v>1022</v>
      </c>
      <c r="M13" s="1" t="s">
        <v>38</v>
      </c>
      <c r="N13" s="1" t="s">
        <v>75</v>
      </c>
      <c r="O13" s="1" t="s">
        <v>69</v>
      </c>
      <c r="P13" s="1" t="s">
        <v>69</v>
      </c>
      <c r="Q13" s="12">
        <v>45978.65277777778</v>
      </c>
      <c r="R13" s="1" t="s">
        <v>1024</v>
      </c>
      <c r="S13" s="1" t="s">
        <v>1025</v>
      </c>
    </row>
    <row r="14" ht="69.0" customHeight="1">
      <c r="A14" s="1">
        <v>4.1200676487309E13</v>
      </c>
      <c r="B14" s="2" t="s">
        <v>1027</v>
      </c>
      <c r="C14" s="1" t="s">
        <v>955</v>
      </c>
      <c r="D14" s="1" t="s">
        <v>34</v>
      </c>
      <c r="E14" s="1" t="b">
        <v>0</v>
      </c>
      <c r="F14" s="1" t="s">
        <v>956</v>
      </c>
      <c r="G14" s="1" t="str">
        <f t="array" ref="G14">XLOOKUP(A:A,'CategoriasSeções'!A:A,'CategoriasSeções'!B:B)</f>
        <v>Comunicados</v>
      </c>
      <c r="H14" s="1" t="s">
        <v>957</v>
      </c>
      <c r="I14" s="12">
        <v>45978.646527777775</v>
      </c>
      <c r="J14" s="12">
        <v>45978.646527777775</v>
      </c>
      <c r="K14" s="1" t="s">
        <v>1028</v>
      </c>
      <c r="L14" s="1" t="s">
        <v>1028</v>
      </c>
      <c r="M14" s="1" t="s">
        <v>38</v>
      </c>
      <c r="N14" s="1" t="s">
        <v>75</v>
      </c>
      <c r="O14" s="1" t="s">
        <v>69</v>
      </c>
      <c r="P14" s="1" t="s">
        <v>69</v>
      </c>
      <c r="Q14" s="12">
        <v>45978.646527777775</v>
      </c>
      <c r="R14" s="1" t="s">
        <v>1030</v>
      </c>
      <c r="S14" s="1" t="s">
        <v>1031</v>
      </c>
    </row>
    <row r="15" ht="69.0" customHeight="1">
      <c r="A15" s="1">
        <v>4.1200449568653E13</v>
      </c>
      <c r="B15" s="2" t="s">
        <v>1033</v>
      </c>
      <c r="C15" s="1" t="s">
        <v>955</v>
      </c>
      <c r="D15" s="1" t="s">
        <v>34</v>
      </c>
      <c r="E15" s="1" t="b">
        <v>0</v>
      </c>
      <c r="F15" s="1" t="s">
        <v>956</v>
      </c>
      <c r="G15" s="1" t="str">
        <f t="array" ref="G15">XLOOKUP(A:A,'CategoriasSeções'!A:A,'CategoriasSeções'!B:B)</f>
        <v>Comunicados</v>
      </c>
      <c r="H15" s="1" t="s">
        <v>981</v>
      </c>
      <c r="I15" s="12">
        <v>45978.64236111111</v>
      </c>
      <c r="J15" s="12">
        <v>45978.64375</v>
      </c>
      <c r="K15" s="1" t="s">
        <v>1034</v>
      </c>
      <c r="L15" s="1" t="s">
        <v>1034</v>
      </c>
      <c r="M15" s="1" t="s">
        <v>38</v>
      </c>
      <c r="N15" s="1" t="s">
        <v>75</v>
      </c>
      <c r="O15" s="1" t="s">
        <v>69</v>
      </c>
      <c r="P15" s="1" t="s">
        <v>69</v>
      </c>
      <c r="Q15" s="12">
        <v>45978.643055555556</v>
      </c>
      <c r="R15" s="1" t="s">
        <v>1036</v>
      </c>
      <c r="S15" s="1" t="s">
        <v>1037</v>
      </c>
    </row>
    <row r="16" ht="69.0" customHeight="1">
      <c r="A16" s="1">
        <v>4.0886099111565E13</v>
      </c>
      <c r="B16" s="2" t="s">
        <v>1039</v>
      </c>
      <c r="C16" s="1" t="s">
        <v>955</v>
      </c>
      <c r="D16" s="1" t="s">
        <v>34</v>
      </c>
      <c r="E16" s="1" t="b">
        <v>0</v>
      </c>
      <c r="F16" s="1" t="s">
        <v>956</v>
      </c>
      <c r="G16" s="1" t="str">
        <f t="array" ref="G16">XLOOKUP(A:A,'CategoriasSeções'!A:A,'CategoriasSeções'!B:B)</f>
        <v>Comunicados</v>
      </c>
      <c r="H16" s="1" t="s">
        <v>957</v>
      </c>
      <c r="I16" s="3">
        <v>45966.475</v>
      </c>
      <c r="J16" s="3">
        <v>45966.475</v>
      </c>
      <c r="K16" s="1" t="s">
        <v>1040</v>
      </c>
      <c r="L16" s="1" t="s">
        <v>1040</v>
      </c>
      <c r="M16" s="1" t="s">
        <v>38</v>
      </c>
      <c r="N16" s="1" t="s">
        <v>75</v>
      </c>
      <c r="O16" s="1" t="s">
        <v>69</v>
      </c>
      <c r="P16" s="1" t="s">
        <v>69</v>
      </c>
      <c r="Q16" s="3">
        <v>45966.475</v>
      </c>
      <c r="R16" s="1" t="s">
        <v>1042</v>
      </c>
      <c r="S16" s="1" t="s">
        <v>1043</v>
      </c>
    </row>
    <row r="17" ht="69.0" customHeight="1">
      <c r="A17" s="1">
        <v>3.9657211014157E13</v>
      </c>
      <c r="B17" s="2" t="s">
        <v>1045</v>
      </c>
      <c r="C17" s="1" t="s">
        <v>964</v>
      </c>
      <c r="D17" s="1" t="s">
        <v>34</v>
      </c>
      <c r="E17" s="1" t="b">
        <v>0</v>
      </c>
      <c r="F17" s="1" t="s">
        <v>956</v>
      </c>
      <c r="G17" s="1" t="str">
        <f t="array" ref="G17">XLOOKUP(A:A,'CategoriasSeções'!A:A,'CategoriasSeções'!B:B)</f>
        <v>Comunicados</v>
      </c>
      <c r="H17" s="1" t="s">
        <v>957</v>
      </c>
      <c r="I17" s="3">
        <v>45917.87777777778</v>
      </c>
      <c r="J17" s="3">
        <v>45917.87847222222</v>
      </c>
      <c r="K17" s="1" t="s">
        <v>1046</v>
      </c>
      <c r="L17" s="1" t="s">
        <v>1046</v>
      </c>
      <c r="M17" s="1" t="s">
        <v>38</v>
      </c>
      <c r="N17" s="1" t="s">
        <v>75</v>
      </c>
      <c r="O17" s="1" t="s">
        <v>69</v>
      </c>
      <c r="P17" s="1" t="s">
        <v>69</v>
      </c>
      <c r="Q17" s="3">
        <v>45917.87847222222</v>
      </c>
      <c r="R17" s="1" t="s">
        <v>55</v>
      </c>
      <c r="S17" s="1" t="s">
        <v>1047</v>
      </c>
    </row>
    <row r="18" ht="69.0" customHeight="1">
      <c r="A18" s="1">
        <v>3.9656940905229E13</v>
      </c>
      <c r="B18" s="2" t="s">
        <v>1049</v>
      </c>
      <c r="C18" s="1" t="s">
        <v>964</v>
      </c>
      <c r="D18" s="1" t="s">
        <v>34</v>
      </c>
      <c r="E18" s="1" t="b">
        <v>0</v>
      </c>
      <c r="F18" s="1" t="s">
        <v>956</v>
      </c>
      <c r="G18" s="1" t="str">
        <f t="array" ref="G18">XLOOKUP(A:A,'CategoriasSeções'!A:A,'CategoriasSeções'!B:B)</f>
        <v>Comunicados</v>
      </c>
      <c r="H18" s="1" t="s">
        <v>981</v>
      </c>
      <c r="I18" s="3">
        <v>45917.87222222222</v>
      </c>
      <c r="J18" s="3">
        <v>45917.873611111114</v>
      </c>
      <c r="K18" s="1" t="s">
        <v>1050</v>
      </c>
      <c r="L18" s="1" t="s">
        <v>1050</v>
      </c>
      <c r="M18" s="1" t="s">
        <v>38</v>
      </c>
      <c r="N18" s="1" t="s">
        <v>75</v>
      </c>
      <c r="O18" s="1" t="s">
        <v>69</v>
      </c>
      <c r="P18" s="1" t="s">
        <v>69</v>
      </c>
      <c r="Q18" s="3">
        <v>45917.87222222222</v>
      </c>
      <c r="R18" s="1" t="s">
        <v>1052</v>
      </c>
      <c r="S18" s="1" t="s">
        <v>1053</v>
      </c>
    </row>
    <row r="19" ht="69.0" customHeight="1">
      <c r="A19" s="1">
        <v>3.9406117531405E13</v>
      </c>
      <c r="B19" s="2" t="s">
        <v>1055</v>
      </c>
      <c r="C19" s="1" t="s">
        <v>955</v>
      </c>
      <c r="D19" s="1" t="s">
        <v>34</v>
      </c>
      <c r="E19" s="1" t="b">
        <v>1</v>
      </c>
      <c r="F19" s="1" t="s">
        <v>956</v>
      </c>
      <c r="G19" s="1" t="str">
        <f t="array" ref="G19">XLOOKUP(A:A,'CategoriasSeções'!A:A,'CategoriasSeções'!B:B)</f>
        <v>Comunicados</v>
      </c>
      <c r="H19" s="1" t="s">
        <v>957</v>
      </c>
      <c r="I19" s="3">
        <v>45908.65972222222</v>
      </c>
      <c r="J19" s="3">
        <v>45908.66180555556</v>
      </c>
      <c r="K19" s="1" t="s">
        <v>1056</v>
      </c>
      <c r="L19" s="1" t="s">
        <v>1056</v>
      </c>
      <c r="M19" s="1" t="s">
        <v>38</v>
      </c>
      <c r="N19" s="1" t="s">
        <v>75</v>
      </c>
      <c r="O19" s="1" t="s">
        <v>69</v>
      </c>
      <c r="P19" s="1" t="s">
        <v>69</v>
      </c>
      <c r="Q19" s="3">
        <v>45908.66180555556</v>
      </c>
      <c r="R19" s="1" t="s">
        <v>1058</v>
      </c>
      <c r="S19" s="1" t="s">
        <v>1059</v>
      </c>
    </row>
    <row r="20" ht="69.0" customHeight="1">
      <c r="A20" s="1">
        <v>3.8085354542221E13</v>
      </c>
      <c r="B20" s="2" t="s">
        <v>1061</v>
      </c>
      <c r="C20" s="1" t="s">
        <v>964</v>
      </c>
      <c r="D20" s="1" t="s">
        <v>34</v>
      </c>
      <c r="E20" s="1" t="b">
        <v>0</v>
      </c>
      <c r="F20" s="1" t="s">
        <v>956</v>
      </c>
      <c r="G20" s="1" t="str">
        <f t="array" ref="G20">XLOOKUP(A:A,'CategoriasSeções'!A:A,'CategoriasSeções'!B:B)</f>
        <v>EXPORTAÇÃO - CABOTAGEM</v>
      </c>
      <c r="H20" s="1" t="s">
        <v>1062</v>
      </c>
      <c r="I20" s="3">
        <v>45853.85625</v>
      </c>
      <c r="J20" s="3">
        <v>45853.85625</v>
      </c>
      <c r="K20" s="1" t="s">
        <v>1063</v>
      </c>
      <c r="L20" s="1" t="s">
        <v>1063</v>
      </c>
      <c r="M20" s="1" t="s">
        <v>38</v>
      </c>
      <c r="N20" s="1" t="s">
        <v>75</v>
      </c>
      <c r="O20" s="1" t="s">
        <v>69</v>
      </c>
      <c r="P20" s="1" t="s">
        <v>69</v>
      </c>
      <c r="Q20" s="3">
        <v>45853.85625</v>
      </c>
      <c r="R20" s="1" t="s">
        <v>1065</v>
      </c>
      <c r="S20" s="1" t="s">
        <v>1066</v>
      </c>
    </row>
    <row r="21" ht="69.0" customHeight="1">
      <c r="A21" s="1">
        <v>3.7649625863565E13</v>
      </c>
      <c r="B21" s="2" t="s">
        <v>1068</v>
      </c>
      <c r="C21" s="1" t="s">
        <v>964</v>
      </c>
      <c r="D21" s="1" t="s">
        <v>34</v>
      </c>
      <c r="E21" s="1" t="b">
        <v>0</v>
      </c>
      <c r="F21" s="1" t="s">
        <v>956</v>
      </c>
      <c r="G21" s="1" t="str">
        <f t="array" ref="G21">XLOOKUP(A:A,'CategoriasSeções'!A:A,'CategoriasSeções'!B:B)</f>
        <v>Comunicados</v>
      </c>
      <c r="H21" s="1" t="s">
        <v>957</v>
      </c>
      <c r="I21" s="3">
        <v>45834.7875</v>
      </c>
      <c r="J21" s="3">
        <v>45834.79027777778</v>
      </c>
      <c r="K21" s="1" t="s">
        <v>1069</v>
      </c>
      <c r="L21" s="1" t="s">
        <v>1069</v>
      </c>
      <c r="M21" s="1" t="s">
        <v>38</v>
      </c>
      <c r="N21" s="1" t="s">
        <v>75</v>
      </c>
      <c r="O21" s="1" t="s">
        <v>69</v>
      </c>
      <c r="P21" s="1" t="s">
        <v>69</v>
      </c>
      <c r="Q21" s="3">
        <v>45834.79027777778</v>
      </c>
      <c r="R21" s="1" t="s">
        <v>1071</v>
      </c>
      <c r="S21" s="1" t="s">
        <v>1072</v>
      </c>
    </row>
    <row r="22" ht="69.0" customHeight="1">
      <c r="A22" s="1">
        <v>3.5458668968205E13</v>
      </c>
      <c r="B22" s="2" t="s">
        <v>1074</v>
      </c>
      <c r="C22" s="1" t="s">
        <v>964</v>
      </c>
      <c r="D22" s="1" t="s">
        <v>34</v>
      </c>
      <c r="E22" s="1" t="b">
        <v>0</v>
      </c>
      <c r="F22" s="1" t="s">
        <v>956</v>
      </c>
      <c r="G22" s="1" t="str">
        <f t="array" ref="G22">XLOOKUP(A:A,'CategoriasSeções'!A:A,'CategoriasSeções'!B:B)</f>
        <v>Comunicados</v>
      </c>
      <c r="H22" s="1" t="s">
        <v>981</v>
      </c>
      <c r="I22" s="3">
        <v>45747.73263888889</v>
      </c>
      <c r="J22" s="3">
        <v>45747.73333333333</v>
      </c>
      <c r="K22" s="1" t="s">
        <v>1075</v>
      </c>
      <c r="L22" s="1" t="s">
        <v>1075</v>
      </c>
      <c r="M22" s="1" t="s">
        <v>38</v>
      </c>
      <c r="N22" s="1" t="s">
        <v>75</v>
      </c>
      <c r="O22" s="1" t="s">
        <v>69</v>
      </c>
      <c r="P22" s="1" t="s">
        <v>69</v>
      </c>
      <c r="Q22" s="3">
        <v>45747.73333333333</v>
      </c>
      <c r="R22" s="1" t="s">
        <v>1076</v>
      </c>
      <c r="S22" s="1" t="s">
        <v>1077</v>
      </c>
    </row>
    <row r="23" ht="69.0" customHeight="1">
      <c r="A23" s="1">
        <v>3.5219054400013E13</v>
      </c>
      <c r="B23" s="2" t="s">
        <v>1079</v>
      </c>
      <c r="C23" s="1" t="s">
        <v>964</v>
      </c>
      <c r="D23" s="1" t="s">
        <v>34</v>
      </c>
      <c r="E23" s="1" t="b">
        <v>0</v>
      </c>
      <c r="F23" s="1" t="s">
        <v>956</v>
      </c>
      <c r="G23" s="1" t="str">
        <f t="array" ref="G23">XLOOKUP(A:A,'CategoriasSeções'!A:A,'CategoriasSeções'!B:B)</f>
        <v>Comunicados</v>
      </c>
      <c r="H23" s="1" t="s">
        <v>957</v>
      </c>
      <c r="I23" s="3">
        <v>45737.83611111111</v>
      </c>
      <c r="J23" s="3">
        <v>45737.83611111111</v>
      </c>
      <c r="K23" s="1" t="s">
        <v>1080</v>
      </c>
      <c r="L23" s="1" t="s">
        <v>1080</v>
      </c>
      <c r="M23" s="1" t="s">
        <v>38</v>
      </c>
      <c r="N23" s="1" t="s">
        <v>75</v>
      </c>
      <c r="O23" s="1" t="s">
        <v>69</v>
      </c>
      <c r="P23" s="1" t="s">
        <v>69</v>
      </c>
      <c r="Q23" s="3">
        <v>45737.83611111111</v>
      </c>
      <c r="R23" s="1" t="s">
        <v>1082</v>
      </c>
      <c r="S23" s="1" t="s">
        <v>1083</v>
      </c>
    </row>
    <row r="24" ht="69.0" customHeight="1">
      <c r="A24" s="1">
        <v>3.4977454727309E13</v>
      </c>
      <c r="B24" s="2" t="s">
        <v>1085</v>
      </c>
      <c r="C24" s="1" t="s">
        <v>964</v>
      </c>
      <c r="D24" s="1" t="s">
        <v>34</v>
      </c>
      <c r="E24" s="1" t="b">
        <v>0</v>
      </c>
      <c r="F24" s="1" t="s">
        <v>956</v>
      </c>
      <c r="G24" s="1" t="str">
        <f t="array" ref="G24">XLOOKUP(A:A,'CategoriasSeções'!A:A,'CategoriasSeções'!B:B)</f>
        <v>Comunicados</v>
      </c>
      <c r="H24" s="1" t="s">
        <v>957</v>
      </c>
      <c r="I24" s="3">
        <v>45729.48263888889</v>
      </c>
      <c r="J24" s="3">
        <v>45729.48263888889</v>
      </c>
      <c r="K24" s="1" t="s">
        <v>1086</v>
      </c>
      <c r="L24" s="1" t="s">
        <v>1086</v>
      </c>
      <c r="M24" s="1" t="s">
        <v>38</v>
      </c>
      <c r="N24" s="1" t="s">
        <v>75</v>
      </c>
      <c r="O24" s="1" t="s">
        <v>69</v>
      </c>
      <c r="P24" s="1" t="s">
        <v>69</v>
      </c>
      <c r="Q24" s="3">
        <v>45729.48263888889</v>
      </c>
      <c r="R24" s="1" t="s">
        <v>1088</v>
      </c>
      <c r="S24" s="1" t="s">
        <v>1089</v>
      </c>
    </row>
    <row r="25" ht="69.0" customHeight="1">
      <c r="A25" s="1">
        <v>3.4533744033293E13</v>
      </c>
      <c r="B25" s="2" t="s">
        <v>1091</v>
      </c>
      <c r="C25" s="1" t="s">
        <v>964</v>
      </c>
      <c r="D25" s="1" t="s">
        <v>34</v>
      </c>
      <c r="E25" s="1" t="b">
        <v>0</v>
      </c>
      <c r="F25" s="1" t="s">
        <v>956</v>
      </c>
      <c r="G25" s="1" t="str">
        <f t="array" ref="G25">XLOOKUP(A:A,'CategoriasSeções'!A:A,'CategoriasSeções'!B:B)</f>
        <v>Agendamentos</v>
      </c>
      <c r="H25" s="1" t="s">
        <v>85</v>
      </c>
      <c r="I25" s="3">
        <v>45713.42083333333</v>
      </c>
      <c r="J25" s="3">
        <v>45713.42152777778</v>
      </c>
      <c r="K25" s="1" t="s">
        <v>1092</v>
      </c>
      <c r="L25" s="1" t="s">
        <v>1092</v>
      </c>
      <c r="M25" s="1" t="s">
        <v>38</v>
      </c>
      <c r="N25" s="1" t="s">
        <v>75</v>
      </c>
      <c r="O25" s="1" t="s">
        <v>69</v>
      </c>
      <c r="P25" s="1" t="s">
        <v>69</v>
      </c>
      <c r="Q25" s="3">
        <v>45713.42152777778</v>
      </c>
      <c r="R25" s="1" t="s">
        <v>1094</v>
      </c>
      <c r="S25" s="1" t="s">
        <v>1095</v>
      </c>
    </row>
    <row r="26" ht="69.0" customHeight="1">
      <c r="A26" s="1">
        <v>3.2788615559437E13</v>
      </c>
      <c r="B26" s="2" t="s">
        <v>1097</v>
      </c>
      <c r="C26" s="1" t="s">
        <v>964</v>
      </c>
      <c r="D26" s="1" t="s">
        <v>47</v>
      </c>
      <c r="E26" s="1" t="b">
        <v>0</v>
      </c>
      <c r="F26" s="1" t="s">
        <v>956</v>
      </c>
      <c r="G26" s="1" t="str">
        <f t="array" ref="G26">XLOOKUP(A:A,'CategoriasSeções'!A:A,'CategoriasSeções'!B:B)</f>
        <v>Comunicados</v>
      </c>
      <c r="H26" s="1" t="s">
        <v>957</v>
      </c>
      <c r="I26" s="12">
        <v>45643.58263888889</v>
      </c>
      <c r="J26" s="12">
        <v>45643.583333333336</v>
      </c>
      <c r="K26" s="1" t="s">
        <v>1098</v>
      </c>
      <c r="L26" s="1" t="s">
        <v>1098</v>
      </c>
      <c r="M26" s="1" t="s">
        <v>38</v>
      </c>
      <c r="N26" s="1" t="s">
        <v>75</v>
      </c>
      <c r="O26" s="1" t="s">
        <v>69</v>
      </c>
      <c r="P26" s="1" t="s">
        <v>69</v>
      </c>
      <c r="Q26" s="12">
        <v>45643.583333333336</v>
      </c>
      <c r="R26" s="1" t="s">
        <v>55</v>
      </c>
      <c r="S26" s="1" t="s">
        <v>1100</v>
      </c>
    </row>
    <row r="27" ht="69.0" customHeight="1">
      <c r="A27" s="1">
        <v>3.2765029645453E13</v>
      </c>
      <c r="B27" s="2" t="s">
        <v>1102</v>
      </c>
      <c r="C27" s="1" t="s">
        <v>955</v>
      </c>
      <c r="D27" s="1" t="s">
        <v>34</v>
      </c>
      <c r="E27" s="1" t="b">
        <v>0</v>
      </c>
      <c r="F27" s="1" t="s">
        <v>956</v>
      </c>
      <c r="G27" s="1" t="str">
        <f t="array" ref="G27">XLOOKUP(A:A,'CategoriasSeções'!A:A,'CategoriasSeções'!B:B)</f>
        <v>Comunicados</v>
      </c>
      <c r="H27" s="1" t="s">
        <v>957</v>
      </c>
      <c r="I27" s="12">
        <v>45642.83472222222</v>
      </c>
      <c r="J27" s="12">
        <v>45642.83472222222</v>
      </c>
      <c r="K27" s="1" t="s">
        <v>1103</v>
      </c>
      <c r="L27" s="1" t="s">
        <v>1103</v>
      </c>
      <c r="M27" s="1" t="s">
        <v>38</v>
      </c>
      <c r="N27" s="1" t="s">
        <v>75</v>
      </c>
      <c r="O27" s="1" t="s">
        <v>69</v>
      </c>
      <c r="P27" s="1" t="s">
        <v>69</v>
      </c>
      <c r="Q27" s="12">
        <v>45642.83472222222</v>
      </c>
      <c r="R27" s="1" t="s">
        <v>1105</v>
      </c>
      <c r="S27" s="1" t="s">
        <v>1106</v>
      </c>
    </row>
    <row r="28" ht="69.0" customHeight="1">
      <c r="A28" s="1">
        <v>3.2750085420813E13</v>
      </c>
      <c r="B28" s="2" t="s">
        <v>1108</v>
      </c>
      <c r="C28" s="1" t="s">
        <v>955</v>
      </c>
      <c r="D28" s="1" t="s">
        <v>34</v>
      </c>
      <c r="E28" s="1" t="b">
        <v>0</v>
      </c>
      <c r="F28" s="1" t="s">
        <v>956</v>
      </c>
      <c r="G28" s="1" t="str">
        <f t="array" ref="G28">XLOOKUP(A:A,'CategoriasSeções'!A:A,'CategoriasSeções'!B:B)</f>
        <v>Comunicados</v>
      </c>
      <c r="H28" s="1" t="s">
        <v>957</v>
      </c>
      <c r="I28" s="12">
        <v>45642.584027777775</v>
      </c>
      <c r="J28" s="12">
        <v>45642.584027777775</v>
      </c>
      <c r="K28" s="1" t="s">
        <v>1109</v>
      </c>
      <c r="L28" s="1" t="s">
        <v>1109</v>
      </c>
      <c r="M28" s="1" t="s">
        <v>38</v>
      </c>
      <c r="N28" s="1" t="s">
        <v>75</v>
      </c>
      <c r="O28" s="1" t="s">
        <v>69</v>
      </c>
      <c r="P28" s="1" t="s">
        <v>69</v>
      </c>
      <c r="Q28" s="12">
        <v>45642.584027777775</v>
      </c>
      <c r="R28" s="1" t="s">
        <v>1110</v>
      </c>
      <c r="S28" s="1" t="s">
        <v>1111</v>
      </c>
    </row>
    <row r="29" ht="69.0" customHeight="1">
      <c r="A29" s="1">
        <v>3.2382131940749E13</v>
      </c>
      <c r="B29" s="2" t="s">
        <v>1113</v>
      </c>
      <c r="C29" s="1" t="s">
        <v>955</v>
      </c>
      <c r="D29" s="1" t="s">
        <v>34</v>
      </c>
      <c r="E29" s="1" t="b">
        <v>0</v>
      </c>
      <c r="F29" s="1" t="s">
        <v>956</v>
      </c>
      <c r="G29" s="1" t="str">
        <f t="array" ref="G29">XLOOKUP(A:A,'CategoriasSeções'!A:A,'CategoriasSeções'!B:B)</f>
        <v>Comunicados</v>
      </c>
      <c r="H29" s="1" t="s">
        <v>981</v>
      </c>
      <c r="I29" s="3">
        <v>45629.61319444444</v>
      </c>
      <c r="J29" s="3">
        <v>45629.61319444444</v>
      </c>
      <c r="K29" s="1" t="s">
        <v>1114</v>
      </c>
      <c r="L29" s="1" t="s">
        <v>1114</v>
      </c>
      <c r="M29" s="1" t="s">
        <v>38</v>
      </c>
      <c r="N29" s="1" t="s">
        <v>75</v>
      </c>
      <c r="O29" s="1" t="s">
        <v>69</v>
      </c>
      <c r="P29" s="1" t="s">
        <v>69</v>
      </c>
      <c r="Q29" s="3">
        <v>45629.61319444444</v>
      </c>
      <c r="R29" s="1" t="s">
        <v>1116</v>
      </c>
      <c r="S29" s="1" t="s">
        <v>1117</v>
      </c>
    </row>
    <row r="30" ht="69.0" customHeight="1">
      <c r="A30" s="1">
        <v>3.2342362768781E13</v>
      </c>
      <c r="B30" s="2" t="s">
        <v>1119</v>
      </c>
      <c r="C30" s="1" t="s">
        <v>964</v>
      </c>
      <c r="D30" s="1" t="s">
        <v>34</v>
      </c>
      <c r="E30" s="1" t="b">
        <v>0</v>
      </c>
      <c r="F30" s="1" t="s">
        <v>956</v>
      </c>
      <c r="G30" s="1" t="str">
        <f t="array" ref="G30">XLOOKUP(A:A,'CategoriasSeções'!A:A,'CategoriasSeções'!B:B)</f>
        <v>Comunicados</v>
      </c>
      <c r="H30" s="1" t="s">
        <v>957</v>
      </c>
      <c r="I30" s="3">
        <v>45628.59722222222</v>
      </c>
      <c r="J30" s="3">
        <v>45628.59722222222</v>
      </c>
      <c r="K30" s="1" t="s">
        <v>1120</v>
      </c>
      <c r="L30" s="1" t="s">
        <v>1120</v>
      </c>
      <c r="M30" s="1" t="s">
        <v>38</v>
      </c>
      <c r="N30" s="1" t="s">
        <v>75</v>
      </c>
      <c r="O30" s="1" t="s">
        <v>69</v>
      </c>
      <c r="P30" s="1" t="s">
        <v>69</v>
      </c>
      <c r="Q30" s="3">
        <v>45628.59722222222</v>
      </c>
      <c r="R30" s="1" t="s">
        <v>1122</v>
      </c>
      <c r="S30" s="1" t="s">
        <v>1123</v>
      </c>
    </row>
    <row r="31" ht="69.0" customHeight="1">
      <c r="A31" s="1">
        <v>3.1894433750669E13</v>
      </c>
      <c r="B31" s="2" t="s">
        <v>1125</v>
      </c>
      <c r="C31" s="1" t="s">
        <v>964</v>
      </c>
      <c r="D31" s="1" t="s">
        <v>34</v>
      </c>
      <c r="E31" s="1" t="b">
        <v>0</v>
      </c>
      <c r="F31" s="1" t="s">
        <v>956</v>
      </c>
      <c r="G31" s="1" t="str">
        <f t="array" ref="G31">XLOOKUP(A:A,'CategoriasSeções'!A:A,'CategoriasSeções'!B:B)</f>
        <v>Comunicados</v>
      </c>
      <c r="H31" s="1" t="s">
        <v>981</v>
      </c>
      <c r="I31" s="12">
        <v>45610.86666666667</v>
      </c>
      <c r="J31" s="12">
        <v>45610.86736111111</v>
      </c>
      <c r="K31" s="1" t="s">
        <v>1126</v>
      </c>
      <c r="L31" s="1" t="s">
        <v>1126</v>
      </c>
      <c r="M31" s="1" t="s">
        <v>38</v>
      </c>
      <c r="N31" s="1" t="s">
        <v>75</v>
      </c>
      <c r="O31" s="1" t="s">
        <v>69</v>
      </c>
      <c r="P31" s="1" t="s">
        <v>69</v>
      </c>
      <c r="Q31" s="12">
        <v>45610.86736111111</v>
      </c>
      <c r="R31" s="1" t="s">
        <v>1128</v>
      </c>
      <c r="S31" s="1" t="s">
        <v>1129</v>
      </c>
    </row>
    <row r="32" ht="69.0" customHeight="1">
      <c r="A32" s="1">
        <v>3.1784146316813E13</v>
      </c>
      <c r="B32" s="2" t="s">
        <v>1131</v>
      </c>
      <c r="C32" s="1" t="s">
        <v>955</v>
      </c>
      <c r="D32" s="1" t="s">
        <v>34</v>
      </c>
      <c r="E32" s="1" t="b">
        <v>0</v>
      </c>
      <c r="F32" s="1" t="s">
        <v>956</v>
      </c>
      <c r="G32" s="1" t="str">
        <f t="array" ref="G32">XLOOKUP(A:A,'CategoriasSeções'!A:A,'CategoriasSeções'!B:B)</f>
        <v>Comunicados</v>
      </c>
      <c r="H32" s="1" t="s">
        <v>957</v>
      </c>
      <c r="I32" s="12">
        <v>45607.677777777775</v>
      </c>
      <c r="J32" s="12">
        <v>45607.677777777775</v>
      </c>
      <c r="K32" s="1" t="s">
        <v>1132</v>
      </c>
      <c r="L32" s="1" t="s">
        <v>1132</v>
      </c>
      <c r="M32" s="1" t="s">
        <v>38</v>
      </c>
      <c r="N32" s="1" t="s">
        <v>75</v>
      </c>
      <c r="O32" s="1" t="s">
        <v>69</v>
      </c>
      <c r="P32" s="1" t="s">
        <v>69</v>
      </c>
      <c r="Q32" s="12">
        <v>45607.677777777775</v>
      </c>
      <c r="R32" s="1" t="s">
        <v>1133</v>
      </c>
      <c r="S32" s="1" t="s">
        <v>1134</v>
      </c>
    </row>
    <row r="33" ht="69.0" customHeight="1">
      <c r="A33" s="1">
        <v>3.1598015164813E13</v>
      </c>
      <c r="B33" s="2" t="s">
        <v>1136</v>
      </c>
      <c r="C33" s="1" t="s">
        <v>955</v>
      </c>
      <c r="D33" s="1" t="s">
        <v>34</v>
      </c>
      <c r="E33" s="1" t="b">
        <v>0</v>
      </c>
      <c r="F33" s="1" t="s">
        <v>956</v>
      </c>
      <c r="G33" s="1" t="str">
        <f t="array" ref="G33">XLOOKUP(A:A,'CategoriasSeções'!A:A,'CategoriasSeções'!B:B)</f>
        <v>Comunicados</v>
      </c>
      <c r="H33" s="1" t="s">
        <v>957</v>
      </c>
      <c r="I33" s="3">
        <v>45600.67847222222</v>
      </c>
      <c r="J33" s="3">
        <v>45600.67847222222</v>
      </c>
      <c r="K33" s="1" t="s">
        <v>1137</v>
      </c>
      <c r="L33" s="1" t="s">
        <v>1137</v>
      </c>
      <c r="M33" s="1" t="s">
        <v>38</v>
      </c>
      <c r="N33" s="1" t="s">
        <v>75</v>
      </c>
      <c r="O33" s="1" t="s">
        <v>69</v>
      </c>
      <c r="P33" s="1" t="s">
        <v>69</v>
      </c>
      <c r="Q33" s="3">
        <v>45600.67847222222</v>
      </c>
      <c r="R33" s="1" t="s">
        <v>55</v>
      </c>
      <c r="S33" s="1" t="s">
        <v>1138</v>
      </c>
    </row>
    <row r="34" ht="69.0" customHeight="1">
      <c r="A34" s="1">
        <v>3.1482849083917E13</v>
      </c>
      <c r="B34" s="2" t="s">
        <v>1140</v>
      </c>
      <c r="C34" s="1" t="s">
        <v>964</v>
      </c>
      <c r="D34" s="1" t="s">
        <v>34</v>
      </c>
      <c r="E34" s="1" t="b">
        <v>0</v>
      </c>
      <c r="F34" s="1" t="s">
        <v>956</v>
      </c>
      <c r="G34" s="1" t="str">
        <f t="array" ref="G34">XLOOKUP(A:A,'CategoriasSeções'!A:A,'CategoriasSeções'!B:B)</f>
        <v>Comunicados</v>
      </c>
      <c r="H34" s="1" t="s">
        <v>981</v>
      </c>
      <c r="I34" s="12">
        <v>45595.694444444445</v>
      </c>
      <c r="J34" s="12">
        <v>45595.694444444445</v>
      </c>
      <c r="K34" s="1" t="s">
        <v>1141</v>
      </c>
      <c r="L34" s="1" t="s">
        <v>1141</v>
      </c>
      <c r="M34" s="1" t="s">
        <v>38</v>
      </c>
      <c r="N34" s="1" t="s">
        <v>75</v>
      </c>
      <c r="O34" s="1" t="s">
        <v>69</v>
      </c>
      <c r="P34" s="1" t="s">
        <v>69</v>
      </c>
      <c r="Q34" s="12">
        <v>45595.694444444445</v>
      </c>
      <c r="R34" s="1" t="s">
        <v>1143</v>
      </c>
      <c r="S34" s="1" t="s">
        <v>1144</v>
      </c>
    </row>
    <row r="35" ht="69.0" customHeight="1">
      <c r="A35" s="1">
        <v>3.1055242863629E13</v>
      </c>
      <c r="B35" s="2" t="s">
        <v>1146</v>
      </c>
      <c r="C35" s="1" t="s">
        <v>964</v>
      </c>
      <c r="D35" s="1" t="s">
        <v>34</v>
      </c>
      <c r="E35" s="1" t="b">
        <v>0</v>
      </c>
      <c r="F35" s="1" t="s">
        <v>956</v>
      </c>
      <c r="G35" s="1" t="str">
        <f t="array" ref="G35">XLOOKUP(A:A,'CategoriasSeções'!A:A,'CategoriasSeções'!B:B)</f>
        <v>Canais de Atendimento ao Cliente</v>
      </c>
      <c r="H35" s="1" t="s">
        <v>1147</v>
      </c>
      <c r="I35" s="12">
        <v>45579.870833333334</v>
      </c>
      <c r="J35" s="12">
        <v>45579.870833333334</v>
      </c>
      <c r="K35" s="1" t="s">
        <v>1148</v>
      </c>
      <c r="L35" s="1" t="s">
        <v>1148</v>
      </c>
      <c r="M35" s="1" t="s">
        <v>38</v>
      </c>
      <c r="N35" s="1" t="s">
        <v>75</v>
      </c>
      <c r="O35" s="1" t="s">
        <v>69</v>
      </c>
      <c r="P35" s="1" t="s">
        <v>69</v>
      </c>
      <c r="Q35" s="12">
        <v>45579.870833333334</v>
      </c>
      <c r="R35" s="1" t="s">
        <v>1150</v>
      </c>
      <c r="S35" s="1" t="s">
        <v>1151</v>
      </c>
    </row>
    <row r="36" ht="69.0" customHeight="1">
      <c r="A36" s="1">
        <v>3.0762383780749E13</v>
      </c>
      <c r="B36" s="2" t="s">
        <v>1153</v>
      </c>
      <c r="C36" s="1" t="s">
        <v>964</v>
      </c>
      <c r="D36" s="1" t="s">
        <v>34</v>
      </c>
      <c r="E36" s="1" t="b">
        <v>0</v>
      </c>
      <c r="F36" s="1" t="s">
        <v>956</v>
      </c>
      <c r="G36" s="1" t="str">
        <f t="array" ref="G36">XLOOKUP(A:A,'CategoriasSeções'!A:A,'CategoriasSeções'!B:B)</f>
        <v>Comunicados</v>
      </c>
      <c r="H36" s="1" t="s">
        <v>957</v>
      </c>
      <c r="I36" s="3">
        <v>45568.51180555556</v>
      </c>
      <c r="J36" s="3">
        <v>45568.51180555556</v>
      </c>
      <c r="K36" s="1" t="s">
        <v>1154</v>
      </c>
      <c r="L36" s="1" t="s">
        <v>1154</v>
      </c>
      <c r="M36" s="1" t="s">
        <v>38</v>
      </c>
      <c r="N36" s="1" t="s">
        <v>75</v>
      </c>
      <c r="O36" s="1" t="s">
        <v>69</v>
      </c>
      <c r="P36" s="1" t="s">
        <v>69</v>
      </c>
      <c r="Q36" s="3">
        <v>45568.51180555556</v>
      </c>
      <c r="R36" s="1" t="s">
        <v>1156</v>
      </c>
      <c r="S36" s="1" t="s">
        <v>1157</v>
      </c>
    </row>
    <row r="37" ht="69.0" customHeight="1">
      <c r="A37" s="1">
        <v>3.0761980899213E13</v>
      </c>
      <c r="B37" s="2" t="s">
        <v>1159</v>
      </c>
      <c r="C37" s="1" t="s">
        <v>964</v>
      </c>
      <c r="D37" s="1" t="s">
        <v>34</v>
      </c>
      <c r="E37" s="1" t="b">
        <v>0</v>
      </c>
      <c r="F37" s="1" t="s">
        <v>956</v>
      </c>
      <c r="G37" s="1" t="str">
        <f t="array" ref="G37">XLOOKUP(A:A,'CategoriasSeções'!A:A,'CategoriasSeções'!B:B)</f>
        <v>Comunicados</v>
      </c>
      <c r="H37" s="1" t="s">
        <v>981</v>
      </c>
      <c r="I37" s="3">
        <v>45568.50069444445</v>
      </c>
      <c r="J37" s="3">
        <v>45568.50069444445</v>
      </c>
      <c r="K37" s="1" t="s">
        <v>1160</v>
      </c>
      <c r="L37" s="1" t="s">
        <v>1160</v>
      </c>
      <c r="M37" s="1" t="s">
        <v>38</v>
      </c>
      <c r="N37" s="1" t="s">
        <v>75</v>
      </c>
      <c r="O37" s="1" t="s">
        <v>69</v>
      </c>
      <c r="P37" s="1" t="s">
        <v>69</v>
      </c>
      <c r="Q37" s="3">
        <v>45568.50069444445</v>
      </c>
      <c r="R37" s="1" t="s">
        <v>1161</v>
      </c>
      <c r="S37" s="1" t="s">
        <v>1162</v>
      </c>
    </row>
    <row r="38" ht="69.0" customHeight="1">
      <c r="A38" s="1">
        <v>3.0354274293133E13</v>
      </c>
      <c r="B38" s="2" t="s">
        <v>1164</v>
      </c>
      <c r="C38" s="1" t="s">
        <v>964</v>
      </c>
      <c r="D38" s="1" t="s">
        <v>34</v>
      </c>
      <c r="E38" s="1" t="b">
        <v>0</v>
      </c>
      <c r="F38" s="1" t="s">
        <v>956</v>
      </c>
      <c r="G38" s="1" t="str">
        <f t="array" ref="G38">XLOOKUP(A:A,'CategoriasSeções'!A:A,'CategoriasSeções'!B:B)</f>
        <v>Comunicados</v>
      </c>
      <c r="H38" s="1" t="s">
        <v>957</v>
      </c>
      <c r="I38" s="3">
        <v>45553.52638888889</v>
      </c>
      <c r="J38" s="3">
        <v>45553.52638888889</v>
      </c>
      <c r="K38" s="1" t="s">
        <v>1165</v>
      </c>
      <c r="L38" s="1" t="s">
        <v>1165</v>
      </c>
      <c r="M38" s="1" t="s">
        <v>38</v>
      </c>
      <c r="N38" s="1" t="s">
        <v>75</v>
      </c>
      <c r="O38" s="1" t="s">
        <v>69</v>
      </c>
      <c r="P38" s="1" t="s">
        <v>69</v>
      </c>
      <c r="Q38" s="3">
        <v>45553.52638888889</v>
      </c>
      <c r="R38" s="1" t="s">
        <v>1167</v>
      </c>
      <c r="S38" s="1" t="s">
        <v>1168</v>
      </c>
    </row>
    <row r="39" ht="69.0" customHeight="1">
      <c r="A39" s="1">
        <v>2.9674349356173E13</v>
      </c>
      <c r="B39" s="2" t="s">
        <v>1170</v>
      </c>
      <c r="C39" s="1" t="s">
        <v>964</v>
      </c>
      <c r="D39" s="1" t="s">
        <v>34</v>
      </c>
      <c r="E39" s="1" t="b">
        <v>0</v>
      </c>
      <c r="F39" s="1" t="s">
        <v>956</v>
      </c>
      <c r="G39" s="1" t="str">
        <f t="array" ref="G39">XLOOKUP(A:A,'CategoriasSeções'!A:A,'CategoriasSeções'!B:B)</f>
        <v>Comunicados</v>
      </c>
      <c r="H39" s="1" t="s">
        <v>981</v>
      </c>
      <c r="I39" s="3">
        <v>45531.55694444444</v>
      </c>
      <c r="J39" s="3">
        <v>45531.558333333334</v>
      </c>
      <c r="K39" s="1" t="s">
        <v>1171</v>
      </c>
      <c r="L39" s="1" t="s">
        <v>1171</v>
      </c>
      <c r="M39" s="1" t="s">
        <v>38</v>
      </c>
      <c r="N39" s="1" t="s">
        <v>75</v>
      </c>
      <c r="O39" s="1" t="s">
        <v>69</v>
      </c>
      <c r="P39" s="1" t="s">
        <v>69</v>
      </c>
      <c r="Q39" s="3">
        <v>45531.55694444444</v>
      </c>
      <c r="R39" s="1" t="s">
        <v>1172</v>
      </c>
      <c r="S39" s="1" t="s">
        <v>1173</v>
      </c>
    </row>
    <row r="40" ht="69.0" customHeight="1">
      <c r="A40" s="1">
        <v>2.8301456374797E13</v>
      </c>
      <c r="B40" s="2" t="s">
        <v>1175</v>
      </c>
      <c r="C40" s="1" t="s">
        <v>964</v>
      </c>
      <c r="D40" s="1" t="s">
        <v>34</v>
      </c>
      <c r="E40" s="1" t="b">
        <v>0</v>
      </c>
      <c r="F40" s="1" t="s">
        <v>956</v>
      </c>
      <c r="G40" s="1" t="str">
        <f t="array" ref="G40">XLOOKUP(A:A,'CategoriasSeções'!A:A,'CategoriasSeções'!B:B)</f>
        <v>Comunicados</v>
      </c>
      <c r="H40" s="1" t="s">
        <v>957</v>
      </c>
      <c r="I40" s="3">
        <v>45483.72361111111</v>
      </c>
      <c r="J40" s="3">
        <v>45483.72361111111</v>
      </c>
      <c r="K40" s="1" t="s">
        <v>1176</v>
      </c>
      <c r="L40" s="1" t="s">
        <v>1176</v>
      </c>
      <c r="M40" s="1" t="s">
        <v>38</v>
      </c>
      <c r="N40" s="1" t="s">
        <v>75</v>
      </c>
      <c r="O40" s="1" t="s">
        <v>69</v>
      </c>
      <c r="P40" s="1" t="s">
        <v>69</v>
      </c>
      <c r="Q40" s="3">
        <v>45483.72361111111</v>
      </c>
      <c r="R40" s="1" t="s">
        <v>1177</v>
      </c>
      <c r="S40" s="1" t="s">
        <v>1178</v>
      </c>
    </row>
    <row r="41" ht="69.0" customHeight="1">
      <c r="A41" s="1">
        <v>2.7323227298957E13</v>
      </c>
      <c r="B41" s="2" t="s">
        <v>1180</v>
      </c>
      <c r="C41" s="1" t="s">
        <v>964</v>
      </c>
      <c r="D41" s="1" t="s">
        <v>34</v>
      </c>
      <c r="E41" s="1" t="b">
        <v>0</v>
      </c>
      <c r="F41" s="1" t="s">
        <v>956</v>
      </c>
      <c r="G41" s="1" t="str">
        <f t="array" ref="G41">XLOOKUP(A:A,'CategoriasSeções'!A:A,'CategoriasSeções'!B:B)</f>
        <v>Comunicados</v>
      </c>
      <c r="H41" s="1" t="s">
        <v>957</v>
      </c>
      <c r="I41" s="3">
        <v>45448.73333333333</v>
      </c>
      <c r="J41" s="3">
        <v>45448.73402777778</v>
      </c>
      <c r="K41" s="1" t="s">
        <v>1181</v>
      </c>
      <c r="L41" s="1" t="s">
        <v>1181</v>
      </c>
      <c r="M41" s="1" t="s">
        <v>38</v>
      </c>
      <c r="N41" s="1" t="s">
        <v>75</v>
      </c>
      <c r="O41" s="1" t="s">
        <v>69</v>
      </c>
      <c r="P41" s="1" t="s">
        <v>69</v>
      </c>
      <c r="Q41" s="3">
        <v>45448.73402777778</v>
      </c>
      <c r="R41" s="1" t="s">
        <v>1183</v>
      </c>
      <c r="S41" s="1" t="s">
        <v>1184</v>
      </c>
    </row>
    <row r="42" ht="69.0" customHeight="1">
      <c r="A42" s="1">
        <v>2.7127276969741E13</v>
      </c>
      <c r="B42" s="2" t="s">
        <v>1186</v>
      </c>
      <c r="C42" s="1" t="s">
        <v>964</v>
      </c>
      <c r="D42" s="1" t="s">
        <v>34</v>
      </c>
      <c r="E42" s="1" t="b">
        <v>0</v>
      </c>
      <c r="F42" s="1" t="s">
        <v>956</v>
      </c>
      <c r="G42" s="1" t="str">
        <f t="array" ref="G42">XLOOKUP(A:A,'CategoriasSeções'!A:A,'CategoriasSeções'!B:B)</f>
        <v>Comunicados</v>
      </c>
      <c r="H42" s="1" t="s">
        <v>957</v>
      </c>
      <c r="I42" s="3">
        <v>45441.509722222225</v>
      </c>
      <c r="J42" s="3">
        <v>45441.510416666664</v>
      </c>
      <c r="K42" s="1" t="s">
        <v>1187</v>
      </c>
      <c r="L42" s="1" t="s">
        <v>1187</v>
      </c>
      <c r="M42" s="1" t="s">
        <v>38</v>
      </c>
      <c r="N42" s="1" t="s">
        <v>75</v>
      </c>
      <c r="O42" s="1" t="s">
        <v>69</v>
      </c>
      <c r="P42" s="1" t="s">
        <v>69</v>
      </c>
      <c r="Q42" s="3">
        <v>45441.510416666664</v>
      </c>
      <c r="R42" s="1" t="s">
        <v>1189</v>
      </c>
      <c r="S42" s="1" t="s">
        <v>1190</v>
      </c>
    </row>
    <row r="43" ht="69.0" customHeight="1">
      <c r="A43" s="1">
        <v>2.7004238909453E13</v>
      </c>
      <c r="B43" s="2" t="s">
        <v>1192</v>
      </c>
      <c r="C43" s="1" t="s">
        <v>964</v>
      </c>
      <c r="D43" s="1" t="s">
        <v>34</v>
      </c>
      <c r="E43" s="1" t="b">
        <v>0</v>
      </c>
      <c r="F43" s="1" t="s">
        <v>956</v>
      </c>
      <c r="G43" s="1" t="str">
        <f t="array" ref="G43">XLOOKUP(A:A,'CategoriasSeções'!A:A,'CategoriasSeções'!B:B)</f>
        <v>EXPORTAÇÃO - CABOTAGEM</v>
      </c>
      <c r="H43" s="1" t="s">
        <v>1062</v>
      </c>
      <c r="I43" s="3">
        <v>45436.538194444445</v>
      </c>
      <c r="J43" s="3">
        <v>45526.57638888889</v>
      </c>
      <c r="K43" s="1" t="s">
        <v>1193</v>
      </c>
      <c r="L43" s="1" t="s">
        <v>1193</v>
      </c>
      <c r="M43" s="1" t="s">
        <v>38</v>
      </c>
      <c r="N43" s="1" t="s">
        <v>75</v>
      </c>
      <c r="O43" s="1" t="s">
        <v>69</v>
      </c>
      <c r="P43" s="1" t="s">
        <v>69</v>
      </c>
      <c r="Q43" s="3">
        <v>45441.49513888889</v>
      </c>
      <c r="R43" s="1" t="s">
        <v>55</v>
      </c>
      <c r="S43" s="1" t="s">
        <v>1194</v>
      </c>
    </row>
    <row r="44" ht="69.0" customHeight="1">
      <c r="A44" s="1">
        <v>2.6983378201357E13</v>
      </c>
      <c r="B44" s="2" t="s">
        <v>1196</v>
      </c>
      <c r="C44" s="1" t="s">
        <v>964</v>
      </c>
      <c r="D44" s="1" t="s">
        <v>34</v>
      </c>
      <c r="E44" s="1" t="b">
        <v>0</v>
      </c>
      <c r="F44" s="1" t="s">
        <v>956</v>
      </c>
      <c r="G44" s="1" t="str">
        <f t="array" ref="G44">XLOOKUP(A:A,'CategoriasSeções'!A:A,'CategoriasSeções'!B:B)</f>
        <v>Comunicados</v>
      </c>
      <c r="H44" s="1" t="s">
        <v>957</v>
      </c>
      <c r="I44" s="3">
        <v>45435.72152777778</v>
      </c>
      <c r="J44" s="3">
        <v>45435.72152777778</v>
      </c>
      <c r="K44" s="1" t="s">
        <v>1197</v>
      </c>
      <c r="L44" s="1" t="s">
        <v>1197</v>
      </c>
      <c r="M44" s="1" t="s">
        <v>38</v>
      </c>
      <c r="N44" s="1" t="s">
        <v>75</v>
      </c>
      <c r="O44" s="1" t="s">
        <v>69</v>
      </c>
      <c r="P44" s="1" t="s">
        <v>69</v>
      </c>
      <c r="Q44" s="3">
        <v>45435.72152777778</v>
      </c>
      <c r="R44" s="1" t="s">
        <v>1199</v>
      </c>
      <c r="S44" s="1" t="s">
        <v>1200</v>
      </c>
    </row>
    <row r="45" ht="69.0" customHeight="1">
      <c r="A45" s="1">
        <v>2.6227407016205E13</v>
      </c>
      <c r="B45" s="2" t="s">
        <v>1202</v>
      </c>
      <c r="C45" s="1" t="s">
        <v>964</v>
      </c>
      <c r="D45" s="1" t="s">
        <v>34</v>
      </c>
      <c r="E45" s="1" t="b">
        <v>0</v>
      </c>
      <c r="F45" s="1" t="s">
        <v>956</v>
      </c>
      <c r="G45" s="1" t="str">
        <f t="array" ref="G45">XLOOKUP(A:A,'CategoriasSeções'!A:A,'CategoriasSeções'!B:B)</f>
        <v>Comunicados</v>
      </c>
      <c r="H45" s="1" t="s">
        <v>981</v>
      </c>
      <c r="I45" s="3">
        <v>45408.50625</v>
      </c>
      <c r="J45" s="3">
        <v>45408.50625</v>
      </c>
      <c r="K45" s="1" t="s">
        <v>1203</v>
      </c>
      <c r="L45" s="1" t="s">
        <v>1203</v>
      </c>
      <c r="M45" s="1" t="s">
        <v>38</v>
      </c>
      <c r="N45" s="1" t="s">
        <v>75</v>
      </c>
      <c r="O45" s="1" t="s">
        <v>69</v>
      </c>
      <c r="P45" s="1" t="s">
        <v>69</v>
      </c>
      <c r="Q45" s="3">
        <v>45408.50625</v>
      </c>
      <c r="R45" s="1" t="s">
        <v>1205</v>
      </c>
      <c r="S45" s="1" t="s">
        <v>1206</v>
      </c>
    </row>
    <row r="46" ht="69.0" customHeight="1">
      <c r="A46" s="1">
        <v>2.5137822806925E13</v>
      </c>
      <c r="B46" s="2" t="s">
        <v>1208</v>
      </c>
      <c r="C46" s="1" t="s">
        <v>964</v>
      </c>
      <c r="D46" s="1" t="s">
        <v>34</v>
      </c>
      <c r="E46" s="1" t="b">
        <v>0</v>
      </c>
      <c r="F46" s="1" t="s">
        <v>956</v>
      </c>
      <c r="G46" s="1" t="str">
        <f t="array" ref="G46">XLOOKUP(A:A,'CategoriasSeções'!A:A,'CategoriasSeções'!B:B)</f>
        <v>Comunicados</v>
      </c>
      <c r="H46" s="1" t="s">
        <v>981</v>
      </c>
      <c r="I46" s="3">
        <v>45370.59930555556</v>
      </c>
      <c r="J46" s="3">
        <v>45370.77013888889</v>
      </c>
      <c r="K46" s="1" t="s">
        <v>1209</v>
      </c>
      <c r="L46" s="1" t="s">
        <v>1209</v>
      </c>
      <c r="M46" s="1" t="s">
        <v>38</v>
      </c>
      <c r="N46" s="1" t="s">
        <v>75</v>
      </c>
      <c r="O46" s="1" t="s">
        <v>69</v>
      </c>
      <c r="P46" s="1" t="s">
        <v>69</v>
      </c>
      <c r="Q46" s="3">
        <v>45370.77013888889</v>
      </c>
      <c r="R46" s="1" t="s">
        <v>1211</v>
      </c>
      <c r="S46" s="1" t="s">
        <v>1212</v>
      </c>
    </row>
    <row r="47" ht="69.0" customHeight="1">
      <c r="A47" s="1">
        <v>2.4152041145101E13</v>
      </c>
      <c r="B47" s="2" t="s">
        <v>1214</v>
      </c>
      <c r="C47" s="1" t="s">
        <v>955</v>
      </c>
      <c r="D47" s="1" t="s">
        <v>34</v>
      </c>
      <c r="E47" s="1" t="b">
        <v>0</v>
      </c>
      <c r="F47" s="1" t="s">
        <v>956</v>
      </c>
      <c r="G47" s="1" t="str">
        <f t="array" ref="G47">XLOOKUP(A:A,'CategoriasSeções'!A:A,'CategoriasSeções'!B:B)</f>
        <v>Comunicados</v>
      </c>
      <c r="H47" s="1" t="s">
        <v>957</v>
      </c>
      <c r="I47" s="3">
        <v>45337.768055555556</v>
      </c>
      <c r="J47" s="3">
        <v>45337.768055555556</v>
      </c>
      <c r="K47" s="1" t="s">
        <v>1215</v>
      </c>
      <c r="L47" s="1" t="s">
        <v>1215</v>
      </c>
      <c r="M47" s="1" t="s">
        <v>38</v>
      </c>
      <c r="N47" s="1" t="s">
        <v>75</v>
      </c>
      <c r="O47" s="1" t="s">
        <v>69</v>
      </c>
      <c r="P47" s="1" t="s">
        <v>69</v>
      </c>
      <c r="Q47" s="3">
        <v>45337.768055555556</v>
      </c>
      <c r="R47" s="1" t="s">
        <v>1217</v>
      </c>
      <c r="S47" s="1" t="s">
        <v>1218</v>
      </c>
    </row>
    <row r="48" ht="69.0" customHeight="1">
      <c r="A48" s="1">
        <v>2.4151933493517E13</v>
      </c>
      <c r="B48" s="2" t="s">
        <v>1220</v>
      </c>
      <c r="C48" s="1" t="s">
        <v>955</v>
      </c>
      <c r="D48" s="1" t="s">
        <v>34</v>
      </c>
      <c r="E48" s="1" t="b">
        <v>0</v>
      </c>
      <c r="F48" s="1" t="s">
        <v>956</v>
      </c>
      <c r="G48" s="1" t="str">
        <f t="array" ref="G48">XLOOKUP(A:A,'CategoriasSeções'!A:A,'CategoriasSeções'!B:B)</f>
        <v>Comunicados</v>
      </c>
      <c r="H48" s="1" t="s">
        <v>957</v>
      </c>
      <c r="I48" s="3">
        <v>45337.76527777778</v>
      </c>
      <c r="J48" s="3">
        <v>45337.76527777778</v>
      </c>
      <c r="K48" s="1" t="s">
        <v>1221</v>
      </c>
      <c r="L48" s="1" t="s">
        <v>1221</v>
      </c>
      <c r="M48" s="1" t="s">
        <v>38</v>
      </c>
      <c r="N48" s="1" t="s">
        <v>75</v>
      </c>
      <c r="O48" s="1" t="s">
        <v>69</v>
      </c>
      <c r="P48" s="1" t="s">
        <v>69</v>
      </c>
      <c r="Q48" s="3">
        <v>45337.76527777778</v>
      </c>
      <c r="R48" s="1" t="s">
        <v>1223</v>
      </c>
      <c r="S48" s="1" t="s">
        <v>1224</v>
      </c>
    </row>
    <row r="49" ht="69.0" customHeight="1">
      <c r="A49" s="1">
        <v>2.3611695756813E13</v>
      </c>
      <c r="B49" s="2" t="s">
        <v>1226</v>
      </c>
      <c r="C49" s="1" t="s">
        <v>964</v>
      </c>
      <c r="D49" s="1" t="s">
        <v>47</v>
      </c>
      <c r="E49" s="1" t="b">
        <v>0</v>
      </c>
      <c r="F49" s="1" t="s">
        <v>956</v>
      </c>
      <c r="G49" s="1" t="str">
        <f t="array" ref="G49">XLOOKUP(A:A,'CategoriasSeções'!A:A,'CategoriasSeções'!B:B)</f>
        <v>Comunicados</v>
      </c>
      <c r="H49" s="1" t="s">
        <v>957</v>
      </c>
      <c r="I49" s="3">
        <v>45320.52777777778</v>
      </c>
      <c r="J49" s="3">
        <v>45320.52777777778</v>
      </c>
      <c r="K49" s="1" t="s">
        <v>1227</v>
      </c>
      <c r="L49" s="1" t="s">
        <v>1227</v>
      </c>
      <c r="M49" s="1" t="s">
        <v>38</v>
      </c>
      <c r="N49" s="1" t="s">
        <v>75</v>
      </c>
      <c r="O49" s="1" t="s">
        <v>69</v>
      </c>
      <c r="P49" s="1" t="s">
        <v>69</v>
      </c>
      <c r="Q49" s="3">
        <v>45320.52777777778</v>
      </c>
      <c r="R49" s="1" t="s">
        <v>1229</v>
      </c>
      <c r="S49" s="1" t="s">
        <v>1230</v>
      </c>
    </row>
    <row r="50" ht="69.0" customHeight="1">
      <c r="A50" s="1">
        <v>2.3419183642381E13</v>
      </c>
      <c r="B50" s="2" t="s">
        <v>1232</v>
      </c>
      <c r="C50" s="1" t="s">
        <v>964</v>
      </c>
      <c r="D50" s="1" t="s">
        <v>34</v>
      </c>
      <c r="E50" s="1" t="b">
        <v>0</v>
      </c>
      <c r="F50" s="1" t="s">
        <v>956</v>
      </c>
      <c r="G50" s="1" t="str">
        <f t="array" ref="G50">XLOOKUP(A:A,'CategoriasSeções'!A:A,'CategoriasSeções'!B:B)</f>
        <v>Comunicados</v>
      </c>
      <c r="H50" s="1" t="s">
        <v>957</v>
      </c>
      <c r="I50" s="3">
        <v>45313.64375</v>
      </c>
      <c r="J50" s="3">
        <v>45313.64375</v>
      </c>
      <c r="K50" s="1" t="s">
        <v>1233</v>
      </c>
      <c r="L50" s="1" t="s">
        <v>1233</v>
      </c>
      <c r="M50" s="1" t="s">
        <v>38</v>
      </c>
      <c r="N50" s="1" t="s">
        <v>75</v>
      </c>
      <c r="O50" s="1" t="s">
        <v>69</v>
      </c>
      <c r="P50" s="1" t="s">
        <v>69</v>
      </c>
      <c r="Q50" s="3">
        <v>45313.64375</v>
      </c>
      <c r="R50" s="1" t="s">
        <v>1235</v>
      </c>
      <c r="S50" s="1" t="s">
        <v>1236</v>
      </c>
    </row>
    <row r="51" ht="69.0" customHeight="1">
      <c r="A51" s="1">
        <v>2.3064756986125E13</v>
      </c>
      <c r="B51" s="2" t="s">
        <v>1238</v>
      </c>
      <c r="C51" s="1" t="s">
        <v>964</v>
      </c>
      <c r="D51" s="1" t="s">
        <v>34</v>
      </c>
      <c r="E51" s="1" t="b">
        <v>0</v>
      </c>
      <c r="F51" s="1" t="s">
        <v>956</v>
      </c>
      <c r="G51" s="1" t="str">
        <f t="array" ref="G51">XLOOKUP(A:A,'CategoriasSeções'!A:A,'CategoriasSeções'!B:B)</f>
        <v>Comunicados</v>
      </c>
      <c r="H51" s="1" t="s">
        <v>957</v>
      </c>
      <c r="I51" s="3">
        <v>45300.86319444444</v>
      </c>
      <c r="J51" s="3">
        <v>45300.86319444444</v>
      </c>
      <c r="K51" s="1" t="s">
        <v>1239</v>
      </c>
      <c r="L51" s="1" t="s">
        <v>1239</v>
      </c>
      <c r="M51" s="1" t="s">
        <v>38</v>
      </c>
      <c r="N51" s="1" t="s">
        <v>75</v>
      </c>
      <c r="O51" s="1" t="s">
        <v>69</v>
      </c>
      <c r="P51" s="1" t="s">
        <v>69</v>
      </c>
      <c r="Q51" s="3">
        <v>45300.86319444444</v>
      </c>
      <c r="R51" s="1" t="s">
        <v>1241</v>
      </c>
      <c r="S51" s="1" t="s">
        <v>1242</v>
      </c>
    </row>
    <row r="52" ht="69.0" customHeight="1">
      <c r="A52" s="1">
        <v>2.2740942433421E13</v>
      </c>
      <c r="B52" s="2" t="s">
        <v>1244</v>
      </c>
      <c r="C52" s="1" t="s">
        <v>964</v>
      </c>
      <c r="D52" s="1" t="s">
        <v>34</v>
      </c>
      <c r="E52" s="1" t="b">
        <v>0</v>
      </c>
      <c r="F52" s="1" t="s">
        <v>956</v>
      </c>
      <c r="G52" s="1" t="str">
        <f t="array" ref="G52">XLOOKUP(A:A,'CategoriasSeções'!A:A,'CategoriasSeções'!B:B)</f>
        <v>Comunicados</v>
      </c>
      <c r="H52" s="1" t="s">
        <v>957</v>
      </c>
      <c r="I52" s="12">
        <v>45288.58819444444</v>
      </c>
      <c r="J52" s="3">
        <v>45435.72222222222</v>
      </c>
      <c r="K52" s="1" t="s">
        <v>1245</v>
      </c>
      <c r="L52" s="1" t="s">
        <v>1245</v>
      </c>
      <c r="M52" s="1" t="s">
        <v>38</v>
      </c>
      <c r="N52" s="1" t="s">
        <v>75</v>
      </c>
      <c r="O52" s="1" t="s">
        <v>69</v>
      </c>
      <c r="P52" s="1" t="s">
        <v>69</v>
      </c>
      <c r="Q52" s="12">
        <v>45288.58888888889</v>
      </c>
      <c r="R52" s="1" t="s">
        <v>1247</v>
      </c>
      <c r="S52" s="1" t="s">
        <v>1248</v>
      </c>
    </row>
    <row r="53" ht="69.0" customHeight="1">
      <c r="A53" s="1">
        <v>2.2450090828685E13</v>
      </c>
      <c r="B53" s="2" t="s">
        <v>1250</v>
      </c>
      <c r="C53" s="1" t="s">
        <v>964</v>
      </c>
      <c r="D53" s="1" t="s">
        <v>34</v>
      </c>
      <c r="E53" s="1" t="b">
        <v>0</v>
      </c>
      <c r="F53" s="1" t="s">
        <v>956</v>
      </c>
      <c r="G53" s="1" t="str">
        <f t="array" ref="G53">XLOOKUP(A:A,'CategoriasSeções'!A:A,'CategoriasSeções'!B:B)</f>
        <v>Agendamentos</v>
      </c>
      <c r="H53" s="1" t="s">
        <v>85</v>
      </c>
      <c r="I53" s="12">
        <v>45278.532638888886</v>
      </c>
      <c r="J53" s="3">
        <v>45526.55972222222</v>
      </c>
      <c r="K53" s="1" t="s">
        <v>1251</v>
      </c>
      <c r="L53" s="1" t="s">
        <v>1251</v>
      </c>
      <c r="M53" s="1" t="s">
        <v>38</v>
      </c>
      <c r="N53" s="1" t="s">
        <v>39</v>
      </c>
      <c r="O53" s="1" t="s">
        <v>69</v>
      </c>
      <c r="P53" s="1" t="s">
        <v>69</v>
      </c>
      <c r="Q53" s="3">
        <v>45420.555555555555</v>
      </c>
      <c r="R53" s="1" t="s">
        <v>1253</v>
      </c>
      <c r="S53" s="1" t="s">
        <v>1254</v>
      </c>
    </row>
    <row r="54" ht="69.0" customHeight="1">
      <c r="A54" s="1">
        <v>2.2306998271629E13</v>
      </c>
      <c r="B54" s="2" t="s">
        <v>1256</v>
      </c>
      <c r="C54" s="1" t="s">
        <v>964</v>
      </c>
      <c r="D54" s="1" t="s">
        <v>34</v>
      </c>
      <c r="E54" s="1" t="b">
        <v>0</v>
      </c>
      <c r="F54" s="1" t="s">
        <v>956</v>
      </c>
      <c r="G54" s="1" t="str">
        <f t="array" ref="G54">XLOOKUP(A:A,'CategoriasSeções'!A:A,'CategoriasSeções'!B:B)</f>
        <v>Comunicados</v>
      </c>
      <c r="H54" s="1" t="s">
        <v>957</v>
      </c>
      <c r="I54" s="12">
        <v>45273.53055555555</v>
      </c>
      <c r="J54" s="12">
        <v>45273.53055555555</v>
      </c>
      <c r="K54" s="1" t="s">
        <v>1257</v>
      </c>
      <c r="L54" s="1" t="s">
        <v>1257</v>
      </c>
      <c r="M54" s="1" t="s">
        <v>38</v>
      </c>
      <c r="N54" s="1" t="s">
        <v>75</v>
      </c>
      <c r="O54" s="1" t="s">
        <v>69</v>
      </c>
      <c r="P54" s="1" t="s">
        <v>69</v>
      </c>
      <c r="Q54" s="12">
        <v>45273.53055555555</v>
      </c>
      <c r="R54" s="1" t="s">
        <v>1259</v>
      </c>
      <c r="S54" s="1" t="s">
        <v>1260</v>
      </c>
    </row>
    <row r="55" ht="69.0" customHeight="1">
      <c r="A55" s="1">
        <v>2.2119140551821E13</v>
      </c>
      <c r="B55" s="2" t="s">
        <v>1262</v>
      </c>
      <c r="C55" s="1" t="s">
        <v>955</v>
      </c>
      <c r="D55" s="1" t="s">
        <v>34</v>
      </c>
      <c r="E55" s="1" t="b">
        <v>0</v>
      </c>
      <c r="F55" s="1" t="s">
        <v>956</v>
      </c>
      <c r="G55" s="1" t="str">
        <f t="array" ref="G55">XLOOKUP(A:A,'CategoriasSeções'!A:A,'CategoriasSeções'!B:B)</f>
        <v>Comunicados</v>
      </c>
      <c r="H55" s="1" t="s">
        <v>981</v>
      </c>
      <c r="I55" s="3">
        <v>45269.52361111111</v>
      </c>
      <c r="J55" s="3">
        <v>45269.524305555555</v>
      </c>
      <c r="K55" s="1" t="s">
        <v>1263</v>
      </c>
      <c r="L55" s="1" t="s">
        <v>1263</v>
      </c>
      <c r="M55" s="1" t="s">
        <v>38</v>
      </c>
      <c r="N55" s="1" t="s">
        <v>75</v>
      </c>
      <c r="O55" s="1" t="s">
        <v>69</v>
      </c>
      <c r="P55" s="1" t="s">
        <v>69</v>
      </c>
      <c r="Q55" s="3">
        <v>45269.524305555555</v>
      </c>
      <c r="R55" s="1" t="s">
        <v>1265</v>
      </c>
      <c r="S55" s="1" t="s">
        <v>1266</v>
      </c>
    </row>
    <row r="56" ht="69.0" customHeight="1">
      <c r="A56" s="1">
        <v>2.1970104444301E13</v>
      </c>
      <c r="B56" s="2" t="s">
        <v>1268</v>
      </c>
      <c r="C56" s="1" t="s">
        <v>964</v>
      </c>
      <c r="D56" s="1" t="s">
        <v>34</v>
      </c>
      <c r="E56" s="1" t="b">
        <v>0</v>
      </c>
      <c r="F56" s="1" t="s">
        <v>956</v>
      </c>
      <c r="G56" s="1" t="str">
        <f t="array" ref="G56">XLOOKUP(A:A,'CategoriasSeções'!A:A,'CategoriasSeções'!B:B)</f>
        <v>Comunicados</v>
      </c>
      <c r="H56" s="1" t="s">
        <v>957</v>
      </c>
      <c r="I56" s="3">
        <v>45265.728472222225</v>
      </c>
      <c r="J56" s="3">
        <v>45265.728472222225</v>
      </c>
      <c r="K56" s="1" t="s">
        <v>1269</v>
      </c>
      <c r="L56" s="1" t="s">
        <v>1269</v>
      </c>
      <c r="M56" s="1" t="s">
        <v>38</v>
      </c>
      <c r="N56" s="1" t="s">
        <v>75</v>
      </c>
      <c r="O56" s="1" t="s">
        <v>69</v>
      </c>
      <c r="P56" s="1" t="s">
        <v>69</v>
      </c>
      <c r="Q56" s="3">
        <v>45265.728472222225</v>
      </c>
      <c r="R56" s="1" t="s">
        <v>1271</v>
      </c>
      <c r="S56" s="1" t="s">
        <v>1272</v>
      </c>
    </row>
    <row r="57" ht="69.0" customHeight="1">
      <c r="A57" s="1">
        <v>2.1782606423309E13</v>
      </c>
      <c r="B57" s="2" t="s">
        <v>1274</v>
      </c>
      <c r="C57" s="1" t="s">
        <v>964</v>
      </c>
      <c r="D57" s="1" t="s">
        <v>34</v>
      </c>
      <c r="E57" s="1" t="b">
        <v>0</v>
      </c>
      <c r="F57" s="1" t="s">
        <v>956</v>
      </c>
      <c r="G57" s="1" t="str">
        <f t="array" ref="G57">XLOOKUP(A:A,'CategoriasSeções'!A:A,'CategoriasSeções'!B:B)</f>
        <v>Comunicados</v>
      </c>
      <c r="H57" s="1" t="s">
        <v>957</v>
      </c>
      <c r="I57" s="12">
        <v>45259.69305555556</v>
      </c>
      <c r="J57" s="12">
        <v>45259.69305555556</v>
      </c>
      <c r="K57" s="1" t="s">
        <v>1275</v>
      </c>
      <c r="L57" s="1" t="s">
        <v>1275</v>
      </c>
      <c r="M57" s="1" t="s">
        <v>38</v>
      </c>
      <c r="N57" s="1" t="s">
        <v>75</v>
      </c>
      <c r="O57" s="1" t="s">
        <v>69</v>
      </c>
      <c r="P57" s="1" t="s">
        <v>69</v>
      </c>
      <c r="Q57" s="12">
        <v>45259.69305555556</v>
      </c>
      <c r="R57" s="1" t="s">
        <v>1277</v>
      </c>
      <c r="S57" s="1" t="s">
        <v>1278</v>
      </c>
    </row>
    <row r="58" ht="69.0" customHeight="1">
      <c r="A58" s="1">
        <v>2.1570569609869E13</v>
      </c>
      <c r="B58" s="2" t="s">
        <v>1280</v>
      </c>
      <c r="C58" s="1" t="s">
        <v>955</v>
      </c>
      <c r="D58" s="1" t="s">
        <v>47</v>
      </c>
      <c r="E58" s="1" t="b">
        <v>0</v>
      </c>
      <c r="F58" s="1" t="s">
        <v>956</v>
      </c>
      <c r="G58" s="1" t="str">
        <f t="array" ref="G58">XLOOKUP(A:A,'CategoriasSeções'!A:A,'CategoriasSeções'!B:B)</f>
        <v>Comunicados</v>
      </c>
      <c r="H58" s="1" t="s">
        <v>981</v>
      </c>
      <c r="I58" s="12">
        <v>45252.51944444444</v>
      </c>
      <c r="J58" s="12">
        <v>45259.88888888889</v>
      </c>
      <c r="K58" s="1" t="s">
        <v>1281</v>
      </c>
      <c r="L58" s="1" t="s">
        <v>1281</v>
      </c>
      <c r="M58" s="1" t="s">
        <v>38</v>
      </c>
      <c r="N58" s="1" t="s">
        <v>75</v>
      </c>
      <c r="O58" s="1" t="s">
        <v>69</v>
      </c>
      <c r="P58" s="1" t="s">
        <v>69</v>
      </c>
      <c r="Q58" s="12">
        <v>45259.88888888889</v>
      </c>
      <c r="R58" s="1" t="s">
        <v>1283</v>
      </c>
      <c r="S58" s="1" t="s">
        <v>1284</v>
      </c>
    </row>
    <row r="59" ht="69.0" customHeight="1">
      <c r="A59" s="1">
        <v>2.1442794584717E13</v>
      </c>
      <c r="B59" s="2" t="s">
        <v>1286</v>
      </c>
      <c r="C59" s="1" t="s">
        <v>964</v>
      </c>
      <c r="D59" s="1" t="s">
        <v>34</v>
      </c>
      <c r="E59" s="1" t="b">
        <v>0</v>
      </c>
      <c r="F59" s="1" t="s">
        <v>956</v>
      </c>
      <c r="G59" s="1" t="str">
        <f t="array" ref="G59">XLOOKUP(A:A,'CategoriasSeções'!A:A,'CategoriasSeções'!B:B)</f>
        <v>Comunicados</v>
      </c>
      <c r="H59" s="1" t="s">
        <v>957</v>
      </c>
      <c r="I59" s="12">
        <v>45247.875</v>
      </c>
      <c r="J59" s="12">
        <v>45247.876388888886</v>
      </c>
      <c r="K59" s="1" t="s">
        <v>1287</v>
      </c>
      <c r="L59" s="1" t="s">
        <v>1287</v>
      </c>
      <c r="M59" s="1" t="s">
        <v>38</v>
      </c>
      <c r="N59" s="1" t="s">
        <v>75</v>
      </c>
      <c r="O59" s="1" t="s">
        <v>69</v>
      </c>
      <c r="P59" s="1" t="s">
        <v>69</v>
      </c>
      <c r="Q59" s="12">
        <v>45247.876388888886</v>
      </c>
      <c r="R59" s="1" t="s">
        <v>1289</v>
      </c>
      <c r="S59" s="1" t="s">
        <v>1290</v>
      </c>
    </row>
    <row r="60" ht="69.0" customHeight="1">
      <c r="A60" s="1">
        <v>2.1140353410061E13</v>
      </c>
      <c r="B60" s="2" t="s">
        <v>1292</v>
      </c>
      <c r="C60" s="1" t="s">
        <v>964</v>
      </c>
      <c r="D60" s="1" t="s">
        <v>34</v>
      </c>
      <c r="E60" s="1" t="b">
        <v>0</v>
      </c>
      <c r="F60" s="1" t="s">
        <v>956</v>
      </c>
      <c r="G60" s="1" t="str">
        <f t="array" ref="G60">XLOOKUP(A:A,'CategoriasSeções'!A:A,'CategoriasSeções'!B:B)</f>
        <v>Comunicados</v>
      </c>
      <c r="H60" s="1" t="s">
        <v>981</v>
      </c>
      <c r="I60" s="3">
        <v>45238.506944444445</v>
      </c>
      <c r="J60" s="3">
        <v>45238.506944444445</v>
      </c>
      <c r="K60" s="1" t="s">
        <v>1293</v>
      </c>
      <c r="L60" s="1" t="s">
        <v>1293</v>
      </c>
      <c r="M60" s="1" t="s">
        <v>38</v>
      </c>
      <c r="N60" s="1" t="s">
        <v>75</v>
      </c>
      <c r="O60" s="1" t="s">
        <v>69</v>
      </c>
      <c r="P60" s="1" t="s">
        <v>69</v>
      </c>
      <c r="Q60" s="3">
        <v>45238.506944444445</v>
      </c>
      <c r="R60" s="1" t="s">
        <v>1295</v>
      </c>
      <c r="S60" s="1" t="s">
        <v>1296</v>
      </c>
    </row>
    <row r="61" ht="69.0" customHeight="1">
      <c r="A61" s="1">
        <v>2.1140250551565E13</v>
      </c>
      <c r="B61" s="2" t="s">
        <v>1298</v>
      </c>
      <c r="C61" s="1" t="s">
        <v>964</v>
      </c>
      <c r="D61" s="1" t="s">
        <v>34</v>
      </c>
      <c r="E61" s="1" t="b">
        <v>0</v>
      </c>
      <c r="F61" s="1" t="s">
        <v>956</v>
      </c>
      <c r="G61" s="1" t="str">
        <f t="array" ref="G61">XLOOKUP(A:A,'CategoriasSeções'!A:A,'CategoriasSeções'!B:B)</f>
        <v>Comunicados</v>
      </c>
      <c r="H61" s="1" t="s">
        <v>957</v>
      </c>
      <c r="I61" s="3">
        <v>45238.504166666666</v>
      </c>
      <c r="J61" s="3">
        <v>45238.504166666666</v>
      </c>
      <c r="K61" s="1" t="s">
        <v>1299</v>
      </c>
      <c r="L61" s="1" t="s">
        <v>1299</v>
      </c>
      <c r="M61" s="1" t="s">
        <v>38</v>
      </c>
      <c r="N61" s="1" t="s">
        <v>75</v>
      </c>
      <c r="O61" s="1" t="s">
        <v>69</v>
      </c>
      <c r="P61" s="1" t="s">
        <v>69</v>
      </c>
      <c r="Q61" s="3">
        <v>45238.504166666666</v>
      </c>
      <c r="R61" s="1" t="s">
        <v>1301</v>
      </c>
      <c r="S61" s="1" t="s">
        <v>1302</v>
      </c>
    </row>
    <row r="62" ht="69.0" customHeight="1">
      <c r="A62" s="1">
        <v>2.0894965584013E13</v>
      </c>
      <c r="B62" s="2" t="s">
        <v>1304</v>
      </c>
      <c r="C62" s="1" t="s">
        <v>964</v>
      </c>
      <c r="D62" s="1" t="s">
        <v>34</v>
      </c>
      <c r="E62" s="1" t="b">
        <v>0</v>
      </c>
      <c r="F62" s="1" t="s">
        <v>956</v>
      </c>
      <c r="G62" s="1" t="str">
        <f t="array" ref="G62">XLOOKUP(A:A,'CategoriasSeções'!A:A,'CategoriasSeções'!B:B)</f>
        <v>Comunicados</v>
      </c>
      <c r="H62" s="1" t="s">
        <v>957</v>
      </c>
      <c r="I62" s="12">
        <v>45230.76944444444</v>
      </c>
      <c r="J62" s="12">
        <v>45230.76944444444</v>
      </c>
      <c r="K62" s="1" t="s">
        <v>1305</v>
      </c>
      <c r="L62" s="1" t="s">
        <v>1305</v>
      </c>
      <c r="M62" s="1" t="s">
        <v>38</v>
      </c>
      <c r="N62" s="1" t="s">
        <v>75</v>
      </c>
      <c r="O62" s="1" t="s">
        <v>69</v>
      </c>
      <c r="P62" s="1" t="s">
        <v>69</v>
      </c>
      <c r="Q62" s="12">
        <v>45230.76944444444</v>
      </c>
      <c r="R62" s="1" t="s">
        <v>1307</v>
      </c>
      <c r="S62" s="1" t="s">
        <v>1308</v>
      </c>
    </row>
    <row r="63" ht="69.0" customHeight="1">
      <c r="A63" s="1">
        <v>2.0749961209101E13</v>
      </c>
      <c r="B63" s="2" t="s">
        <v>1310</v>
      </c>
      <c r="C63" s="1" t="s">
        <v>964</v>
      </c>
      <c r="D63" s="1" t="s">
        <v>34</v>
      </c>
      <c r="E63" s="1" t="b">
        <v>0</v>
      </c>
      <c r="F63" s="1" t="s">
        <v>956</v>
      </c>
      <c r="G63" s="1" t="str">
        <f t="array" ref="G63">XLOOKUP(A:A,'CategoriasSeções'!A:A,'CategoriasSeções'!B:B)</f>
        <v>Comunicados</v>
      </c>
      <c r="H63" s="1" t="s">
        <v>981</v>
      </c>
      <c r="I63" s="12">
        <v>45225.78055555555</v>
      </c>
      <c r="J63" s="12">
        <v>45225.78055555555</v>
      </c>
      <c r="K63" s="1" t="s">
        <v>1311</v>
      </c>
      <c r="L63" s="1" t="s">
        <v>1311</v>
      </c>
      <c r="M63" s="1" t="s">
        <v>38</v>
      </c>
      <c r="N63" s="1" t="s">
        <v>75</v>
      </c>
      <c r="O63" s="1" t="s">
        <v>69</v>
      </c>
      <c r="P63" s="1" t="s">
        <v>69</v>
      </c>
      <c r="Q63" s="12">
        <v>45225.78055555555</v>
      </c>
      <c r="R63" s="1" t="s">
        <v>1313</v>
      </c>
      <c r="S63" s="1" t="s">
        <v>1314</v>
      </c>
    </row>
    <row r="64" ht="69.0" customHeight="1">
      <c r="A64" s="1">
        <v>2.0671333162509E13</v>
      </c>
      <c r="B64" s="2" t="s">
        <v>1316</v>
      </c>
      <c r="C64" s="1" t="s">
        <v>964</v>
      </c>
      <c r="D64" s="1" t="s">
        <v>34</v>
      </c>
      <c r="E64" s="1" t="b">
        <v>0</v>
      </c>
      <c r="F64" s="1" t="s">
        <v>956</v>
      </c>
      <c r="G64" s="1" t="str">
        <f t="array" ref="G64">XLOOKUP(A:A,'CategoriasSeções'!A:A,'CategoriasSeções'!B:B)</f>
        <v>IMPORTAÇÃO</v>
      </c>
      <c r="H64" s="1" t="s">
        <v>129</v>
      </c>
      <c r="I64" s="12">
        <v>45223.60138888889</v>
      </c>
      <c r="J64" s="12">
        <v>45223.60138888889</v>
      </c>
      <c r="K64" s="1" t="s">
        <v>1317</v>
      </c>
      <c r="L64" s="1" t="s">
        <v>1317</v>
      </c>
      <c r="M64" s="1" t="s">
        <v>38</v>
      </c>
      <c r="N64" s="1" t="s">
        <v>75</v>
      </c>
      <c r="O64" s="1" t="s">
        <v>69</v>
      </c>
      <c r="P64" s="1" t="s">
        <v>69</v>
      </c>
      <c r="Q64" s="12">
        <v>45223.60138888889</v>
      </c>
      <c r="R64" s="1" t="s">
        <v>1319</v>
      </c>
      <c r="S64" s="1" t="s">
        <v>1320</v>
      </c>
    </row>
    <row r="65" ht="69.0" customHeight="1">
      <c r="A65" s="1">
        <v>2.0472573985293E13</v>
      </c>
      <c r="B65" s="2" t="s">
        <v>1322</v>
      </c>
      <c r="C65" s="1" t="s">
        <v>964</v>
      </c>
      <c r="D65" s="1" t="s">
        <v>34</v>
      </c>
      <c r="E65" s="1" t="b">
        <v>0</v>
      </c>
      <c r="F65" s="1" t="s">
        <v>956</v>
      </c>
      <c r="G65" s="1" t="str">
        <f t="array" ref="G65">XLOOKUP(A:A,'CategoriasSeções'!A:A,'CategoriasSeções'!B:B)</f>
        <v>IMPORTAÇÃO</v>
      </c>
      <c r="H65" s="1" t="s">
        <v>129</v>
      </c>
      <c r="I65" s="12">
        <v>45216.80625</v>
      </c>
      <c r="J65" s="3">
        <v>45526.51875</v>
      </c>
      <c r="K65" s="1" t="s">
        <v>1323</v>
      </c>
      <c r="L65" s="1" t="s">
        <v>1323</v>
      </c>
      <c r="M65" s="1" t="s">
        <v>38</v>
      </c>
      <c r="N65" s="1" t="s">
        <v>75</v>
      </c>
      <c r="O65" s="1" t="s">
        <v>69</v>
      </c>
      <c r="P65" s="1" t="s">
        <v>69</v>
      </c>
      <c r="Q65" s="3">
        <v>45236.683333333334</v>
      </c>
      <c r="R65" s="1" t="s">
        <v>55</v>
      </c>
      <c r="S65" s="1" t="s">
        <v>1324</v>
      </c>
    </row>
    <row r="66" ht="69.0" customHeight="1">
      <c r="A66" s="1">
        <v>2.0169865795085E13</v>
      </c>
      <c r="B66" s="2" t="s">
        <v>1326</v>
      </c>
      <c r="C66" s="1" t="s">
        <v>1327</v>
      </c>
      <c r="D66" s="1" t="s">
        <v>34</v>
      </c>
      <c r="E66" s="1" t="b">
        <v>0</v>
      </c>
      <c r="F66" s="1" t="s">
        <v>956</v>
      </c>
      <c r="G66" s="1" t="str">
        <f t="array" ref="G66">XLOOKUP(A:A,'CategoriasSeções'!A:A,'CategoriasSeções'!B:B)</f>
        <v>Comunicados</v>
      </c>
      <c r="H66" s="1" t="s">
        <v>981</v>
      </c>
      <c r="I66" s="3">
        <v>45205.77847222222</v>
      </c>
      <c r="J66" s="3">
        <v>45526.59027777778</v>
      </c>
      <c r="K66" s="1" t="s">
        <v>1328</v>
      </c>
      <c r="L66" s="1" t="s">
        <v>1328</v>
      </c>
      <c r="M66" s="1" t="s">
        <v>38</v>
      </c>
      <c r="N66" s="1" t="s">
        <v>75</v>
      </c>
      <c r="O66" s="1" t="s">
        <v>69</v>
      </c>
      <c r="P66" s="1" t="s">
        <v>69</v>
      </c>
      <c r="Q66" s="12">
        <v>45288.589583333334</v>
      </c>
      <c r="R66" s="1" t="s">
        <v>1329</v>
      </c>
      <c r="S66" s="1" t="s">
        <v>1330</v>
      </c>
    </row>
    <row r="67" ht="69.0" customHeight="1">
      <c r="A67" s="1">
        <v>1.9750990892173E13</v>
      </c>
      <c r="B67" s="2" t="s">
        <v>1332</v>
      </c>
      <c r="C67" s="1" t="s">
        <v>964</v>
      </c>
      <c r="D67" s="1" t="s">
        <v>34</v>
      </c>
      <c r="E67" s="1" t="b">
        <v>0</v>
      </c>
      <c r="F67" s="1" t="s">
        <v>956</v>
      </c>
      <c r="G67" s="1" t="str">
        <f t="array" ref="G67">XLOOKUP(A:A,'CategoriasSeções'!A:A,'CategoriasSeções'!B:B)</f>
        <v>Comunicados</v>
      </c>
      <c r="H67" s="1" t="s">
        <v>957</v>
      </c>
      <c r="I67" s="3">
        <v>45191.83263888889</v>
      </c>
      <c r="J67" s="3">
        <v>45191.83263888889</v>
      </c>
      <c r="K67" s="1" t="s">
        <v>1333</v>
      </c>
      <c r="L67" s="1" t="s">
        <v>1333</v>
      </c>
      <c r="M67" s="1" t="s">
        <v>38</v>
      </c>
      <c r="N67" s="1" t="s">
        <v>75</v>
      </c>
      <c r="O67" s="1" t="s">
        <v>69</v>
      </c>
      <c r="P67" s="1" t="s">
        <v>69</v>
      </c>
      <c r="Q67" s="3">
        <v>45191.83263888889</v>
      </c>
      <c r="R67" s="1" t="s">
        <v>1335</v>
      </c>
      <c r="S67" s="1" t="s">
        <v>1336</v>
      </c>
    </row>
    <row r="68" ht="69.0" customHeight="1">
      <c r="A68" s="1">
        <v>1.9539846987149E13</v>
      </c>
      <c r="B68" s="2" t="s">
        <v>1338</v>
      </c>
      <c r="C68" s="1" t="s">
        <v>964</v>
      </c>
      <c r="D68" s="1" t="s">
        <v>34</v>
      </c>
      <c r="E68" s="1" t="b">
        <v>0</v>
      </c>
      <c r="F68" s="1" t="s">
        <v>956</v>
      </c>
      <c r="G68" s="1" t="str">
        <f t="array" ref="G68">XLOOKUP(A:A,'CategoriasSeções'!A:A,'CategoriasSeções'!B:B)</f>
        <v>Comunicados</v>
      </c>
      <c r="H68" s="1" t="s">
        <v>957</v>
      </c>
      <c r="I68" s="3">
        <v>45184.853472222225</v>
      </c>
      <c r="J68" s="3">
        <v>45184.853472222225</v>
      </c>
      <c r="K68" s="1" t="s">
        <v>1339</v>
      </c>
      <c r="L68" s="1" t="s">
        <v>1339</v>
      </c>
      <c r="M68" s="1" t="s">
        <v>38</v>
      </c>
      <c r="N68" s="1" t="s">
        <v>75</v>
      </c>
      <c r="O68" s="1" t="s">
        <v>69</v>
      </c>
      <c r="P68" s="1" t="s">
        <v>69</v>
      </c>
      <c r="Q68" s="3">
        <v>45184.853472222225</v>
      </c>
      <c r="R68" s="1" t="s">
        <v>55</v>
      </c>
      <c r="S68" s="1" t="s">
        <v>1341</v>
      </c>
    </row>
    <row r="69" ht="69.0" customHeight="1">
      <c r="A69" s="1">
        <v>1.9208038855565E13</v>
      </c>
      <c r="B69" s="2" t="s">
        <v>1343</v>
      </c>
      <c r="C69" s="1" t="s">
        <v>964</v>
      </c>
      <c r="D69" s="1" t="s">
        <v>34</v>
      </c>
      <c r="E69" s="1" t="b">
        <v>0</v>
      </c>
      <c r="F69" s="1" t="s">
        <v>956</v>
      </c>
      <c r="G69" s="1" t="str">
        <f t="array" ref="G69">XLOOKUP(A:A,'CategoriasSeções'!A:A,'CategoriasSeções'!B:B)</f>
        <v>IMPORTAÇÃO</v>
      </c>
      <c r="H69" s="1" t="s">
        <v>129</v>
      </c>
      <c r="I69" s="3">
        <v>45174.61041666667</v>
      </c>
      <c r="J69" s="3">
        <v>45526.57638888889</v>
      </c>
      <c r="K69" s="1" t="s">
        <v>1344</v>
      </c>
      <c r="L69" s="1" t="s">
        <v>1344</v>
      </c>
      <c r="M69" s="1" t="s">
        <v>38</v>
      </c>
      <c r="N69" s="1" t="s">
        <v>75</v>
      </c>
      <c r="O69" s="1" t="s">
        <v>69</v>
      </c>
      <c r="P69" s="1" t="s">
        <v>69</v>
      </c>
      <c r="Q69" s="3">
        <v>45191.62708333333</v>
      </c>
      <c r="R69" s="1" t="s">
        <v>55</v>
      </c>
      <c r="S69" s="1" t="s">
        <v>1345</v>
      </c>
    </row>
    <row r="70" ht="69.0" customHeight="1">
      <c r="A70" s="1">
        <v>1.8983478092813E13</v>
      </c>
      <c r="B70" s="2" t="s">
        <v>1347</v>
      </c>
      <c r="C70" s="1" t="s">
        <v>964</v>
      </c>
      <c r="D70" s="1" t="s">
        <v>34</v>
      </c>
      <c r="E70" s="1" t="b">
        <v>0</v>
      </c>
      <c r="F70" s="1" t="s">
        <v>956</v>
      </c>
      <c r="G70" s="1" t="str">
        <f t="array" ref="G70">XLOOKUP(A:A,'CategoriasSeções'!A:A,'CategoriasSeções'!B:B)</f>
        <v>Comunicados</v>
      </c>
      <c r="H70" s="1" t="s">
        <v>981</v>
      </c>
      <c r="I70" s="3">
        <v>45167.618055555555</v>
      </c>
      <c r="J70" s="3">
        <v>45167.618055555555</v>
      </c>
      <c r="K70" s="1" t="s">
        <v>1348</v>
      </c>
      <c r="L70" s="1" t="s">
        <v>1348</v>
      </c>
      <c r="M70" s="1" t="s">
        <v>38</v>
      </c>
      <c r="N70" s="1" t="s">
        <v>75</v>
      </c>
      <c r="O70" s="1" t="s">
        <v>69</v>
      </c>
      <c r="P70" s="1" t="s">
        <v>69</v>
      </c>
      <c r="Q70" s="3">
        <v>45167.618055555555</v>
      </c>
      <c r="R70" s="1" t="s">
        <v>1350</v>
      </c>
      <c r="S70" s="1" t="s">
        <v>1351</v>
      </c>
    </row>
    <row r="71" ht="69.0" customHeight="1">
      <c r="A71" s="1">
        <v>1.7605571493901E13</v>
      </c>
      <c r="B71" s="2" t="s">
        <v>1353</v>
      </c>
      <c r="C71" s="1" t="s">
        <v>964</v>
      </c>
      <c r="D71" s="1" t="s">
        <v>34</v>
      </c>
      <c r="E71" s="1" t="b">
        <v>0</v>
      </c>
      <c r="F71" s="1" t="s">
        <v>956</v>
      </c>
      <c r="G71" s="1" t="str">
        <f t="array" ref="G71">XLOOKUP(A:A,'CategoriasSeções'!A:A,'CategoriasSeções'!B:B)</f>
        <v>Comunicados</v>
      </c>
      <c r="H71" s="1" t="s">
        <v>957</v>
      </c>
      <c r="I71" s="3">
        <v>45121.55694444444</v>
      </c>
      <c r="J71" s="3">
        <v>45140.75208333333</v>
      </c>
      <c r="K71" s="1" t="s">
        <v>1354</v>
      </c>
      <c r="L71" s="1" t="s">
        <v>1354</v>
      </c>
      <c r="M71" s="1" t="s">
        <v>38</v>
      </c>
      <c r="N71" s="1" t="s">
        <v>75</v>
      </c>
      <c r="O71" s="1" t="s">
        <v>69</v>
      </c>
      <c r="P71" s="1" t="s">
        <v>69</v>
      </c>
      <c r="Q71" s="3">
        <v>45121.55694444444</v>
      </c>
      <c r="R71" s="1" t="s">
        <v>1356</v>
      </c>
      <c r="S71" s="1" t="s">
        <v>1357</v>
      </c>
    </row>
    <row r="72" ht="69.0" customHeight="1">
      <c r="A72" s="1">
        <v>1.7149292259213E13</v>
      </c>
      <c r="B72" s="2" t="s">
        <v>1359</v>
      </c>
      <c r="C72" s="1" t="s">
        <v>964</v>
      </c>
      <c r="D72" s="1" t="s">
        <v>34</v>
      </c>
      <c r="E72" s="1" t="b">
        <v>0</v>
      </c>
      <c r="F72" s="1" t="s">
        <v>956</v>
      </c>
      <c r="G72" s="1" t="str">
        <f t="array" ref="G72">XLOOKUP(A:A,'CategoriasSeções'!A:A,'CategoriasSeções'!B:B)</f>
        <v>Comunicados</v>
      </c>
      <c r="H72" s="1" t="s">
        <v>981</v>
      </c>
      <c r="I72" s="3">
        <v>45105.52569444444</v>
      </c>
      <c r="J72" s="3">
        <v>45105.52569444444</v>
      </c>
      <c r="K72" s="1" t="s">
        <v>1360</v>
      </c>
      <c r="L72" s="1" t="s">
        <v>1360</v>
      </c>
      <c r="M72" s="1" t="s">
        <v>38</v>
      </c>
      <c r="N72" s="1" t="s">
        <v>75</v>
      </c>
      <c r="O72" s="1" t="s">
        <v>69</v>
      </c>
      <c r="P72" s="1" t="s">
        <v>69</v>
      </c>
      <c r="Q72" s="3">
        <v>45105.52569444444</v>
      </c>
      <c r="R72" s="1" t="s">
        <v>1361</v>
      </c>
      <c r="S72" s="1" t="s">
        <v>1362</v>
      </c>
    </row>
    <row r="73" ht="69.0" customHeight="1">
      <c r="A73" s="1">
        <v>1.6818095609869E13</v>
      </c>
      <c r="B73" s="2" t="s">
        <v>1364</v>
      </c>
      <c r="C73" s="1" t="s">
        <v>964</v>
      </c>
      <c r="D73" s="1" t="s">
        <v>34</v>
      </c>
      <c r="E73" s="1" t="b">
        <v>0</v>
      </c>
      <c r="F73" s="1" t="s">
        <v>956</v>
      </c>
      <c r="G73" s="1" t="str">
        <f t="array" ref="G73">XLOOKUP(A:A,'CategoriasSeções'!A:A,'CategoriasSeções'!B:B)</f>
        <v>Comunicados</v>
      </c>
      <c r="H73" s="1" t="s">
        <v>981</v>
      </c>
      <c r="I73" s="3">
        <v>45093.71319444444</v>
      </c>
      <c r="J73" s="3">
        <v>45093.71319444444</v>
      </c>
      <c r="K73" s="1" t="s">
        <v>1365</v>
      </c>
      <c r="L73" s="1" t="s">
        <v>1365</v>
      </c>
      <c r="M73" s="1" t="s">
        <v>38</v>
      </c>
      <c r="N73" s="1" t="s">
        <v>75</v>
      </c>
      <c r="O73" s="1" t="s">
        <v>69</v>
      </c>
      <c r="P73" s="1" t="s">
        <v>69</v>
      </c>
      <c r="Q73" s="3">
        <v>45093.71319444444</v>
      </c>
      <c r="R73" s="1" t="s">
        <v>1367</v>
      </c>
      <c r="S73" s="1" t="s">
        <v>1368</v>
      </c>
    </row>
    <row r="74" ht="69.0" customHeight="1">
      <c r="A74" s="1">
        <v>1.6417342917901E13</v>
      </c>
      <c r="B74" s="2" t="s">
        <v>1370</v>
      </c>
      <c r="C74" s="1" t="s">
        <v>964</v>
      </c>
      <c r="D74" s="1" t="s">
        <v>34</v>
      </c>
      <c r="E74" s="1" t="b">
        <v>0</v>
      </c>
      <c r="F74" s="1" t="s">
        <v>956</v>
      </c>
      <c r="G74" s="1" t="str">
        <f t="array" ref="G74">XLOOKUP(A:A,'CategoriasSeções'!A:A,'CategoriasSeções'!B:B)</f>
        <v>Comunicados</v>
      </c>
      <c r="H74" s="1" t="s">
        <v>981</v>
      </c>
      <c r="I74" s="3">
        <v>45082.561111111114</v>
      </c>
      <c r="J74" s="3">
        <v>45082.56180555555</v>
      </c>
      <c r="K74" s="1" t="s">
        <v>1371</v>
      </c>
      <c r="L74" s="1" t="s">
        <v>1371</v>
      </c>
      <c r="M74" s="1" t="s">
        <v>38</v>
      </c>
      <c r="N74" s="1" t="s">
        <v>75</v>
      </c>
      <c r="O74" s="1" t="s">
        <v>69</v>
      </c>
      <c r="P74" s="1" t="s">
        <v>69</v>
      </c>
      <c r="Q74" s="3">
        <v>45082.56180555555</v>
      </c>
      <c r="R74" s="1" t="s">
        <v>1373</v>
      </c>
      <c r="S74" s="1" t="s">
        <v>1374</v>
      </c>
    </row>
    <row r="75" ht="69.0" customHeight="1">
      <c r="A75" s="1">
        <v>1.5611721936013E13</v>
      </c>
      <c r="B75" s="2" t="s">
        <v>1376</v>
      </c>
      <c r="C75" s="1" t="s">
        <v>964</v>
      </c>
      <c r="D75" s="1" t="s">
        <v>34</v>
      </c>
      <c r="E75" s="1" t="b">
        <v>0</v>
      </c>
      <c r="F75" s="1" t="s">
        <v>956</v>
      </c>
      <c r="G75" s="1" t="str">
        <f t="array" ref="G75">XLOOKUP(A:A,'CategoriasSeções'!A:A,'CategoriasSeções'!B:B)</f>
        <v>EXPORTAÇÃO - CABOTAGEM</v>
      </c>
      <c r="H75" s="1" t="s">
        <v>1062</v>
      </c>
      <c r="I75" s="3">
        <v>45055.59930555556</v>
      </c>
      <c r="J75" s="3">
        <v>45526.52222222222</v>
      </c>
      <c r="K75" s="1" t="s">
        <v>1377</v>
      </c>
      <c r="L75" s="1" t="s">
        <v>1377</v>
      </c>
      <c r="M75" s="1" t="s">
        <v>38</v>
      </c>
      <c r="N75" s="1" t="s">
        <v>75</v>
      </c>
      <c r="O75" s="1" t="s">
        <v>69</v>
      </c>
      <c r="P75" s="1" t="s">
        <v>69</v>
      </c>
      <c r="Q75" s="3">
        <v>45111.61041666667</v>
      </c>
      <c r="R75" s="1" t="s">
        <v>1379</v>
      </c>
      <c r="S75" s="1" t="s">
        <v>1380</v>
      </c>
    </row>
    <row r="76" ht="69.0" customHeight="1">
      <c r="A76" s="1">
        <v>1.5237788044045E13</v>
      </c>
      <c r="B76" s="2" t="s">
        <v>1382</v>
      </c>
      <c r="C76" s="1" t="s">
        <v>964</v>
      </c>
      <c r="D76" s="1" t="s">
        <v>34</v>
      </c>
      <c r="E76" s="1" t="b">
        <v>0</v>
      </c>
      <c r="F76" s="1" t="s">
        <v>956</v>
      </c>
      <c r="G76" s="1" t="str">
        <f t="array" ref="G76">XLOOKUP(A:A,'CategoriasSeções'!A:A,'CategoriasSeções'!B:B)</f>
        <v>Comunicados</v>
      </c>
      <c r="H76" s="1" t="s">
        <v>981</v>
      </c>
      <c r="I76" s="3">
        <v>45042.51458333333</v>
      </c>
      <c r="J76" s="3">
        <v>45042.51458333333</v>
      </c>
      <c r="K76" s="1" t="s">
        <v>1383</v>
      </c>
      <c r="L76" s="1" t="s">
        <v>1383</v>
      </c>
      <c r="M76" s="1" t="s">
        <v>38</v>
      </c>
      <c r="N76" s="1" t="s">
        <v>75</v>
      </c>
      <c r="O76" s="1" t="s">
        <v>69</v>
      </c>
      <c r="P76" s="1" t="s">
        <v>69</v>
      </c>
      <c r="Q76" s="3">
        <v>45042.51458333333</v>
      </c>
      <c r="R76" s="1" t="s">
        <v>1384</v>
      </c>
      <c r="S76" s="1" t="s">
        <v>1385</v>
      </c>
    </row>
    <row r="77" ht="69.0" customHeight="1">
      <c r="A77" s="1">
        <v>1.4387162947725E13</v>
      </c>
      <c r="B77" s="2" t="s">
        <v>1387</v>
      </c>
      <c r="C77" s="1" t="s">
        <v>1327</v>
      </c>
      <c r="D77" s="1" t="s">
        <v>34</v>
      </c>
      <c r="E77" s="1" t="b">
        <v>0</v>
      </c>
      <c r="F77" s="1" t="s">
        <v>956</v>
      </c>
      <c r="G77" s="1" t="str">
        <f t="array" ref="G77">XLOOKUP(A:A,'CategoriasSeções'!A:A,'CategoriasSeções'!B:B)</f>
        <v>Comunicados</v>
      </c>
      <c r="H77" s="1" t="s">
        <v>981</v>
      </c>
      <c r="I77" s="3">
        <v>45013.768055555556</v>
      </c>
      <c r="J77" s="3">
        <v>45526.552777777775</v>
      </c>
      <c r="K77" s="1" t="s">
        <v>1388</v>
      </c>
      <c r="L77" s="1" t="s">
        <v>1388</v>
      </c>
      <c r="M77" s="1" t="s">
        <v>38</v>
      </c>
      <c r="N77" s="1" t="s">
        <v>75</v>
      </c>
      <c r="O77" s="1" t="s">
        <v>69</v>
      </c>
      <c r="P77" s="1" t="s">
        <v>69</v>
      </c>
      <c r="Q77" s="3">
        <v>45013.76875</v>
      </c>
      <c r="R77" s="1" t="s">
        <v>1389</v>
      </c>
      <c r="S77" s="1" t="s">
        <v>1390</v>
      </c>
    </row>
    <row r="78" ht="69.0" customHeight="1">
      <c r="A78" s="1">
        <v>1.3100388154637E13</v>
      </c>
      <c r="B78" s="2" t="s">
        <v>1392</v>
      </c>
      <c r="C78" s="1" t="s">
        <v>964</v>
      </c>
      <c r="D78" s="1" t="s">
        <v>34</v>
      </c>
      <c r="E78" s="1" t="b">
        <v>0</v>
      </c>
      <c r="F78" s="1" t="s">
        <v>956</v>
      </c>
      <c r="G78" s="1" t="str">
        <f t="array" ref="G78">XLOOKUP(A:A,'CategoriasSeções'!A:A,'CategoriasSeções'!B:B)</f>
        <v>Comunicados</v>
      </c>
      <c r="H78" s="1" t="s">
        <v>981</v>
      </c>
      <c r="I78" s="3">
        <v>44971.54305555556</v>
      </c>
      <c r="J78" s="3">
        <v>45526.53888888889</v>
      </c>
      <c r="K78" s="1" t="s">
        <v>1393</v>
      </c>
      <c r="L78" s="1" t="s">
        <v>1393</v>
      </c>
      <c r="M78" s="1" t="s">
        <v>38</v>
      </c>
      <c r="N78" s="1" t="s">
        <v>75</v>
      </c>
      <c r="O78" s="1" t="s">
        <v>69</v>
      </c>
      <c r="P78" s="1" t="s">
        <v>69</v>
      </c>
      <c r="Q78" s="3">
        <v>44971.54305555556</v>
      </c>
      <c r="R78" s="1" t="s">
        <v>1395</v>
      </c>
      <c r="S78" s="1" t="s">
        <v>1396</v>
      </c>
    </row>
    <row r="79" ht="69.0" customHeight="1">
      <c r="A79" s="1">
        <v>1.2573680069389E13</v>
      </c>
      <c r="B79" s="2" t="s">
        <v>1398</v>
      </c>
      <c r="C79" s="1" t="s">
        <v>1327</v>
      </c>
      <c r="D79" s="1" t="s">
        <v>34</v>
      </c>
      <c r="E79" s="1" t="b">
        <v>0</v>
      </c>
      <c r="F79" s="1" t="s">
        <v>956</v>
      </c>
      <c r="G79" s="1" t="str">
        <f t="array" ref="G79">XLOOKUP(A:A,'CategoriasSeções'!A:A,'CategoriasSeções'!B:B)</f>
        <v>Comunicados</v>
      </c>
      <c r="H79" s="1" t="s">
        <v>981</v>
      </c>
      <c r="I79" s="3">
        <v>44952.654861111114</v>
      </c>
      <c r="J79" s="3">
        <v>45526.45486111111</v>
      </c>
      <c r="K79" s="1" t="s">
        <v>1399</v>
      </c>
      <c r="L79" s="1" t="s">
        <v>1399</v>
      </c>
      <c r="M79" s="1" t="s">
        <v>38</v>
      </c>
      <c r="N79" s="1" t="s">
        <v>75</v>
      </c>
      <c r="O79" s="1" t="s">
        <v>69</v>
      </c>
      <c r="P79" s="1" t="s">
        <v>69</v>
      </c>
      <c r="Q79" s="3">
        <v>44952.654861111114</v>
      </c>
      <c r="R79" s="1" t="s">
        <v>1400</v>
      </c>
      <c r="S79" s="1" t="s">
        <v>1401</v>
      </c>
    </row>
    <row r="80" ht="69.0" customHeight="1">
      <c r="A80" s="1">
        <v>1.1848928325901E13</v>
      </c>
      <c r="B80" s="2" t="s">
        <v>1403</v>
      </c>
      <c r="C80" s="1" t="s">
        <v>1327</v>
      </c>
      <c r="D80" s="1" t="s">
        <v>34</v>
      </c>
      <c r="E80" s="1" t="b">
        <v>0</v>
      </c>
      <c r="F80" s="1" t="s">
        <v>956</v>
      </c>
      <c r="G80" s="1" t="str">
        <f t="array" ref="G80">XLOOKUP(A:A,'CategoriasSeções'!A:A,'CategoriasSeções'!B:B)</f>
        <v>IMPORTAÇÃO</v>
      </c>
      <c r="H80" s="1" t="s">
        <v>129</v>
      </c>
      <c r="I80" s="12">
        <v>44925.69305555556</v>
      </c>
      <c r="J80" s="3">
        <v>45526.59027777778</v>
      </c>
      <c r="K80" s="1" t="s">
        <v>1404</v>
      </c>
      <c r="L80" s="1" t="s">
        <v>1404</v>
      </c>
      <c r="M80" s="1" t="s">
        <v>38</v>
      </c>
      <c r="N80" s="1" t="s">
        <v>75</v>
      </c>
      <c r="O80" s="1" t="s">
        <v>69</v>
      </c>
      <c r="P80" s="1" t="s">
        <v>69</v>
      </c>
      <c r="Q80" s="3">
        <v>45321.72638888889</v>
      </c>
      <c r="R80" s="1" t="s">
        <v>1405</v>
      </c>
      <c r="S80" s="1" t="s">
        <v>1406</v>
      </c>
    </row>
    <row r="81" ht="69.0" customHeight="1">
      <c r="A81" s="1">
        <v>1.1267242185741E13</v>
      </c>
      <c r="B81" s="2" t="s">
        <v>1408</v>
      </c>
      <c r="C81" s="1" t="s">
        <v>1327</v>
      </c>
      <c r="D81" s="1" t="s">
        <v>34</v>
      </c>
      <c r="E81" s="1" t="b">
        <v>0</v>
      </c>
      <c r="F81" s="1" t="s">
        <v>956</v>
      </c>
      <c r="G81" s="1" t="str">
        <f t="array" ref="G81">XLOOKUP(A:A,'CategoriasSeções'!A:A,'CategoriasSeções'!B:B)</f>
        <v>Comunicados</v>
      </c>
      <c r="H81" s="1" t="s">
        <v>981</v>
      </c>
      <c r="I81" s="3">
        <v>44902.82777777778</v>
      </c>
      <c r="J81" s="3">
        <v>45526.42152777778</v>
      </c>
      <c r="K81" s="1" t="s">
        <v>1409</v>
      </c>
      <c r="L81" s="1" t="s">
        <v>1409</v>
      </c>
      <c r="M81" s="1" t="s">
        <v>38</v>
      </c>
      <c r="N81" s="1" t="s">
        <v>75</v>
      </c>
      <c r="O81" s="1" t="s">
        <v>39</v>
      </c>
      <c r="P81" s="1" t="s">
        <v>39</v>
      </c>
      <c r="Q81" s="3">
        <v>44902.82777777778</v>
      </c>
      <c r="R81" s="1" t="s">
        <v>1410</v>
      </c>
      <c r="S81" s="1" t="s">
        <v>1411</v>
      </c>
    </row>
    <row r="82" ht="69.0" customHeight="1">
      <c r="A82" s="1">
        <v>1.0909721856525E13</v>
      </c>
      <c r="B82" s="2" t="s">
        <v>1413</v>
      </c>
      <c r="C82" s="1" t="s">
        <v>1327</v>
      </c>
      <c r="D82" s="1" t="s">
        <v>34</v>
      </c>
      <c r="E82" s="1" t="b">
        <v>0</v>
      </c>
      <c r="F82" s="1" t="s">
        <v>956</v>
      </c>
      <c r="G82" s="1" t="str">
        <f t="array" ref="G82">XLOOKUP(A:A,'CategoriasSeções'!A:A,'CategoriasSeções'!B:B)</f>
        <v>Comunicados</v>
      </c>
      <c r="H82" s="1" t="s">
        <v>981</v>
      </c>
      <c r="I82" s="12">
        <v>44890.72430555556</v>
      </c>
      <c r="J82" s="3">
        <v>45526.455555555556</v>
      </c>
      <c r="K82" s="1" t="s">
        <v>1414</v>
      </c>
      <c r="L82" s="1" t="s">
        <v>1414</v>
      </c>
      <c r="M82" s="1" t="s">
        <v>38</v>
      </c>
      <c r="N82" s="1" t="s">
        <v>75</v>
      </c>
      <c r="O82" s="1" t="s">
        <v>69</v>
      </c>
      <c r="P82" s="1" t="s">
        <v>69</v>
      </c>
      <c r="Q82" s="12">
        <v>44890.72430555556</v>
      </c>
      <c r="R82" s="1" t="s">
        <v>1415</v>
      </c>
      <c r="S82" s="1" t="s">
        <v>1416</v>
      </c>
    </row>
    <row r="83" ht="69.0" customHeight="1">
      <c r="A83" s="1">
        <v>1.0903221771277E13</v>
      </c>
      <c r="B83" s="2" t="s">
        <v>1418</v>
      </c>
      <c r="C83" s="1" t="s">
        <v>964</v>
      </c>
      <c r="D83" s="1" t="s">
        <v>34</v>
      </c>
      <c r="E83" s="1" t="b">
        <v>0</v>
      </c>
      <c r="F83" s="1" t="s">
        <v>956</v>
      </c>
      <c r="G83" s="1" t="str">
        <f t="array" ref="G83">XLOOKUP(A:A,'CategoriasSeções'!A:A,'CategoriasSeções'!B:B)</f>
        <v>IMPORTAÇÃO</v>
      </c>
      <c r="H83" s="1" t="s">
        <v>129</v>
      </c>
      <c r="I83" s="12">
        <v>44890.55694444444</v>
      </c>
      <c r="J83" s="3">
        <v>45526.57638888889</v>
      </c>
      <c r="K83" s="1" t="s">
        <v>1419</v>
      </c>
      <c r="L83" s="1" t="s">
        <v>1419</v>
      </c>
      <c r="M83" s="1" t="s">
        <v>38</v>
      </c>
      <c r="N83" s="1" t="s">
        <v>75</v>
      </c>
      <c r="O83" s="1" t="s">
        <v>69</v>
      </c>
      <c r="P83" s="1" t="s">
        <v>69</v>
      </c>
      <c r="Q83" s="3">
        <v>44902.44097222222</v>
      </c>
      <c r="R83" s="1" t="s">
        <v>1420</v>
      </c>
      <c r="S83" s="1" t="s">
        <v>1421</v>
      </c>
    </row>
    <row r="84" ht="69.0" customHeight="1">
      <c r="A84" s="1">
        <v>1.0820290343309E13</v>
      </c>
      <c r="B84" s="2" t="s">
        <v>1423</v>
      </c>
      <c r="C84" s="1" t="s">
        <v>1327</v>
      </c>
      <c r="D84" s="1" t="s">
        <v>34</v>
      </c>
      <c r="E84" s="1" t="b">
        <v>0</v>
      </c>
      <c r="F84" s="1" t="s">
        <v>956</v>
      </c>
      <c r="G84" s="1" t="str">
        <f t="array" ref="G84">XLOOKUP(A:A,'CategoriasSeções'!A:A,'CategoriasSeções'!B:B)</f>
        <v>Comunicados</v>
      </c>
      <c r="H84" s="1" t="s">
        <v>981</v>
      </c>
      <c r="I84" s="12">
        <v>44887.52222222222</v>
      </c>
      <c r="J84" s="3">
        <v>45526.51388888889</v>
      </c>
      <c r="K84" s="1" t="s">
        <v>1424</v>
      </c>
      <c r="L84" s="1" t="s">
        <v>1424</v>
      </c>
      <c r="M84" s="1" t="s">
        <v>38</v>
      </c>
      <c r="N84" s="1" t="s">
        <v>75</v>
      </c>
      <c r="O84" s="1" t="s">
        <v>69</v>
      </c>
      <c r="P84" s="1" t="s">
        <v>69</v>
      </c>
      <c r="Q84" s="12">
        <v>44887.52222222222</v>
      </c>
      <c r="R84" s="1" t="s">
        <v>1425</v>
      </c>
      <c r="S84" s="1" t="s">
        <v>1426</v>
      </c>
    </row>
    <row r="85" ht="69.0" customHeight="1">
      <c r="A85" s="1">
        <v>1.0819800438797E13</v>
      </c>
      <c r="B85" s="2" t="s">
        <v>1428</v>
      </c>
      <c r="C85" s="1" t="s">
        <v>1327</v>
      </c>
      <c r="D85" s="1" t="s">
        <v>34</v>
      </c>
      <c r="E85" s="1" t="b">
        <v>0</v>
      </c>
      <c r="F85" s="1" t="s">
        <v>956</v>
      </c>
      <c r="G85" s="1" t="str">
        <f t="array" ref="G85">XLOOKUP(A:A,'CategoriasSeções'!A:A,'CategoriasSeções'!B:B)</f>
        <v>Comunicados</v>
      </c>
      <c r="H85" s="1" t="s">
        <v>981</v>
      </c>
      <c r="I85" s="12">
        <v>44887.510416666664</v>
      </c>
      <c r="J85" s="3">
        <v>45526.57638888889</v>
      </c>
      <c r="K85" s="1" t="s">
        <v>1429</v>
      </c>
      <c r="L85" s="1" t="s">
        <v>1429</v>
      </c>
      <c r="M85" s="1" t="s">
        <v>38</v>
      </c>
      <c r="N85" s="1" t="s">
        <v>75</v>
      </c>
      <c r="O85" s="1" t="s">
        <v>69</v>
      </c>
      <c r="P85" s="1" t="s">
        <v>69</v>
      </c>
      <c r="Q85" s="12">
        <v>44887.51111111111</v>
      </c>
      <c r="R85" s="1" t="s">
        <v>1430</v>
      </c>
      <c r="S85" s="1" t="s">
        <v>1431</v>
      </c>
    </row>
    <row r="86" ht="69.0" customHeight="1">
      <c r="A86" s="1">
        <v>9.142649688077E12</v>
      </c>
      <c r="B86" s="2" t="s">
        <v>1433</v>
      </c>
      <c r="C86" s="1" t="s">
        <v>1327</v>
      </c>
      <c r="D86" s="1" t="s">
        <v>34</v>
      </c>
      <c r="E86" s="1" t="b">
        <v>0</v>
      </c>
      <c r="F86" s="1" t="s">
        <v>956</v>
      </c>
      <c r="G86" s="1" t="str">
        <f t="array" ref="G86">XLOOKUP(A:A,'CategoriasSeções'!A:A,'CategoriasSeções'!B:B)</f>
        <v>EXPORTAÇÃO - CABOTAGEM</v>
      </c>
      <c r="H86" s="1" t="s">
        <v>1062</v>
      </c>
      <c r="I86" s="3">
        <v>44817.845138888886</v>
      </c>
      <c r="J86" s="3">
        <v>45526.45486111111</v>
      </c>
      <c r="K86" s="1" t="s">
        <v>1434</v>
      </c>
      <c r="L86" s="1" t="s">
        <v>1434</v>
      </c>
      <c r="M86" s="1" t="s">
        <v>38</v>
      </c>
      <c r="N86" s="1" t="s">
        <v>75</v>
      </c>
      <c r="O86" s="1" t="s">
        <v>69</v>
      </c>
      <c r="P86" s="1" t="s">
        <v>69</v>
      </c>
      <c r="Q86" s="12">
        <v>44890.725</v>
      </c>
      <c r="R86" s="1" t="s">
        <v>1435</v>
      </c>
      <c r="S86" s="1" t="s">
        <v>1436</v>
      </c>
    </row>
    <row r="87" ht="69.0" customHeight="1">
      <c r="A87" s="1">
        <v>6.615245310605E12</v>
      </c>
      <c r="B87" s="2" t="s">
        <v>1438</v>
      </c>
      <c r="C87" s="1" t="s">
        <v>1327</v>
      </c>
      <c r="D87" s="1" t="s">
        <v>34</v>
      </c>
      <c r="E87" s="1" t="b">
        <v>0</v>
      </c>
      <c r="F87" s="1" t="s">
        <v>956</v>
      </c>
      <c r="G87" s="1" t="str">
        <f t="array" ref="G87">XLOOKUP(A:A,'CategoriasSeções'!A:A,'CategoriasSeções'!B:B)</f>
        <v>IMPORTAÇÃO</v>
      </c>
      <c r="H87" s="1" t="s">
        <v>129</v>
      </c>
      <c r="I87" s="3">
        <v>44713.825</v>
      </c>
      <c r="J87" s="3">
        <v>45526.53888888889</v>
      </c>
      <c r="K87" s="1" t="s">
        <v>1439</v>
      </c>
      <c r="L87" s="1" t="s">
        <v>1439</v>
      </c>
      <c r="M87" s="1" t="s">
        <v>38</v>
      </c>
      <c r="N87" s="1" t="s">
        <v>75</v>
      </c>
      <c r="O87" s="1" t="s">
        <v>69</v>
      </c>
      <c r="P87" s="1" t="s">
        <v>69</v>
      </c>
      <c r="Q87" s="3">
        <v>44725.52916666667</v>
      </c>
      <c r="R87" s="1" t="s">
        <v>1440</v>
      </c>
      <c r="S87" s="1" t="s">
        <v>1441</v>
      </c>
    </row>
    <row r="88" ht="69.0" customHeight="1">
      <c r="A88" s="1">
        <v>4.414741485197E12</v>
      </c>
      <c r="B88" s="2" t="s">
        <v>1443</v>
      </c>
      <c r="C88" s="1" t="s">
        <v>1327</v>
      </c>
      <c r="D88" s="1" t="s">
        <v>34</v>
      </c>
      <c r="E88" s="1" t="b">
        <v>0</v>
      </c>
      <c r="F88" s="1" t="s">
        <v>956</v>
      </c>
      <c r="G88" s="1" t="str">
        <f t="array" ref="G88">XLOOKUP(A:A,'CategoriasSeções'!A:A,'CategoriasSeções'!B:B)</f>
        <v>IMPORTAÇÃO</v>
      </c>
      <c r="H88" s="1" t="s">
        <v>129</v>
      </c>
      <c r="I88" s="12">
        <v>44526.493055555555</v>
      </c>
      <c r="J88" s="3">
        <v>45526.45486111111</v>
      </c>
      <c r="K88" s="1" t="s">
        <v>1444</v>
      </c>
      <c r="L88" s="1" t="s">
        <v>1444</v>
      </c>
      <c r="M88" s="1" t="s">
        <v>38</v>
      </c>
      <c r="N88" s="1" t="s">
        <v>75</v>
      </c>
      <c r="O88" s="1" t="s">
        <v>69</v>
      </c>
      <c r="P88" s="1" t="s">
        <v>69</v>
      </c>
      <c r="Q88" s="3">
        <v>44721.768055555556</v>
      </c>
      <c r="R88" s="1" t="s">
        <v>1445</v>
      </c>
      <c r="S88" s="1" t="s">
        <v>1446</v>
      </c>
    </row>
    <row r="89" ht="69.0" customHeight="1">
      <c r="A89" s="1">
        <v>4.412812626445E12</v>
      </c>
      <c r="B89" s="2" t="s">
        <v>1448</v>
      </c>
      <c r="C89" s="1" t="s">
        <v>1327</v>
      </c>
      <c r="D89" s="1" t="s">
        <v>34</v>
      </c>
      <c r="E89" s="1" t="b">
        <v>0</v>
      </c>
      <c r="F89" s="1" t="s">
        <v>956</v>
      </c>
      <c r="G89" s="1" t="str">
        <f t="array" ref="G89">XLOOKUP(A:A,'CategoriasSeções'!A:A,'CategoriasSeções'!B:B)</f>
        <v>Dúvidas Gerais</v>
      </c>
      <c r="H89" s="1" t="s">
        <v>1449</v>
      </c>
      <c r="I89" s="3">
        <v>44505.49513888889</v>
      </c>
      <c r="J89" s="3">
        <v>45092.53125</v>
      </c>
      <c r="K89" s="1" t="s">
        <v>1450</v>
      </c>
      <c r="L89" s="1" t="s">
        <v>1450</v>
      </c>
      <c r="M89" s="1" t="s">
        <v>38</v>
      </c>
      <c r="N89" s="1" t="s">
        <v>75</v>
      </c>
      <c r="O89" s="1" t="s">
        <v>69</v>
      </c>
      <c r="P89" s="1" t="s">
        <v>69</v>
      </c>
      <c r="Q89" s="3">
        <v>45092.53125</v>
      </c>
      <c r="R89" s="1" t="s">
        <v>1451</v>
      </c>
      <c r="S89" s="1" t="s">
        <v>1452</v>
      </c>
    </row>
    <row r="90" ht="69.0" customHeight="1">
      <c r="A90" s="1">
        <v>4.410772250125E12</v>
      </c>
      <c r="B90" s="2" t="s">
        <v>1454</v>
      </c>
      <c r="C90" s="1" t="s">
        <v>1327</v>
      </c>
      <c r="D90" s="1" t="s">
        <v>34</v>
      </c>
      <c r="E90" s="1" t="b">
        <v>0</v>
      </c>
      <c r="F90" s="1" t="s">
        <v>956</v>
      </c>
      <c r="G90" s="1" t="str">
        <f t="array" ref="G90">XLOOKUP(A:A,'CategoriasSeções'!A:A,'CategoriasSeções'!B:B)</f>
        <v>Dúvidas Gerais</v>
      </c>
      <c r="H90" s="1" t="s">
        <v>1449</v>
      </c>
      <c r="I90" s="3">
        <v>44475.802777777775</v>
      </c>
      <c r="J90" s="3">
        <v>45526.53888888889</v>
      </c>
      <c r="K90" s="1" t="s">
        <v>1455</v>
      </c>
      <c r="L90" s="1" t="s">
        <v>1455</v>
      </c>
      <c r="M90" s="1" t="s">
        <v>38</v>
      </c>
      <c r="N90" s="1" t="s">
        <v>75</v>
      </c>
      <c r="O90" s="1" t="s">
        <v>69</v>
      </c>
      <c r="P90" s="1" t="s">
        <v>69</v>
      </c>
      <c r="Q90" s="3">
        <v>44475.870833333334</v>
      </c>
      <c r="R90" s="1" t="s">
        <v>1456</v>
      </c>
      <c r="S90" s="1" t="s">
        <v>1457</v>
      </c>
    </row>
    <row r="91" ht="69.0" customHeight="1">
      <c r="A91" s="1">
        <v>4.410447945741E12</v>
      </c>
      <c r="B91" s="2" t="s">
        <v>1459</v>
      </c>
      <c r="C91" s="1" t="s">
        <v>1327</v>
      </c>
      <c r="D91" s="1" t="s">
        <v>34</v>
      </c>
      <c r="E91" s="1" t="b">
        <v>0</v>
      </c>
      <c r="F91" s="1" t="s">
        <v>956</v>
      </c>
      <c r="G91" s="1" t="str">
        <f t="array" ref="G91">XLOOKUP(A:A,'CategoriasSeções'!A:A,'CategoriasSeções'!B:B)</f>
        <v>Dúvidas Gerais</v>
      </c>
      <c r="H91" s="1" t="s">
        <v>1449</v>
      </c>
      <c r="I91" s="3">
        <v>44470.78888888889</v>
      </c>
      <c r="J91" s="12">
        <v>46006.8625</v>
      </c>
      <c r="K91" s="1" t="s">
        <v>1460</v>
      </c>
      <c r="L91" s="1" t="s">
        <v>1460</v>
      </c>
      <c r="M91" s="1" t="s">
        <v>38</v>
      </c>
      <c r="N91" s="1" t="s">
        <v>75</v>
      </c>
      <c r="O91" s="1" t="s">
        <v>69</v>
      </c>
      <c r="P91" s="1" t="s">
        <v>69</v>
      </c>
      <c r="Q91" s="12">
        <v>46006.8625</v>
      </c>
      <c r="R91" s="1" t="s">
        <v>1461</v>
      </c>
      <c r="S91" s="1" t="s">
        <v>1462</v>
      </c>
    </row>
    <row r="92" ht="69.0" customHeight="1">
      <c r="A92" s="1">
        <v>4.408342400013E12</v>
      </c>
      <c r="B92" s="2" t="s">
        <v>1464</v>
      </c>
      <c r="C92" s="1" t="s">
        <v>1327</v>
      </c>
      <c r="D92" s="1" t="s">
        <v>34</v>
      </c>
      <c r="E92" s="1" t="b">
        <v>0</v>
      </c>
      <c r="F92" s="1" t="s">
        <v>956</v>
      </c>
      <c r="G92" s="1" t="str">
        <f t="array" ref="G92">XLOOKUP(A:A,'CategoriasSeções'!A:A,'CategoriasSeções'!B:B)</f>
        <v>Dúvidas Gerais</v>
      </c>
      <c r="H92" s="1" t="s">
        <v>1449</v>
      </c>
      <c r="I92" s="3">
        <v>44440.58125</v>
      </c>
      <c r="J92" s="3">
        <v>45526.55972222222</v>
      </c>
      <c r="K92" s="1" t="s">
        <v>1465</v>
      </c>
      <c r="L92" s="1" t="s">
        <v>1465</v>
      </c>
      <c r="M92" s="1" t="s">
        <v>38</v>
      </c>
      <c r="N92" s="1" t="s">
        <v>75</v>
      </c>
      <c r="O92" s="1" t="s">
        <v>69</v>
      </c>
      <c r="P92" s="1" t="s">
        <v>69</v>
      </c>
      <c r="Q92" s="3">
        <v>45411.85</v>
      </c>
      <c r="R92" s="1" t="s">
        <v>1466</v>
      </c>
      <c r="S92" s="1" t="s">
        <v>1467</v>
      </c>
    </row>
    <row r="93" ht="69.0" customHeight="1">
      <c r="A93" s="1">
        <v>4.402863718029E12</v>
      </c>
      <c r="B93" s="2" t="s">
        <v>1469</v>
      </c>
      <c r="C93" s="1" t="s">
        <v>1327</v>
      </c>
      <c r="D93" s="1" t="s">
        <v>34</v>
      </c>
      <c r="E93" s="1" t="b">
        <v>0</v>
      </c>
      <c r="F93" s="1" t="s">
        <v>956</v>
      </c>
      <c r="G93" s="1" t="str">
        <f t="array" ref="G93">XLOOKUP(A:A,'CategoriasSeções'!A:A,'CategoriasSeções'!B:B)</f>
        <v>RECLAMAÇÃO</v>
      </c>
      <c r="H93" s="1" t="s">
        <v>1470</v>
      </c>
      <c r="I93" s="3">
        <v>44358.71666666667</v>
      </c>
      <c r="J93" s="3">
        <v>45526.611805555556</v>
      </c>
      <c r="K93" s="1" t="s">
        <v>1471</v>
      </c>
      <c r="L93" s="1" t="s">
        <v>1471</v>
      </c>
      <c r="M93" s="1" t="s">
        <v>38</v>
      </c>
      <c r="N93" s="1" t="s">
        <v>75</v>
      </c>
      <c r="O93" s="1" t="s">
        <v>69</v>
      </c>
      <c r="P93" s="1" t="s">
        <v>69</v>
      </c>
      <c r="Q93" s="3">
        <v>44358.71666666667</v>
      </c>
      <c r="R93" s="1" t="s">
        <v>1472</v>
      </c>
      <c r="S93" s="1" t="s">
        <v>1473</v>
      </c>
    </row>
    <row r="94" ht="69.0" customHeight="1">
      <c r="A94" s="1">
        <v>3.60058846591E11</v>
      </c>
      <c r="B94" s="2" t="s">
        <v>1475</v>
      </c>
      <c r="C94" s="1" t="s">
        <v>1327</v>
      </c>
      <c r="D94" s="1" t="s">
        <v>34</v>
      </c>
      <c r="E94" s="1" t="b">
        <v>0</v>
      </c>
      <c r="F94" s="1" t="s">
        <v>956</v>
      </c>
      <c r="G94" s="1" t="str">
        <f t="array" ref="G94">XLOOKUP(A:A,'CategoriasSeções'!A:A,'CategoriasSeções'!B:B)</f>
        <v>BETA</v>
      </c>
      <c r="H94" s="1" t="s">
        <v>1476</v>
      </c>
      <c r="I94" s="3">
        <v>44277.84861111111</v>
      </c>
      <c r="J94" s="3">
        <v>45231.56527777778</v>
      </c>
      <c r="K94" s="1" t="s">
        <v>1477</v>
      </c>
      <c r="L94" s="1" t="s">
        <v>1477</v>
      </c>
      <c r="M94" s="1" t="s">
        <v>38</v>
      </c>
      <c r="N94" s="1" t="s">
        <v>75</v>
      </c>
      <c r="O94" s="1" t="s">
        <v>39</v>
      </c>
      <c r="P94" s="1" t="s">
        <v>39</v>
      </c>
      <c r="Q94" s="3">
        <v>44277.85277777778</v>
      </c>
      <c r="R94" s="1" t="s">
        <v>55</v>
      </c>
      <c r="S94" s="1" t="s">
        <v>1478</v>
      </c>
    </row>
    <row r="95" ht="69.0" customHeight="1">
      <c r="A95" s="1">
        <v>3.60058171672E11</v>
      </c>
      <c r="B95" s="2" t="s">
        <v>1480</v>
      </c>
      <c r="C95" s="1" t="s">
        <v>1327</v>
      </c>
      <c r="D95" s="1" t="s">
        <v>34</v>
      </c>
      <c r="E95" s="1" t="b">
        <v>0</v>
      </c>
      <c r="F95" s="1" t="s">
        <v>956</v>
      </c>
      <c r="G95" s="1" t="str">
        <f t="array" ref="G95">XLOOKUP(A:A,'CategoriasSeções'!A:A,'CategoriasSeções'!B:B)</f>
        <v>Dúvidas Gerais</v>
      </c>
      <c r="H95" s="1" t="s">
        <v>1449</v>
      </c>
      <c r="I95" s="3">
        <v>44272.59583333333</v>
      </c>
      <c r="J95" s="3">
        <v>46195.90555555555</v>
      </c>
      <c r="K95" s="1" t="s">
        <v>1481</v>
      </c>
      <c r="L95" s="1" t="s">
        <v>1481</v>
      </c>
      <c r="M95" s="1" t="s">
        <v>38</v>
      </c>
      <c r="N95" s="1" t="s">
        <v>75</v>
      </c>
      <c r="O95" s="1" t="s">
        <v>69</v>
      </c>
      <c r="P95" s="1" t="s">
        <v>69</v>
      </c>
      <c r="Q95" s="3">
        <v>44435.78125</v>
      </c>
      <c r="R95" s="1" t="s">
        <v>1482</v>
      </c>
      <c r="S95" s="1" t="s">
        <v>1483</v>
      </c>
    </row>
    <row r="96" ht="69.0" customHeight="1">
      <c r="A96" s="1">
        <v>3.60053838232E11</v>
      </c>
      <c r="B96" s="2" t="s">
        <v>1485</v>
      </c>
      <c r="C96" s="1" t="s">
        <v>1327</v>
      </c>
      <c r="D96" s="1" t="s">
        <v>34</v>
      </c>
      <c r="E96" s="1" t="b">
        <v>0</v>
      </c>
      <c r="F96" s="1" t="s">
        <v>956</v>
      </c>
      <c r="G96" s="1" t="str">
        <f t="array" ref="G96">XLOOKUP(A:A,'CategoriasSeções'!A:A,'CategoriasSeções'!B:B)</f>
        <v>IMPORTAÇÃO</v>
      </c>
      <c r="H96" s="1" t="s">
        <v>129</v>
      </c>
      <c r="I96" s="12">
        <v>44180.45208333333</v>
      </c>
      <c r="J96" s="3">
        <v>45526.42152777778</v>
      </c>
      <c r="K96" s="1" t="s">
        <v>1486</v>
      </c>
      <c r="L96" s="1" t="s">
        <v>1486</v>
      </c>
      <c r="M96" s="1" t="s">
        <v>38</v>
      </c>
      <c r="N96" s="1" t="s">
        <v>75</v>
      </c>
      <c r="O96" s="1" t="s">
        <v>69</v>
      </c>
      <c r="P96" s="1" t="s">
        <v>69</v>
      </c>
      <c r="Q96" s="12">
        <v>44180.51458333333</v>
      </c>
      <c r="R96" s="1" t="s">
        <v>1487</v>
      </c>
      <c r="S96" s="1" t="s">
        <v>1488</v>
      </c>
    </row>
    <row r="97" ht="69.0" customHeight="1">
      <c r="A97" s="1">
        <v>3.60053571571E11</v>
      </c>
      <c r="B97" s="2" t="s">
        <v>1490</v>
      </c>
      <c r="C97" s="1" t="s">
        <v>1327</v>
      </c>
      <c r="D97" s="1" t="s">
        <v>34</v>
      </c>
      <c r="E97" s="1" t="b">
        <v>0</v>
      </c>
      <c r="F97" s="1" t="s">
        <v>956</v>
      </c>
      <c r="G97" s="1" t="str">
        <f t="array" ref="G97">XLOOKUP(A:A,'CategoriasSeções'!A:A,'CategoriasSeções'!B:B)</f>
        <v>IMPORTAÇÃO</v>
      </c>
      <c r="H97" s="1" t="s">
        <v>129</v>
      </c>
      <c r="I97" s="12">
        <v>44175.125</v>
      </c>
      <c r="J97" s="3">
        <v>45526.45486111111</v>
      </c>
      <c r="K97" s="1" t="s">
        <v>1491</v>
      </c>
      <c r="L97" s="1" t="s">
        <v>1491</v>
      </c>
      <c r="M97" s="1" t="s">
        <v>38</v>
      </c>
      <c r="N97" s="1" t="s">
        <v>75</v>
      </c>
      <c r="O97" s="1" t="s">
        <v>69</v>
      </c>
      <c r="P97" s="1" t="s">
        <v>69</v>
      </c>
      <c r="Q97" s="12">
        <v>44175.60902777778</v>
      </c>
      <c r="R97" s="1" t="s">
        <v>1492</v>
      </c>
      <c r="S97" s="1" t="s">
        <v>1493</v>
      </c>
    </row>
    <row r="98" ht="69.0" customHeight="1">
      <c r="A98" s="1">
        <v>3.60052831411E11</v>
      </c>
      <c r="B98" s="2" t="s">
        <v>1495</v>
      </c>
      <c r="C98" s="1" t="s">
        <v>1496</v>
      </c>
      <c r="D98" s="1" t="s">
        <v>34</v>
      </c>
      <c r="E98" s="1" t="b">
        <v>0</v>
      </c>
      <c r="F98" s="1" t="s">
        <v>956</v>
      </c>
      <c r="G98" s="1" t="str">
        <f t="array" ref="G98">XLOOKUP(A:A,'CategoriasSeções'!A:A,'CategoriasSeções'!B:B)</f>
        <v>IMPORTAÇÃO</v>
      </c>
      <c r="H98" s="1" t="s">
        <v>129</v>
      </c>
      <c r="I98" s="12">
        <v>44155.799305555556</v>
      </c>
      <c r="J98" s="3">
        <v>45231.56527777778</v>
      </c>
      <c r="K98" s="1" t="s">
        <v>1497</v>
      </c>
      <c r="L98" s="1" t="s">
        <v>1497</v>
      </c>
      <c r="M98" s="1" t="s">
        <v>38</v>
      </c>
      <c r="N98" s="1" t="s">
        <v>75</v>
      </c>
      <c r="O98" s="1" t="s">
        <v>39</v>
      </c>
      <c r="P98" s="1" t="s">
        <v>39</v>
      </c>
      <c r="Q98" s="12">
        <v>44162.74791666667</v>
      </c>
      <c r="R98" s="1" t="s">
        <v>55</v>
      </c>
      <c r="S98" s="1" t="s">
        <v>1498</v>
      </c>
    </row>
    <row r="99" ht="69.0" customHeight="1">
      <c r="A99" s="1">
        <v>3.60050016032E11</v>
      </c>
      <c r="B99" s="2" t="s">
        <v>1500</v>
      </c>
      <c r="C99" s="1" t="s">
        <v>1327</v>
      </c>
      <c r="D99" s="1" t="s">
        <v>34</v>
      </c>
      <c r="E99" s="1" t="b">
        <v>0</v>
      </c>
      <c r="F99" s="1" t="s">
        <v>956</v>
      </c>
      <c r="G99" s="1" t="str">
        <f t="array" ref="G99">XLOOKUP(A:A,'CategoriasSeções'!A:A,'CategoriasSeções'!B:B)</f>
        <v>BETA</v>
      </c>
      <c r="H99" s="1" t="s">
        <v>1501</v>
      </c>
      <c r="I99" s="3">
        <v>44106.09861111111</v>
      </c>
      <c r="J99" s="3">
        <v>45231.56527777778</v>
      </c>
      <c r="K99" s="1" t="s">
        <v>1502</v>
      </c>
      <c r="L99" s="1" t="s">
        <v>1502</v>
      </c>
      <c r="M99" s="1" t="s">
        <v>38</v>
      </c>
      <c r="N99" s="1" t="s">
        <v>75</v>
      </c>
      <c r="O99" s="1" t="s">
        <v>39</v>
      </c>
      <c r="P99" s="1" t="s">
        <v>39</v>
      </c>
      <c r="Q99" s="3">
        <v>44277.84583333333</v>
      </c>
      <c r="R99" s="1" t="s">
        <v>55</v>
      </c>
      <c r="S99" s="1" t="s">
        <v>1503</v>
      </c>
    </row>
    <row r="100" ht="69.0" customHeight="1">
      <c r="A100" s="1">
        <v>3.60043898131E11</v>
      </c>
      <c r="B100" s="2" t="s">
        <v>1505</v>
      </c>
      <c r="C100" s="1" t="s">
        <v>1327</v>
      </c>
      <c r="D100" s="1" t="s">
        <v>34</v>
      </c>
      <c r="E100" s="1" t="b">
        <v>0</v>
      </c>
      <c r="F100" s="1" t="s">
        <v>956</v>
      </c>
      <c r="G100" s="1" t="str">
        <f t="array" ref="G100">XLOOKUP(A:A,'CategoriasSeções'!A:A,'CategoriasSeções'!B:B)</f>
        <v>BETA</v>
      </c>
      <c r="H100" s="1" t="s">
        <v>1476</v>
      </c>
      <c r="I100" s="3">
        <v>43971.64097222222</v>
      </c>
      <c r="J100" s="3">
        <v>45526.620833333334</v>
      </c>
      <c r="K100" s="1" t="s">
        <v>1506</v>
      </c>
      <c r="L100" s="1" t="s">
        <v>1506</v>
      </c>
      <c r="M100" s="1" t="s">
        <v>38</v>
      </c>
      <c r="N100" s="1" t="s">
        <v>75</v>
      </c>
      <c r="O100" s="1" t="s">
        <v>39</v>
      </c>
      <c r="P100" s="1" t="s">
        <v>39</v>
      </c>
      <c r="Q100" s="3">
        <v>43971.73055555556</v>
      </c>
      <c r="R100" s="1" t="s">
        <v>1507</v>
      </c>
      <c r="S100" s="1" t="s">
        <v>1508</v>
      </c>
    </row>
    <row r="101" ht="69.0" customHeight="1">
      <c r="A101" s="1">
        <v>3.60040428672E11</v>
      </c>
      <c r="B101" s="2" t="s">
        <v>1510</v>
      </c>
      <c r="C101" s="1" t="s">
        <v>1327</v>
      </c>
      <c r="D101" s="1" t="s">
        <v>34</v>
      </c>
      <c r="E101" s="1" t="b">
        <v>0</v>
      </c>
      <c r="F101" s="1" t="s">
        <v>956</v>
      </c>
      <c r="G101" s="1" t="str">
        <f t="array" ref="G101">XLOOKUP(A:A,'CategoriasSeções'!A:A,'CategoriasSeções'!B:B)</f>
        <v>Agendamentos</v>
      </c>
      <c r="H101" s="1" t="s">
        <v>85</v>
      </c>
      <c r="I101" s="3">
        <v>43901.86666666667</v>
      </c>
      <c r="J101" s="3">
        <v>45526.42152777778</v>
      </c>
      <c r="K101" s="1" t="s">
        <v>1511</v>
      </c>
      <c r="L101" s="1" t="s">
        <v>1511</v>
      </c>
      <c r="M101" s="1" t="s">
        <v>38</v>
      </c>
      <c r="N101" s="1" t="s">
        <v>75</v>
      </c>
      <c r="O101" s="1" t="s">
        <v>69</v>
      </c>
      <c r="P101" s="1" t="s">
        <v>69</v>
      </c>
      <c r="Q101" s="3">
        <v>44433.8</v>
      </c>
      <c r="R101" s="1" t="s">
        <v>1512</v>
      </c>
      <c r="S101" s="1" t="s">
        <v>1513</v>
      </c>
    </row>
    <row r="102" ht="69.0" customHeight="1">
      <c r="A102" s="1">
        <v>3.60040410632E11</v>
      </c>
      <c r="B102" s="2" t="s">
        <v>1515</v>
      </c>
      <c r="C102" s="1" t="s">
        <v>1327</v>
      </c>
      <c r="D102" s="1" t="s">
        <v>34</v>
      </c>
      <c r="E102" s="1" t="b">
        <v>0</v>
      </c>
      <c r="F102" s="1" t="s">
        <v>956</v>
      </c>
      <c r="G102" s="1" t="str">
        <f t="array" ref="G102">XLOOKUP(A:A,'CategoriasSeções'!A:A,'CategoriasSeções'!B:B)</f>
        <v>Agendamentos</v>
      </c>
      <c r="H102" s="1" t="s">
        <v>85</v>
      </c>
      <c r="I102" s="3">
        <v>43901.618055555555</v>
      </c>
      <c r="J102" s="3">
        <v>45712.80763888889</v>
      </c>
      <c r="K102" s="1" t="s">
        <v>1516</v>
      </c>
      <c r="L102" s="1" t="s">
        <v>1516</v>
      </c>
      <c r="M102" s="1" t="s">
        <v>38</v>
      </c>
      <c r="N102" s="1" t="s">
        <v>39</v>
      </c>
      <c r="O102" s="1" t="s">
        <v>69</v>
      </c>
      <c r="P102" s="1" t="s">
        <v>69</v>
      </c>
      <c r="Q102" s="3">
        <v>45712.80763888889</v>
      </c>
      <c r="R102" s="1" t="s">
        <v>1517</v>
      </c>
      <c r="S102" s="1" t="s">
        <v>1518</v>
      </c>
    </row>
    <row r="103" ht="69.0" customHeight="1">
      <c r="A103" s="1">
        <v>3.60040840231E11</v>
      </c>
      <c r="B103" s="2" t="s">
        <v>1520</v>
      </c>
      <c r="C103" s="1" t="s">
        <v>1327</v>
      </c>
      <c r="D103" s="1" t="s">
        <v>34</v>
      </c>
      <c r="E103" s="1" t="b">
        <v>0</v>
      </c>
      <c r="F103" s="1" t="s">
        <v>956</v>
      </c>
      <c r="G103" s="1" t="str">
        <f t="array" ref="G103">XLOOKUP(A:A,'CategoriasSeções'!A:A,'CategoriasSeções'!B:B)</f>
        <v>Agendamentos</v>
      </c>
      <c r="H103" s="1" t="s">
        <v>85</v>
      </c>
      <c r="I103" s="3">
        <v>43901.60486111111</v>
      </c>
      <c r="J103" s="3">
        <v>45712.81458333333</v>
      </c>
      <c r="K103" s="1" t="s">
        <v>1521</v>
      </c>
      <c r="L103" s="1" t="s">
        <v>1521</v>
      </c>
      <c r="M103" s="1" t="s">
        <v>38</v>
      </c>
      <c r="N103" s="1" t="s">
        <v>75</v>
      </c>
      <c r="O103" s="1" t="s">
        <v>69</v>
      </c>
      <c r="P103" s="1" t="s">
        <v>69</v>
      </c>
      <c r="Q103" s="3">
        <v>45712.81458333333</v>
      </c>
      <c r="R103" s="1" t="s">
        <v>1522</v>
      </c>
      <c r="S103" s="1" t="s">
        <v>1523</v>
      </c>
    </row>
    <row r="104" ht="69.0" customHeight="1">
      <c r="A104" s="1">
        <v>3.60040837671E11</v>
      </c>
      <c r="B104" s="2" t="s">
        <v>1525</v>
      </c>
      <c r="C104" s="1" t="s">
        <v>1327</v>
      </c>
      <c r="D104" s="1" t="s">
        <v>34</v>
      </c>
      <c r="E104" s="1" t="b">
        <v>0</v>
      </c>
      <c r="F104" s="1" t="s">
        <v>956</v>
      </c>
      <c r="G104" s="1" t="str">
        <f t="array" ref="G104">XLOOKUP(A:A,'CategoriasSeções'!A:A,'CategoriasSeções'!B:B)</f>
        <v>Agendamentos</v>
      </c>
      <c r="H104" s="1" t="s">
        <v>85</v>
      </c>
      <c r="I104" s="3">
        <v>43901.56041666667</v>
      </c>
      <c r="J104" s="3">
        <v>45526.603472222225</v>
      </c>
      <c r="K104" s="1" t="s">
        <v>1526</v>
      </c>
      <c r="L104" s="1" t="s">
        <v>1526</v>
      </c>
      <c r="M104" s="1" t="s">
        <v>38</v>
      </c>
      <c r="N104" s="1" t="s">
        <v>75</v>
      </c>
      <c r="O104" s="1" t="s">
        <v>69</v>
      </c>
      <c r="P104" s="1" t="s">
        <v>69</v>
      </c>
      <c r="Q104" s="3">
        <v>44438.86319444444</v>
      </c>
      <c r="R104" s="1" t="s">
        <v>1527</v>
      </c>
      <c r="S104" s="1" t="s">
        <v>1528</v>
      </c>
    </row>
    <row r="105" ht="69.0" customHeight="1">
      <c r="A105" s="1">
        <v>3.60040097051E11</v>
      </c>
      <c r="B105" s="2" t="s">
        <v>1530</v>
      </c>
      <c r="C105" s="1" t="s">
        <v>1327</v>
      </c>
      <c r="D105" s="1" t="s">
        <v>34</v>
      </c>
      <c r="E105" s="1" t="b">
        <v>0</v>
      </c>
      <c r="F105" s="1" t="s">
        <v>956</v>
      </c>
      <c r="G105" s="1" t="str">
        <f t="array" ref="G105">XLOOKUP(A:A,'CategoriasSeções'!A:A,'CategoriasSeções'!B:B)</f>
        <v>Dúvidas Gerais</v>
      </c>
      <c r="H105" s="1" t="s">
        <v>1449</v>
      </c>
      <c r="I105" s="3">
        <v>43883.584027777775</v>
      </c>
      <c r="J105" s="3">
        <v>45526.51388888889</v>
      </c>
      <c r="K105" s="1" t="s">
        <v>1531</v>
      </c>
      <c r="L105" s="1" t="s">
        <v>1531</v>
      </c>
      <c r="M105" s="1" t="s">
        <v>38</v>
      </c>
      <c r="N105" s="1" t="s">
        <v>75</v>
      </c>
      <c r="O105" s="1" t="s">
        <v>69</v>
      </c>
      <c r="P105" s="1" t="s">
        <v>69</v>
      </c>
      <c r="Q105" s="3">
        <v>44643.72361111111</v>
      </c>
      <c r="R105" s="1" t="s">
        <v>1532</v>
      </c>
      <c r="S105" s="1" t="s">
        <v>1533</v>
      </c>
    </row>
    <row r="106" ht="69.0" customHeight="1">
      <c r="A106" s="1">
        <v>3.60039870291E11</v>
      </c>
      <c r="B106" s="2" t="s">
        <v>1535</v>
      </c>
      <c r="C106" s="1" t="s">
        <v>1327</v>
      </c>
      <c r="D106" s="1" t="s">
        <v>34</v>
      </c>
      <c r="E106" s="1" t="b">
        <v>0</v>
      </c>
      <c r="F106" s="1" t="s">
        <v>956</v>
      </c>
      <c r="G106" s="1" t="str">
        <f t="array" ref="G106">XLOOKUP(A:A,'CategoriasSeções'!A:A,'CategoriasSeções'!B:B)</f>
        <v>IMPORTAÇÃO</v>
      </c>
      <c r="H106" s="1" t="s">
        <v>129</v>
      </c>
      <c r="I106" s="3">
        <v>43876.646527777775</v>
      </c>
      <c r="J106" s="3">
        <v>45526.52222222222</v>
      </c>
      <c r="K106" s="1" t="s">
        <v>1536</v>
      </c>
      <c r="L106" s="1" t="s">
        <v>1536</v>
      </c>
      <c r="M106" s="1" t="s">
        <v>38</v>
      </c>
      <c r="N106" s="1" t="s">
        <v>75</v>
      </c>
      <c r="O106" s="1" t="s">
        <v>69</v>
      </c>
      <c r="P106" s="1" t="s">
        <v>69</v>
      </c>
      <c r="Q106" s="3">
        <v>44099.53958333333</v>
      </c>
      <c r="R106" s="1" t="s">
        <v>1537</v>
      </c>
      <c r="S106" s="1" t="s">
        <v>1538</v>
      </c>
    </row>
    <row r="107" ht="69.0" customHeight="1">
      <c r="A107" s="1">
        <v>3.60039467172E11</v>
      </c>
      <c r="B107" s="2" t="s">
        <v>1540</v>
      </c>
      <c r="C107" s="1" t="s">
        <v>1327</v>
      </c>
      <c r="D107" s="1" t="s">
        <v>34</v>
      </c>
      <c r="E107" s="1" t="b">
        <v>0</v>
      </c>
      <c r="F107" s="1" t="s">
        <v>956</v>
      </c>
      <c r="G107" s="1" t="str">
        <f t="array" ref="G107">XLOOKUP(A:A,'CategoriasSeções'!A:A,'CategoriasSeções'!B:B)</f>
        <v>EXPORTAÇÃO - CABOTAGEM</v>
      </c>
      <c r="H107" s="1" t="s">
        <v>1062</v>
      </c>
      <c r="I107" s="3">
        <v>43876.629166666666</v>
      </c>
      <c r="J107" s="3">
        <v>45526.35555555556</v>
      </c>
      <c r="K107" s="1" t="s">
        <v>1541</v>
      </c>
      <c r="L107" s="1" t="s">
        <v>1541</v>
      </c>
      <c r="M107" s="1" t="s">
        <v>38</v>
      </c>
      <c r="N107" s="1" t="s">
        <v>75</v>
      </c>
      <c r="O107" s="1" t="s">
        <v>69</v>
      </c>
      <c r="P107" s="1" t="s">
        <v>69</v>
      </c>
      <c r="Q107" s="12">
        <v>44123.811111111114</v>
      </c>
      <c r="R107" s="1" t="s">
        <v>55</v>
      </c>
      <c r="S107" s="1" t="s">
        <v>1542</v>
      </c>
    </row>
    <row r="108" ht="69.0" customHeight="1">
      <c r="A108" s="1">
        <v>3.60039870111E11</v>
      </c>
      <c r="B108" s="2" t="s">
        <v>1544</v>
      </c>
      <c r="C108" s="1" t="s">
        <v>1545</v>
      </c>
      <c r="D108" s="1" t="s">
        <v>34</v>
      </c>
      <c r="E108" s="1" t="b">
        <v>0</v>
      </c>
      <c r="F108" s="1" t="s">
        <v>956</v>
      </c>
      <c r="G108" s="1" t="str">
        <f t="array" ref="G108">XLOOKUP(A:A,'CategoriasSeções'!A:A,'CategoriasSeções'!B:B)</f>
        <v>EXPORTAÇÃO - CABOTAGEM</v>
      </c>
      <c r="H108" s="1" t="s">
        <v>1062</v>
      </c>
      <c r="I108" s="3">
        <v>43876.58472222222</v>
      </c>
      <c r="J108" s="3">
        <v>45526.603472222225</v>
      </c>
      <c r="K108" s="1" t="s">
        <v>1546</v>
      </c>
      <c r="L108" s="1" t="s">
        <v>1546</v>
      </c>
      <c r="M108" s="1" t="s">
        <v>38</v>
      </c>
      <c r="N108" s="1" t="s">
        <v>75</v>
      </c>
      <c r="O108" s="1" t="s">
        <v>69</v>
      </c>
      <c r="P108" s="1" t="s">
        <v>69</v>
      </c>
      <c r="Q108" s="12">
        <v>44551.85972222222</v>
      </c>
      <c r="R108" s="1" t="s">
        <v>1547</v>
      </c>
      <c r="S108" s="1" t="s">
        <v>1548</v>
      </c>
    </row>
    <row r="109" ht="69.0" customHeight="1">
      <c r="A109" s="1">
        <v>3.60039866151E11</v>
      </c>
      <c r="B109" s="2" t="s">
        <v>1550</v>
      </c>
      <c r="C109" s="1" t="s">
        <v>1327</v>
      </c>
      <c r="D109" s="1" t="s">
        <v>34</v>
      </c>
      <c r="E109" s="1" t="b">
        <v>0</v>
      </c>
      <c r="F109" s="1" t="s">
        <v>956</v>
      </c>
      <c r="G109" s="1" t="str">
        <f t="array" ref="G109">XLOOKUP(A:A,'CategoriasSeções'!A:A,'CategoriasSeções'!B:B)</f>
        <v>IMPORTAÇÃO</v>
      </c>
      <c r="H109" s="1" t="s">
        <v>129</v>
      </c>
      <c r="I109" s="3">
        <v>43875.97152777778</v>
      </c>
      <c r="J109" s="3">
        <v>45526.45486111111</v>
      </c>
      <c r="K109" s="1" t="s">
        <v>1551</v>
      </c>
      <c r="L109" s="1" t="s">
        <v>1551</v>
      </c>
      <c r="M109" s="1" t="s">
        <v>38</v>
      </c>
      <c r="N109" s="1" t="s">
        <v>75</v>
      </c>
      <c r="O109" s="1" t="s">
        <v>69</v>
      </c>
      <c r="P109" s="1" t="s">
        <v>69</v>
      </c>
      <c r="Q109" s="3">
        <v>45384.87291666667</v>
      </c>
      <c r="R109" s="1" t="s">
        <v>1552</v>
      </c>
      <c r="S109" s="1" t="s">
        <v>1553</v>
      </c>
    </row>
    <row r="110" ht="69.0" customHeight="1">
      <c r="A110" s="1">
        <v>3.60039125992E11</v>
      </c>
      <c r="B110" s="2" t="s">
        <v>1555</v>
      </c>
      <c r="C110" s="1" t="s">
        <v>1327</v>
      </c>
      <c r="D110" s="1" t="s">
        <v>34</v>
      </c>
      <c r="E110" s="1" t="b">
        <v>0</v>
      </c>
      <c r="F110" s="1" t="s">
        <v>956</v>
      </c>
      <c r="G110" s="1" t="str">
        <f t="array" ref="G110">XLOOKUP(A:A,'CategoriasSeções'!A:A,'CategoriasSeções'!B:B)</f>
        <v>Dúvidas Gerais</v>
      </c>
      <c r="H110" s="1" t="s">
        <v>1449</v>
      </c>
      <c r="I110" s="3">
        <v>43866.59305555555</v>
      </c>
      <c r="J110" s="3">
        <v>45526.603472222225</v>
      </c>
      <c r="K110" s="1" t="s">
        <v>1556</v>
      </c>
      <c r="L110" s="1" t="s">
        <v>1556</v>
      </c>
      <c r="M110" s="1" t="s">
        <v>38</v>
      </c>
      <c r="N110" s="1" t="s">
        <v>75</v>
      </c>
      <c r="O110" s="1" t="s">
        <v>69</v>
      </c>
      <c r="P110" s="1" t="s">
        <v>69</v>
      </c>
      <c r="Q110" s="3">
        <v>45196.87152777778</v>
      </c>
      <c r="R110" s="1" t="s">
        <v>1557</v>
      </c>
      <c r="S110" s="1" t="s">
        <v>1558</v>
      </c>
    </row>
    <row r="111" ht="69.0" customHeight="1">
      <c r="A111" s="1">
        <v>3.60039250551E11</v>
      </c>
      <c r="B111" s="2" t="s">
        <v>1560</v>
      </c>
      <c r="C111" s="1" t="s">
        <v>1327</v>
      </c>
      <c r="D111" s="1" t="s">
        <v>34</v>
      </c>
      <c r="E111" s="1" t="b">
        <v>0</v>
      </c>
      <c r="F111" s="1" t="s">
        <v>956</v>
      </c>
      <c r="G111" s="1" t="str">
        <f t="array" ref="G111">XLOOKUP(A:A,'CategoriasSeções'!A:A,'CategoriasSeções'!B:B)</f>
        <v>Dúvidas Gerais</v>
      </c>
      <c r="H111" s="1" t="s">
        <v>1449</v>
      </c>
      <c r="I111" s="3">
        <v>43857.80416666667</v>
      </c>
      <c r="J111" s="3">
        <v>45526.35555555556</v>
      </c>
      <c r="K111" s="1" t="s">
        <v>1561</v>
      </c>
      <c r="L111" s="1" t="s">
        <v>1561</v>
      </c>
      <c r="M111" s="1" t="s">
        <v>38</v>
      </c>
      <c r="N111" s="1" t="s">
        <v>75</v>
      </c>
      <c r="O111" s="1" t="s">
        <v>69</v>
      </c>
      <c r="P111" s="1" t="s">
        <v>69</v>
      </c>
      <c r="Q111" s="3">
        <v>44084.62777777778</v>
      </c>
      <c r="R111" s="1" t="s">
        <v>1562</v>
      </c>
      <c r="S111" s="1" t="s">
        <v>1563</v>
      </c>
    </row>
    <row r="112" ht="69.0" customHeight="1">
      <c r="A112" s="1">
        <v>3.60038852332E11</v>
      </c>
      <c r="B112" s="2" t="s">
        <v>1565</v>
      </c>
      <c r="C112" s="1" t="s">
        <v>1327</v>
      </c>
      <c r="D112" s="1" t="s">
        <v>34</v>
      </c>
      <c r="E112" s="1" t="b">
        <v>0</v>
      </c>
      <c r="F112" s="1" t="s">
        <v>956</v>
      </c>
      <c r="G112" s="1" t="str">
        <f t="array" ref="G112">XLOOKUP(A:A,'CategoriasSeções'!A:A,'CategoriasSeções'!B:B)</f>
        <v>Dúvidas Gerais</v>
      </c>
      <c r="H112" s="1" t="s">
        <v>1449</v>
      </c>
      <c r="I112" s="3">
        <v>43857.76736111111</v>
      </c>
      <c r="J112" s="3">
        <v>45526.57638888889</v>
      </c>
      <c r="K112" s="1" t="s">
        <v>1566</v>
      </c>
      <c r="L112" s="1" t="s">
        <v>1566</v>
      </c>
      <c r="M112" s="1" t="s">
        <v>38</v>
      </c>
      <c r="N112" s="1" t="s">
        <v>75</v>
      </c>
      <c r="O112" s="1" t="s">
        <v>69</v>
      </c>
      <c r="P112" s="1" t="s">
        <v>69</v>
      </c>
      <c r="Q112" s="3">
        <v>45492.80486111111</v>
      </c>
      <c r="R112" s="1" t="s">
        <v>1567</v>
      </c>
      <c r="S112" s="1" t="s">
        <v>1568</v>
      </c>
    </row>
    <row r="113" ht="69.0" customHeight="1">
      <c r="A113" s="1">
        <v>3.60039244611E11</v>
      </c>
      <c r="B113" s="2" t="s">
        <v>1570</v>
      </c>
      <c r="C113" s="1" t="s">
        <v>1327</v>
      </c>
      <c r="D113" s="1" t="s">
        <v>34</v>
      </c>
      <c r="E113" s="1" t="b">
        <v>0</v>
      </c>
      <c r="F113" s="1" t="s">
        <v>956</v>
      </c>
      <c r="G113" s="1" t="str">
        <f t="array" ref="G113">XLOOKUP(A:A,'CategoriasSeções'!A:A,'CategoriasSeções'!B:B)</f>
        <v>EXPORTAÇÃO - CABOTAGEM</v>
      </c>
      <c r="H113" s="1" t="s">
        <v>1062</v>
      </c>
      <c r="I113" s="3">
        <v>43857.72222222222</v>
      </c>
      <c r="J113" s="3">
        <v>44455.759722222225</v>
      </c>
      <c r="K113" s="1" t="s">
        <v>1571</v>
      </c>
      <c r="L113" s="1" t="s">
        <v>1571</v>
      </c>
      <c r="M113" s="1" t="s">
        <v>38</v>
      </c>
      <c r="N113" s="1" t="s">
        <v>75</v>
      </c>
      <c r="O113" s="1" t="s">
        <v>69</v>
      </c>
      <c r="P113" s="1" t="s">
        <v>69</v>
      </c>
      <c r="Q113" s="3">
        <v>44455.759722222225</v>
      </c>
      <c r="R113" s="1" t="s">
        <v>1572</v>
      </c>
      <c r="S113" s="1" t="s">
        <v>1573</v>
      </c>
    </row>
    <row r="114" ht="69.0" customHeight="1">
      <c r="A114" s="1">
        <v>3.60038845112E11</v>
      </c>
      <c r="B114" s="2" t="s">
        <v>1575</v>
      </c>
      <c r="C114" s="1" t="s">
        <v>1327</v>
      </c>
      <c r="D114" s="1" t="s">
        <v>34</v>
      </c>
      <c r="E114" s="1" t="b">
        <v>0</v>
      </c>
      <c r="F114" s="1" t="s">
        <v>956</v>
      </c>
      <c r="G114" s="1" t="str">
        <f t="array" ref="G114">XLOOKUP(A:A,'CategoriasSeções'!A:A,'CategoriasSeções'!B:B)</f>
        <v>EXPORTAÇÃO - CABOTAGEM</v>
      </c>
      <c r="H114" s="1" t="s">
        <v>1062</v>
      </c>
      <c r="I114" s="3">
        <v>43857.629166666666</v>
      </c>
      <c r="J114" s="3">
        <v>45526.51388888889</v>
      </c>
      <c r="K114" s="1" t="s">
        <v>1576</v>
      </c>
      <c r="L114" s="1" t="s">
        <v>1576</v>
      </c>
      <c r="M114" s="1" t="s">
        <v>38</v>
      </c>
      <c r="N114" s="1" t="s">
        <v>75</v>
      </c>
      <c r="O114" s="1" t="s">
        <v>69</v>
      </c>
      <c r="P114" s="1" t="s">
        <v>69</v>
      </c>
      <c r="Q114" s="3">
        <v>44277.87291666667</v>
      </c>
      <c r="R114" s="1" t="s">
        <v>1577</v>
      </c>
      <c r="S114" s="1" t="s">
        <v>1578</v>
      </c>
    </row>
    <row r="115" ht="69.0" customHeight="1">
      <c r="A115" s="1">
        <v>3.60039238731E11</v>
      </c>
      <c r="B115" s="2" t="s">
        <v>1580</v>
      </c>
      <c r="C115" s="1" t="s">
        <v>1327</v>
      </c>
      <c r="D115" s="1" t="s">
        <v>34</v>
      </c>
      <c r="E115" s="1" t="b">
        <v>0</v>
      </c>
      <c r="F115" s="1" t="s">
        <v>956</v>
      </c>
      <c r="G115" s="1" t="str">
        <f t="array" ref="G115">XLOOKUP(A:A,'CategoriasSeções'!A:A,'CategoriasSeções'!B:B)</f>
        <v>Dúvidas Gerais</v>
      </c>
      <c r="H115" s="1" t="s">
        <v>1449</v>
      </c>
      <c r="I115" s="3">
        <v>43857.603472222225</v>
      </c>
      <c r="J115" s="3">
        <v>45526.57638888889</v>
      </c>
      <c r="K115" s="1" t="s">
        <v>1581</v>
      </c>
      <c r="L115" s="1" t="s">
        <v>1581</v>
      </c>
      <c r="M115" s="1" t="s">
        <v>38</v>
      </c>
      <c r="N115" s="1" t="s">
        <v>75</v>
      </c>
      <c r="O115" s="1" t="s">
        <v>69</v>
      </c>
      <c r="P115" s="1" t="s">
        <v>69</v>
      </c>
      <c r="Q115" s="3">
        <v>44098.65694444445</v>
      </c>
      <c r="R115" s="1" t="s">
        <v>1582</v>
      </c>
      <c r="S115" s="1" t="s">
        <v>1583</v>
      </c>
    </row>
    <row r="116" ht="69.0" customHeight="1">
      <c r="A116" s="1">
        <v>3.60039119351E11</v>
      </c>
      <c r="B116" s="2" t="s">
        <v>1585</v>
      </c>
      <c r="C116" s="1" t="s">
        <v>1327</v>
      </c>
      <c r="D116" s="1" t="s">
        <v>34</v>
      </c>
      <c r="E116" s="1" t="b">
        <v>0</v>
      </c>
      <c r="F116" s="1" t="s">
        <v>956</v>
      </c>
      <c r="G116" s="1" t="str">
        <f t="array" ref="G116">XLOOKUP(A:A,'CategoriasSeções'!A:A,'CategoriasSeções'!B:B)</f>
        <v>Dúvidas Gerais</v>
      </c>
      <c r="H116" s="1" t="s">
        <v>1449</v>
      </c>
      <c r="I116" s="3">
        <v>43853.60833333333</v>
      </c>
      <c r="J116" s="3">
        <v>45526.45486111111</v>
      </c>
      <c r="K116" s="1" t="s">
        <v>1497</v>
      </c>
      <c r="L116" s="1" t="s">
        <v>1497</v>
      </c>
      <c r="M116" s="1" t="s">
        <v>38</v>
      </c>
      <c r="N116" s="1" t="s">
        <v>75</v>
      </c>
      <c r="O116" s="1" t="s">
        <v>69</v>
      </c>
      <c r="P116" s="1" t="s">
        <v>69</v>
      </c>
      <c r="Q116" s="3">
        <v>44106.10277777778</v>
      </c>
      <c r="R116" s="1" t="s">
        <v>1586</v>
      </c>
      <c r="S116" s="1" t="s">
        <v>1587</v>
      </c>
    </row>
    <row r="117" ht="69.0" customHeight="1">
      <c r="A117" s="1">
        <v>3.60039074331E11</v>
      </c>
      <c r="B117" s="2" t="s">
        <v>1589</v>
      </c>
      <c r="C117" s="1" t="s">
        <v>1327</v>
      </c>
      <c r="D117" s="1" t="s">
        <v>34</v>
      </c>
      <c r="E117" s="1" t="b">
        <v>0</v>
      </c>
      <c r="F117" s="1" t="s">
        <v>956</v>
      </c>
      <c r="G117" s="1" t="str">
        <f t="array" ref="G117">XLOOKUP(A:A,'CategoriasSeções'!A:A,'CategoriasSeções'!B:B)</f>
        <v>IMPORTAÇÃO</v>
      </c>
      <c r="H117" s="1" t="s">
        <v>129</v>
      </c>
      <c r="I117" s="3">
        <v>43852.61111111111</v>
      </c>
      <c r="J117" s="3">
        <v>45526.46388888889</v>
      </c>
      <c r="K117" s="1" t="s">
        <v>1590</v>
      </c>
      <c r="L117" s="1" t="s">
        <v>1590</v>
      </c>
      <c r="M117" s="1" t="s">
        <v>38</v>
      </c>
      <c r="N117" s="1" t="s">
        <v>75</v>
      </c>
      <c r="O117" s="1" t="s">
        <v>69</v>
      </c>
      <c r="P117" s="1" t="s">
        <v>69</v>
      </c>
      <c r="Q117" s="3">
        <v>44306.59930555556</v>
      </c>
      <c r="R117" s="1" t="s">
        <v>1591</v>
      </c>
      <c r="S117" s="1" t="s">
        <v>1592</v>
      </c>
    </row>
    <row r="118" ht="69.0" customHeight="1">
      <c r="A118" s="1">
        <v>3.60038794051E11</v>
      </c>
      <c r="B118" s="2" t="s">
        <v>1594</v>
      </c>
      <c r="C118" s="1" t="s">
        <v>1327</v>
      </c>
      <c r="D118" s="1" t="s">
        <v>34</v>
      </c>
      <c r="E118" s="1" t="b">
        <v>0</v>
      </c>
      <c r="F118" s="1" t="s">
        <v>956</v>
      </c>
      <c r="G118" s="1" t="str">
        <f t="array" ref="G118">XLOOKUP(A:A,'CategoriasSeções'!A:A,'CategoriasSeções'!B:B)</f>
        <v>IMPORTAÇÃO</v>
      </c>
      <c r="H118" s="1" t="s">
        <v>129</v>
      </c>
      <c r="I118" s="3">
        <v>43844.61944444444</v>
      </c>
      <c r="J118" s="3">
        <v>45526.51875</v>
      </c>
      <c r="K118" s="1" t="s">
        <v>1595</v>
      </c>
      <c r="L118" s="1" t="s">
        <v>1595</v>
      </c>
      <c r="M118" s="1" t="s">
        <v>38</v>
      </c>
      <c r="N118" s="1" t="s">
        <v>75</v>
      </c>
      <c r="O118" s="1" t="s">
        <v>69</v>
      </c>
      <c r="P118" s="1" t="s">
        <v>69</v>
      </c>
      <c r="Q118" s="3">
        <v>44789.566666666666</v>
      </c>
      <c r="R118" s="1" t="s">
        <v>1596</v>
      </c>
      <c r="S118" s="1" t="s">
        <v>1597</v>
      </c>
    </row>
    <row r="119" ht="69.0" customHeight="1">
      <c r="A119" s="1">
        <v>3.60038160532E11</v>
      </c>
      <c r="B119" s="2" t="s">
        <v>1599</v>
      </c>
      <c r="C119" s="1" t="s">
        <v>1327</v>
      </c>
      <c r="D119" s="1" t="s">
        <v>34</v>
      </c>
      <c r="E119" s="1" t="b">
        <v>0</v>
      </c>
      <c r="F119" s="1" t="s">
        <v>956</v>
      </c>
      <c r="G119" s="1" t="str">
        <f t="array" ref="G119">XLOOKUP(A:A,'CategoriasSeções'!A:A,'CategoriasSeções'!B:B)</f>
        <v>Dúvidas Gerais</v>
      </c>
      <c r="H119" s="1" t="s">
        <v>1449</v>
      </c>
      <c r="I119" s="3">
        <v>43837.47222222222</v>
      </c>
      <c r="J119" s="3">
        <v>45526.45486111111</v>
      </c>
      <c r="K119" s="1" t="s">
        <v>1600</v>
      </c>
      <c r="L119" s="1" t="s">
        <v>1600</v>
      </c>
      <c r="M119" s="1" t="s">
        <v>38</v>
      </c>
      <c r="N119" s="1" t="s">
        <v>75</v>
      </c>
      <c r="O119" s="1" t="s">
        <v>69</v>
      </c>
      <c r="P119" s="1" t="s">
        <v>69</v>
      </c>
      <c r="Q119" s="3">
        <v>45477.65416666667</v>
      </c>
      <c r="R119" s="1" t="s">
        <v>1601</v>
      </c>
      <c r="S119" s="1" t="s">
        <v>1602</v>
      </c>
    </row>
    <row r="120" ht="69.0" customHeight="1">
      <c r="A120" s="1">
        <v>3.60038044552E11</v>
      </c>
      <c r="B120" s="2" t="s">
        <v>1604</v>
      </c>
      <c r="C120" s="1" t="s">
        <v>1327</v>
      </c>
      <c r="D120" s="1" t="s">
        <v>34</v>
      </c>
      <c r="E120" s="1" t="b">
        <v>0</v>
      </c>
      <c r="F120" s="1" t="s">
        <v>956</v>
      </c>
      <c r="G120" s="1" t="str">
        <f t="array" ref="G120">XLOOKUP(A:A,'CategoriasSeções'!A:A,'CategoriasSeções'!B:B)</f>
        <v>Agendamentos</v>
      </c>
      <c r="H120" s="1" t="s">
        <v>1605</v>
      </c>
      <c r="I120" s="3">
        <v>43832.48541666667</v>
      </c>
      <c r="J120" s="3">
        <v>45526.51388888889</v>
      </c>
      <c r="K120" s="1" t="s">
        <v>1606</v>
      </c>
      <c r="L120" s="1" t="s">
        <v>1606</v>
      </c>
      <c r="M120" s="1" t="s">
        <v>38</v>
      </c>
      <c r="N120" s="1" t="s">
        <v>75</v>
      </c>
      <c r="O120" s="1" t="s">
        <v>69</v>
      </c>
      <c r="P120" s="1" t="s">
        <v>69</v>
      </c>
      <c r="Q120" s="3">
        <v>44095.600694444445</v>
      </c>
      <c r="R120" s="1" t="s">
        <v>55</v>
      </c>
      <c r="S120" s="1" t="s">
        <v>1607</v>
      </c>
    </row>
    <row r="121" ht="69.0" customHeight="1">
      <c r="A121" s="1">
        <v>3.60038044472E11</v>
      </c>
      <c r="B121" s="2" t="s">
        <v>1609</v>
      </c>
      <c r="C121" s="1" t="s">
        <v>1327</v>
      </c>
      <c r="D121" s="1" t="s">
        <v>34</v>
      </c>
      <c r="E121" s="1" t="b">
        <v>0</v>
      </c>
      <c r="F121" s="1" t="s">
        <v>956</v>
      </c>
      <c r="G121" s="1" t="str">
        <f t="array" ref="G121">XLOOKUP(A:A,'CategoriasSeções'!A:A,'CategoriasSeções'!B:B)</f>
        <v>Agendamentos</v>
      </c>
      <c r="H121" s="1" t="s">
        <v>85</v>
      </c>
      <c r="I121" s="3">
        <v>43832.478472222225</v>
      </c>
      <c r="J121" s="3">
        <v>45526.57638888889</v>
      </c>
      <c r="K121" s="1" t="s">
        <v>1610</v>
      </c>
      <c r="L121" s="1" t="s">
        <v>1610</v>
      </c>
      <c r="M121" s="1" t="s">
        <v>38</v>
      </c>
      <c r="N121" s="1" t="s">
        <v>75</v>
      </c>
      <c r="O121" s="1" t="s">
        <v>69</v>
      </c>
      <c r="P121" s="1" t="s">
        <v>69</v>
      </c>
      <c r="Q121" s="3">
        <v>44789.54722222222</v>
      </c>
      <c r="R121" s="1" t="s">
        <v>1611</v>
      </c>
      <c r="S121" s="1" t="s">
        <v>1612</v>
      </c>
    </row>
    <row r="122" ht="69.0" customHeight="1">
      <c r="A122" s="1">
        <v>3.60038414491E11</v>
      </c>
      <c r="B122" s="2" t="s">
        <v>1614</v>
      </c>
      <c r="C122" s="1" t="s">
        <v>1327</v>
      </c>
      <c r="D122" s="1" t="s">
        <v>34</v>
      </c>
      <c r="E122" s="1" t="b">
        <v>0</v>
      </c>
      <c r="F122" s="1" t="s">
        <v>956</v>
      </c>
      <c r="G122" s="1" t="str">
        <f t="array" ref="G122">XLOOKUP(A:A,'CategoriasSeções'!A:A,'CategoriasSeções'!B:B)</f>
        <v>Agendamentos</v>
      </c>
      <c r="H122" s="1" t="s">
        <v>85</v>
      </c>
      <c r="I122" s="3">
        <v>43832.472916666666</v>
      </c>
      <c r="J122" s="3">
        <v>45526.620833333334</v>
      </c>
      <c r="K122" s="1" t="s">
        <v>1615</v>
      </c>
      <c r="L122" s="1" t="s">
        <v>1615</v>
      </c>
      <c r="M122" s="1" t="s">
        <v>38</v>
      </c>
      <c r="N122" s="1" t="s">
        <v>75</v>
      </c>
      <c r="O122" s="1" t="s">
        <v>69</v>
      </c>
      <c r="P122" s="1" t="s">
        <v>69</v>
      </c>
      <c r="Q122" s="3">
        <v>44789.54791666667</v>
      </c>
      <c r="R122" s="1" t="s">
        <v>1616</v>
      </c>
      <c r="S122" s="1" t="s">
        <v>1617</v>
      </c>
    </row>
    <row r="123" ht="69.0" customHeight="1">
      <c r="A123" s="1">
        <v>3.60038414471E11</v>
      </c>
      <c r="B123" s="2" t="s">
        <v>1619</v>
      </c>
      <c r="C123" s="1" t="s">
        <v>1327</v>
      </c>
      <c r="D123" s="1" t="s">
        <v>34</v>
      </c>
      <c r="E123" s="1" t="b">
        <v>0</v>
      </c>
      <c r="F123" s="1" t="s">
        <v>956</v>
      </c>
      <c r="G123" s="1" t="str">
        <f t="array" ref="G123">XLOOKUP(A:A,'CategoriasSeções'!A:A,'CategoriasSeções'!B:B)</f>
        <v>Agendamentos</v>
      </c>
      <c r="H123" s="1" t="s">
        <v>85</v>
      </c>
      <c r="I123" s="3">
        <v>43832.46805555555</v>
      </c>
      <c r="J123" s="3">
        <v>45876.57777777778</v>
      </c>
      <c r="K123" s="1" t="s">
        <v>1620</v>
      </c>
      <c r="L123" s="1" t="s">
        <v>1620</v>
      </c>
      <c r="M123" s="1" t="s">
        <v>38</v>
      </c>
      <c r="N123" s="1" t="s">
        <v>75</v>
      </c>
      <c r="O123" s="1" t="s">
        <v>69</v>
      </c>
      <c r="P123" s="1" t="s">
        <v>69</v>
      </c>
      <c r="Q123" s="3">
        <v>45876.57777777778</v>
      </c>
      <c r="R123" s="1" t="s">
        <v>1621</v>
      </c>
      <c r="S123" s="1" t="s">
        <v>1622</v>
      </c>
    </row>
    <row r="124" ht="69.0" customHeight="1">
      <c r="A124" s="1">
        <v>3.60038375771E11</v>
      </c>
      <c r="B124" s="2" t="s">
        <v>1624</v>
      </c>
      <c r="C124" s="1" t="s">
        <v>1327</v>
      </c>
      <c r="D124" s="1" t="s">
        <v>34</v>
      </c>
      <c r="E124" s="1" t="b">
        <v>0</v>
      </c>
      <c r="F124" s="1" t="s">
        <v>956</v>
      </c>
      <c r="G124" s="1" t="str">
        <f t="array" ref="G124">XLOOKUP(A:A,'CategoriasSeções'!A:A,'CategoriasSeções'!B:B)</f>
        <v>Agendamentos</v>
      </c>
      <c r="H124" s="1" t="s">
        <v>85</v>
      </c>
      <c r="I124" s="12">
        <v>43829.87222222222</v>
      </c>
      <c r="J124" s="3">
        <v>45526.52222222222</v>
      </c>
      <c r="K124" s="1" t="s">
        <v>1625</v>
      </c>
      <c r="L124" s="1" t="s">
        <v>1625</v>
      </c>
      <c r="M124" s="1" t="s">
        <v>38</v>
      </c>
      <c r="N124" s="1" t="s">
        <v>75</v>
      </c>
      <c r="O124" s="1" t="s">
        <v>69</v>
      </c>
      <c r="P124" s="1" t="s">
        <v>69</v>
      </c>
      <c r="Q124" s="3">
        <v>44789.54861111111</v>
      </c>
      <c r="R124" s="1" t="s">
        <v>1626</v>
      </c>
      <c r="S124" s="1" t="s">
        <v>1627</v>
      </c>
    </row>
    <row r="125" ht="69.0" customHeight="1">
      <c r="A125" s="1">
        <v>3.60038008092E11</v>
      </c>
      <c r="B125" s="2" t="s">
        <v>1629</v>
      </c>
      <c r="C125" s="1" t="s">
        <v>1327</v>
      </c>
      <c r="D125" s="1" t="s">
        <v>34</v>
      </c>
      <c r="E125" s="1" t="b">
        <v>0</v>
      </c>
      <c r="F125" s="1" t="s">
        <v>956</v>
      </c>
      <c r="G125" s="1" t="str">
        <f t="array" ref="G125">XLOOKUP(A:A,'CategoriasSeções'!A:A,'CategoriasSeções'!B:B)</f>
        <v>Agendamentos</v>
      </c>
      <c r="H125" s="1" t="s">
        <v>85</v>
      </c>
      <c r="I125" s="12">
        <v>43829.86666666667</v>
      </c>
      <c r="J125" s="3">
        <v>45526.611805555556</v>
      </c>
      <c r="K125" s="1" t="s">
        <v>1630</v>
      </c>
      <c r="L125" s="1" t="s">
        <v>1630</v>
      </c>
      <c r="M125" s="1" t="s">
        <v>38</v>
      </c>
      <c r="N125" s="1" t="s">
        <v>75</v>
      </c>
      <c r="O125" s="1" t="s">
        <v>69</v>
      </c>
      <c r="P125" s="1" t="s">
        <v>69</v>
      </c>
      <c r="Q125" s="3">
        <v>44468.884722222225</v>
      </c>
      <c r="R125" s="1" t="s">
        <v>1631</v>
      </c>
      <c r="S125" s="1" t="s">
        <v>1632</v>
      </c>
    </row>
    <row r="126" ht="69.0" customHeight="1">
      <c r="A126" s="1">
        <v>3.60038007852E11</v>
      </c>
      <c r="B126" s="2" t="s">
        <v>1634</v>
      </c>
      <c r="C126" s="1" t="s">
        <v>1327</v>
      </c>
      <c r="D126" s="1" t="s">
        <v>34</v>
      </c>
      <c r="E126" s="1" t="b">
        <v>0</v>
      </c>
      <c r="F126" s="1" t="s">
        <v>956</v>
      </c>
      <c r="G126" s="1" t="str">
        <f t="array" ref="G126">XLOOKUP(A:A,'CategoriasSeções'!A:A,'CategoriasSeções'!B:B)</f>
        <v>Agendamentos</v>
      </c>
      <c r="H126" s="1" t="s">
        <v>85</v>
      </c>
      <c r="I126" s="12">
        <v>43829.861805555556</v>
      </c>
      <c r="J126" s="3">
        <v>45712.80138888889</v>
      </c>
      <c r="K126" s="1" t="s">
        <v>1635</v>
      </c>
      <c r="L126" s="1" t="s">
        <v>1635</v>
      </c>
      <c r="M126" s="1" t="s">
        <v>38</v>
      </c>
      <c r="N126" s="1" t="s">
        <v>75</v>
      </c>
      <c r="O126" s="1" t="s">
        <v>69</v>
      </c>
      <c r="P126" s="1" t="s">
        <v>69</v>
      </c>
      <c r="Q126" s="3">
        <v>45712.80138888889</v>
      </c>
      <c r="R126" s="1" t="s">
        <v>55</v>
      </c>
      <c r="S126" s="1" t="s">
        <v>1636</v>
      </c>
    </row>
    <row r="127" ht="69.0" customHeight="1">
      <c r="A127" s="1">
        <v>3.60038007532E11</v>
      </c>
      <c r="B127" s="2" t="s">
        <v>1638</v>
      </c>
      <c r="C127" s="1" t="s">
        <v>1327</v>
      </c>
      <c r="D127" s="1" t="s">
        <v>34</v>
      </c>
      <c r="E127" s="1" t="b">
        <v>0</v>
      </c>
      <c r="F127" s="1" t="s">
        <v>956</v>
      </c>
      <c r="G127" s="1" t="str">
        <f t="array" ref="G127">XLOOKUP(A:A,'CategoriasSeções'!A:A,'CategoriasSeções'!B:B)</f>
        <v>EXPORTAÇÃO - CABOTAGEM</v>
      </c>
      <c r="H127" s="1" t="s">
        <v>1062</v>
      </c>
      <c r="I127" s="12">
        <v>43829.85138888889</v>
      </c>
      <c r="J127" s="3">
        <v>45526.51875</v>
      </c>
      <c r="K127" s="1" t="s">
        <v>1639</v>
      </c>
      <c r="L127" s="1" t="s">
        <v>1639</v>
      </c>
      <c r="M127" s="1" t="s">
        <v>38</v>
      </c>
      <c r="N127" s="1" t="s">
        <v>75</v>
      </c>
      <c r="O127" s="1" t="s">
        <v>69</v>
      </c>
      <c r="P127" s="1" t="s">
        <v>69</v>
      </c>
      <c r="Q127" s="3">
        <v>44277.80625</v>
      </c>
      <c r="R127" s="1" t="s">
        <v>1640</v>
      </c>
      <c r="S127" s="1" t="s">
        <v>1641</v>
      </c>
    </row>
    <row r="128" ht="69.0" customHeight="1">
      <c r="A128" s="1">
        <v>3.60038007032E11</v>
      </c>
      <c r="B128" s="2" t="s">
        <v>1643</v>
      </c>
      <c r="C128" s="1" t="s">
        <v>1327</v>
      </c>
      <c r="D128" s="1" t="s">
        <v>34</v>
      </c>
      <c r="E128" s="1" t="b">
        <v>0</v>
      </c>
      <c r="F128" s="1" t="s">
        <v>956</v>
      </c>
      <c r="G128" s="1" t="str">
        <f t="array" ref="G128">XLOOKUP(A:A,'CategoriasSeções'!A:A,'CategoriasSeções'!B:B)</f>
        <v>EXPORTAÇÃO - CABOTAGEM</v>
      </c>
      <c r="H128" s="1" t="s">
        <v>1062</v>
      </c>
      <c r="I128" s="12">
        <v>43829.84375</v>
      </c>
      <c r="J128" s="3">
        <v>45526.455555555556</v>
      </c>
      <c r="K128" s="1" t="s">
        <v>1644</v>
      </c>
      <c r="L128" s="1" t="s">
        <v>1644</v>
      </c>
      <c r="M128" s="1" t="s">
        <v>38</v>
      </c>
      <c r="N128" s="1" t="s">
        <v>75</v>
      </c>
      <c r="O128" s="1" t="s">
        <v>69</v>
      </c>
      <c r="P128" s="1" t="s">
        <v>69</v>
      </c>
      <c r="Q128" s="3">
        <v>44281.70972222222</v>
      </c>
      <c r="R128" s="1" t="s">
        <v>1645</v>
      </c>
      <c r="S128" s="1" t="s">
        <v>1646</v>
      </c>
    </row>
    <row r="129" ht="69.0" customHeight="1">
      <c r="A129" s="1">
        <v>3.60038374511E11</v>
      </c>
      <c r="B129" s="2" t="s">
        <v>1648</v>
      </c>
      <c r="C129" s="1" t="s">
        <v>1327</v>
      </c>
      <c r="D129" s="1" t="s">
        <v>34</v>
      </c>
      <c r="E129" s="1" t="b">
        <v>0</v>
      </c>
      <c r="F129" s="1" t="s">
        <v>956</v>
      </c>
      <c r="G129" s="1" t="str">
        <f t="array" ref="G129">XLOOKUP(A:A,'CategoriasSeções'!A:A,'CategoriasSeções'!B:B)</f>
        <v>Agendamentos</v>
      </c>
      <c r="H129" s="1" t="s">
        <v>85</v>
      </c>
      <c r="I129" s="12">
        <v>43829.82916666667</v>
      </c>
      <c r="J129" s="3">
        <v>45526.51388888889</v>
      </c>
      <c r="K129" s="1" t="s">
        <v>1649</v>
      </c>
      <c r="L129" s="1" t="s">
        <v>1649</v>
      </c>
      <c r="M129" s="1" t="s">
        <v>38</v>
      </c>
      <c r="N129" s="1" t="s">
        <v>75</v>
      </c>
      <c r="O129" s="1" t="s">
        <v>69</v>
      </c>
      <c r="P129" s="1" t="s">
        <v>69</v>
      </c>
      <c r="Q129" s="3">
        <v>44476.864583333336</v>
      </c>
      <c r="R129" s="1" t="s">
        <v>1650</v>
      </c>
      <c r="S129" s="1" t="s">
        <v>1651</v>
      </c>
    </row>
    <row r="130" ht="69.0" customHeight="1">
      <c r="A130" s="1">
        <v>3.60038006272E11</v>
      </c>
      <c r="B130" s="2" t="s">
        <v>1653</v>
      </c>
      <c r="C130" s="1" t="s">
        <v>1327</v>
      </c>
      <c r="D130" s="1" t="s">
        <v>34</v>
      </c>
      <c r="E130" s="1" t="b">
        <v>0</v>
      </c>
      <c r="F130" s="1" t="s">
        <v>956</v>
      </c>
      <c r="G130" s="1" t="str">
        <f t="array" ref="G130">XLOOKUP(A:A,'CategoriasSeções'!A:A,'CategoriasSeções'!B:B)</f>
        <v>Agendamentos</v>
      </c>
      <c r="H130" s="1" t="s">
        <v>85</v>
      </c>
      <c r="I130" s="12">
        <v>43829.825</v>
      </c>
      <c r="J130" s="3">
        <v>45526.603472222225</v>
      </c>
      <c r="K130" s="1" t="s">
        <v>1654</v>
      </c>
      <c r="L130" s="1" t="s">
        <v>1654</v>
      </c>
      <c r="M130" s="1" t="s">
        <v>38</v>
      </c>
      <c r="N130" s="1" t="s">
        <v>75</v>
      </c>
      <c r="O130" s="1" t="s">
        <v>69</v>
      </c>
      <c r="P130" s="1" t="s">
        <v>69</v>
      </c>
      <c r="Q130" s="3">
        <v>43902.85625</v>
      </c>
      <c r="R130" s="1" t="s">
        <v>55</v>
      </c>
      <c r="S130" s="1" t="s">
        <v>1655</v>
      </c>
    </row>
    <row r="131" ht="69.0" customHeight="1">
      <c r="A131" s="1">
        <v>3.60038373511E11</v>
      </c>
      <c r="B131" s="2" t="s">
        <v>1657</v>
      </c>
      <c r="C131" s="1" t="s">
        <v>1327</v>
      </c>
      <c r="D131" s="1" t="s">
        <v>34</v>
      </c>
      <c r="E131" s="1" t="b">
        <v>0</v>
      </c>
      <c r="F131" s="1" t="s">
        <v>956</v>
      </c>
      <c r="G131" s="1" t="str">
        <f t="array" ref="G131">XLOOKUP(A:A,'CategoriasSeções'!A:A,'CategoriasSeções'!B:B)</f>
        <v>EXPORTAÇÃO - CABOTAGEM</v>
      </c>
      <c r="H131" s="1" t="s">
        <v>1062</v>
      </c>
      <c r="I131" s="12">
        <v>43829.802083333336</v>
      </c>
      <c r="J131" s="3">
        <v>45526.53888888889</v>
      </c>
      <c r="K131" s="1" t="s">
        <v>1658</v>
      </c>
      <c r="L131" s="1" t="s">
        <v>1658</v>
      </c>
      <c r="M131" s="1" t="s">
        <v>38</v>
      </c>
      <c r="N131" s="1" t="s">
        <v>75</v>
      </c>
      <c r="O131" s="1" t="s">
        <v>69</v>
      </c>
      <c r="P131" s="1" t="s">
        <v>69</v>
      </c>
      <c r="Q131" s="3">
        <v>44281.74375</v>
      </c>
      <c r="R131" s="1" t="s">
        <v>1659</v>
      </c>
      <c r="S131" s="1" t="s">
        <v>1660</v>
      </c>
    </row>
    <row r="132" ht="69.0" customHeight="1">
      <c r="A132" s="1">
        <v>3.60038372991E11</v>
      </c>
      <c r="B132" s="2" t="s">
        <v>1662</v>
      </c>
      <c r="C132" s="1" t="s">
        <v>1327</v>
      </c>
      <c r="D132" s="1" t="s">
        <v>34</v>
      </c>
      <c r="E132" s="1" t="b">
        <v>0</v>
      </c>
      <c r="F132" s="1" t="s">
        <v>956</v>
      </c>
      <c r="G132" s="1" t="str">
        <f t="array" ref="G132">XLOOKUP(A:A,'CategoriasSeções'!A:A,'CategoriasSeções'!B:B)</f>
        <v>EXPORTAÇÃO - CABOTAGEM</v>
      </c>
      <c r="H132" s="1" t="s">
        <v>1062</v>
      </c>
      <c r="I132" s="12">
        <v>43829.78680555556</v>
      </c>
      <c r="J132" s="3">
        <v>45526.51388888889</v>
      </c>
      <c r="K132" s="1" t="s">
        <v>1663</v>
      </c>
      <c r="L132" s="1" t="s">
        <v>1663</v>
      </c>
      <c r="M132" s="1" t="s">
        <v>38</v>
      </c>
      <c r="N132" s="1" t="s">
        <v>75</v>
      </c>
      <c r="O132" s="1" t="s">
        <v>69</v>
      </c>
      <c r="P132" s="1" t="s">
        <v>69</v>
      </c>
      <c r="Q132" s="3">
        <v>44281.756944444445</v>
      </c>
      <c r="R132" s="1" t="s">
        <v>1664</v>
      </c>
      <c r="S132" s="1" t="s">
        <v>1665</v>
      </c>
    </row>
    <row r="133" ht="69.0" customHeight="1">
      <c r="A133" s="1">
        <v>3.60033823631E11</v>
      </c>
      <c r="B133" s="2" t="s">
        <v>1667</v>
      </c>
      <c r="C133" s="1" t="s">
        <v>1327</v>
      </c>
      <c r="D133" s="1" t="s">
        <v>34</v>
      </c>
      <c r="E133" s="1" t="b">
        <v>0</v>
      </c>
      <c r="F133" s="1" t="s">
        <v>956</v>
      </c>
      <c r="G133" s="1" t="str">
        <f t="array" ref="G133">XLOOKUP(A:A,'CategoriasSeções'!A:A,'CategoriasSeções'!B:B)</f>
        <v>BETA</v>
      </c>
      <c r="H133" s="1" t="s">
        <v>1501</v>
      </c>
      <c r="I133" s="3">
        <v>43725.729166666664</v>
      </c>
      <c r="J133" s="3">
        <v>45526.42152777778</v>
      </c>
      <c r="K133" s="1" t="s">
        <v>1668</v>
      </c>
      <c r="L133" s="1" t="s">
        <v>1668</v>
      </c>
      <c r="M133" s="1" t="s">
        <v>38</v>
      </c>
      <c r="N133" s="1" t="s">
        <v>39</v>
      </c>
      <c r="O133" s="1" t="s">
        <v>39</v>
      </c>
      <c r="P133" s="1" t="s">
        <v>39</v>
      </c>
      <c r="Q133" s="3">
        <v>43725.72986111111</v>
      </c>
      <c r="R133" s="1" t="s">
        <v>55</v>
      </c>
      <c r="S133" s="1" t="s">
        <v>1669</v>
      </c>
    </row>
    <row r="134" ht="69.0" customHeight="1">
      <c r="A134" s="1">
        <v>3.60033453872E11</v>
      </c>
      <c r="B134" s="2" t="s">
        <v>1671</v>
      </c>
      <c r="C134" s="1" t="s">
        <v>1327</v>
      </c>
      <c r="D134" s="1" t="s">
        <v>34</v>
      </c>
      <c r="E134" s="1" t="b">
        <v>0</v>
      </c>
      <c r="F134" s="1" t="s">
        <v>956</v>
      </c>
      <c r="G134" s="1" t="str">
        <f t="array" ref="G134">XLOOKUP(A:A,'CategoriasSeções'!A:A,'CategoriasSeções'!B:B)</f>
        <v>BETA</v>
      </c>
      <c r="H134" s="1" t="s">
        <v>1501</v>
      </c>
      <c r="I134" s="3">
        <v>43725.56597222222</v>
      </c>
      <c r="J134" s="3">
        <v>45231.56527777778</v>
      </c>
      <c r="K134" s="1" t="s">
        <v>1672</v>
      </c>
      <c r="L134" s="1" t="s">
        <v>1672</v>
      </c>
      <c r="M134" s="1" t="s">
        <v>38</v>
      </c>
      <c r="N134" s="1" t="s">
        <v>39</v>
      </c>
      <c r="O134" s="1" t="s">
        <v>39</v>
      </c>
      <c r="P134" s="1" t="s">
        <v>39</v>
      </c>
      <c r="Q134" s="3">
        <v>43725.56597222222</v>
      </c>
      <c r="R134" s="1" t="s">
        <v>55</v>
      </c>
      <c r="S134" s="1" t="s">
        <v>1673</v>
      </c>
    </row>
    <row r="135" ht="69.0" customHeight="1">
      <c r="A135" s="1">
        <v>3.60033812011E11</v>
      </c>
      <c r="B135" s="2" t="s">
        <v>1675</v>
      </c>
      <c r="C135" s="1" t="s">
        <v>1327</v>
      </c>
      <c r="D135" s="1" t="s">
        <v>34</v>
      </c>
      <c r="E135" s="1" t="b">
        <v>0</v>
      </c>
      <c r="F135" s="1" t="s">
        <v>956</v>
      </c>
      <c r="G135" s="1" t="str">
        <f t="array" ref="G135">XLOOKUP(A:A,'CategoriasSeções'!A:A,'CategoriasSeções'!B:B)</f>
        <v>EXPORTAÇÃO - CABOTAGEM</v>
      </c>
      <c r="H135" s="1" t="s">
        <v>1062</v>
      </c>
      <c r="I135" s="3">
        <v>43725.552083333336</v>
      </c>
      <c r="J135" s="3">
        <v>45091.580555555556</v>
      </c>
      <c r="K135" s="1" t="s">
        <v>1676</v>
      </c>
      <c r="L135" s="1" t="s">
        <v>1676</v>
      </c>
      <c r="M135" s="1" t="s">
        <v>38</v>
      </c>
      <c r="N135" s="1" t="s">
        <v>75</v>
      </c>
      <c r="O135" s="1" t="s">
        <v>69</v>
      </c>
      <c r="P135" s="1" t="s">
        <v>69</v>
      </c>
      <c r="Q135" s="3">
        <v>45091.580555555556</v>
      </c>
      <c r="R135" s="1" t="s">
        <v>1677</v>
      </c>
      <c r="S135" s="1" t="s">
        <v>1678</v>
      </c>
    </row>
    <row r="136" ht="69.0" customHeight="1">
      <c r="A136" s="1">
        <v>3.60033811191E11</v>
      </c>
      <c r="B136" s="2" t="s">
        <v>1680</v>
      </c>
      <c r="C136" s="1" t="s">
        <v>1327</v>
      </c>
      <c r="D136" s="1" t="s">
        <v>34</v>
      </c>
      <c r="E136" s="1" t="b">
        <v>0</v>
      </c>
      <c r="F136" s="1" t="s">
        <v>956</v>
      </c>
      <c r="G136" s="1" t="str">
        <f t="array" ref="G136">XLOOKUP(A:A,'CategoriasSeções'!A:A,'CategoriasSeções'!B:B)</f>
        <v>EXPORTAÇÃO - CABOTAGEM</v>
      </c>
      <c r="H136" s="1" t="s">
        <v>1062</v>
      </c>
      <c r="I136" s="3">
        <v>43725.53472222222</v>
      </c>
      <c r="J136" s="3">
        <v>45526.611805555556</v>
      </c>
      <c r="K136" s="1" t="s">
        <v>1681</v>
      </c>
      <c r="L136" s="1" t="s">
        <v>1681</v>
      </c>
      <c r="M136" s="1" t="s">
        <v>38</v>
      </c>
      <c r="N136" s="1" t="s">
        <v>75</v>
      </c>
      <c r="O136" s="1" t="s">
        <v>69</v>
      </c>
      <c r="P136" s="1" t="s">
        <v>69</v>
      </c>
      <c r="Q136" s="3">
        <v>44936.46041666667</v>
      </c>
      <c r="R136" s="1" t="s">
        <v>1682</v>
      </c>
      <c r="S136" s="1" t="s">
        <v>1683</v>
      </c>
    </row>
    <row r="137" ht="69.0" customHeight="1">
      <c r="A137" s="1">
        <v>3.60033810571E11</v>
      </c>
      <c r="B137" s="2" t="s">
        <v>1685</v>
      </c>
      <c r="C137" s="1" t="s">
        <v>1327</v>
      </c>
      <c r="D137" s="1" t="s">
        <v>47</v>
      </c>
      <c r="E137" s="1" t="b">
        <v>0</v>
      </c>
      <c r="F137" s="1" t="s">
        <v>956</v>
      </c>
      <c r="G137" s="1" t="str">
        <f t="array" ref="G137">XLOOKUP(A:A,'CategoriasSeções'!A:A,'CategoriasSeções'!B:B)</f>
        <v>BETA</v>
      </c>
      <c r="H137" s="1" t="s">
        <v>1501</v>
      </c>
      <c r="I137" s="3">
        <v>43725.524305555555</v>
      </c>
      <c r="J137" s="3">
        <v>45526.51875</v>
      </c>
      <c r="K137" s="1" t="s">
        <v>1686</v>
      </c>
      <c r="L137" s="1" t="s">
        <v>1686</v>
      </c>
      <c r="M137" s="1" t="s">
        <v>38</v>
      </c>
      <c r="N137" s="1" t="s">
        <v>39</v>
      </c>
      <c r="O137" s="1" t="s">
        <v>39</v>
      </c>
      <c r="P137" s="1" t="s">
        <v>39</v>
      </c>
      <c r="Q137" s="3">
        <v>44938.751388888886</v>
      </c>
      <c r="R137" s="1" t="s">
        <v>1687</v>
      </c>
      <c r="S137" s="1" t="s">
        <v>1688</v>
      </c>
    </row>
    <row r="138" ht="69.0" customHeight="1">
      <c r="A138" s="1">
        <v>3.60033450332E11</v>
      </c>
      <c r="B138" s="2" t="s">
        <v>1690</v>
      </c>
      <c r="C138" s="1" t="s">
        <v>1327</v>
      </c>
      <c r="D138" s="1" t="s">
        <v>34</v>
      </c>
      <c r="E138" s="1" t="b">
        <v>0</v>
      </c>
      <c r="F138" s="1" t="s">
        <v>956</v>
      </c>
      <c r="G138" s="1" t="str">
        <f t="array" ref="G138">XLOOKUP(A:A,'CategoriasSeções'!A:A,'CategoriasSeções'!B:B)</f>
        <v>Dúvidas Gerais</v>
      </c>
      <c r="H138" s="1" t="s">
        <v>1449</v>
      </c>
      <c r="I138" s="3">
        <v>43725.47986111111</v>
      </c>
      <c r="J138" s="3">
        <v>45077.720138888886</v>
      </c>
      <c r="K138" s="1" t="s">
        <v>1691</v>
      </c>
      <c r="L138" s="1" t="s">
        <v>1691</v>
      </c>
      <c r="M138" s="1" t="s">
        <v>38</v>
      </c>
      <c r="N138" s="1" t="s">
        <v>39</v>
      </c>
      <c r="O138" s="1" t="s">
        <v>69</v>
      </c>
      <c r="P138" s="1" t="s">
        <v>69</v>
      </c>
      <c r="Q138" s="3">
        <v>45077.720138888886</v>
      </c>
      <c r="R138" s="1" t="s">
        <v>1692</v>
      </c>
      <c r="S138" s="1" t="s">
        <v>1693</v>
      </c>
    </row>
    <row r="139" ht="69.0" customHeight="1">
      <c r="A139" s="1">
        <v>3.60033789491E11</v>
      </c>
      <c r="B139" s="2" t="s">
        <v>1695</v>
      </c>
      <c r="C139" s="1" t="s">
        <v>1327</v>
      </c>
      <c r="D139" s="1" t="s">
        <v>34</v>
      </c>
      <c r="E139" s="1" t="b">
        <v>0</v>
      </c>
      <c r="F139" s="1" t="s">
        <v>956</v>
      </c>
      <c r="G139" s="1" t="str">
        <f t="array" ref="G139">XLOOKUP(A:A,'CategoriasSeções'!A:A,'CategoriasSeções'!B:B)</f>
        <v>BETA</v>
      </c>
      <c r="H139" s="1" t="s">
        <v>1501</v>
      </c>
      <c r="I139" s="3">
        <v>43724.86736111111</v>
      </c>
      <c r="J139" s="3">
        <v>45231.56527777778</v>
      </c>
      <c r="K139" s="1" t="s">
        <v>1696</v>
      </c>
      <c r="L139" s="1" t="s">
        <v>1696</v>
      </c>
      <c r="M139" s="1" t="s">
        <v>38</v>
      </c>
      <c r="N139" s="1" t="s">
        <v>39</v>
      </c>
      <c r="O139" s="1" t="s">
        <v>39</v>
      </c>
      <c r="P139" s="1" t="s">
        <v>39</v>
      </c>
      <c r="Q139" s="3">
        <v>43724.86736111111</v>
      </c>
      <c r="R139" s="1" t="s">
        <v>55</v>
      </c>
      <c r="S139" s="1" t="s">
        <v>1697</v>
      </c>
    </row>
    <row r="140" ht="69.0" customHeight="1">
      <c r="A140" s="1">
        <v>3.60033425552E11</v>
      </c>
      <c r="B140" s="2" t="s">
        <v>1699</v>
      </c>
      <c r="C140" s="1" t="s">
        <v>1327</v>
      </c>
      <c r="D140" s="1" t="s">
        <v>34</v>
      </c>
      <c r="E140" s="1" t="b">
        <v>0</v>
      </c>
      <c r="F140" s="1" t="s">
        <v>956</v>
      </c>
      <c r="G140" s="1" t="str">
        <f t="array" ref="G140">XLOOKUP(A:A,'CategoriasSeções'!A:A,'CategoriasSeções'!B:B)</f>
        <v>IMPORTAÇÃO</v>
      </c>
      <c r="H140" s="1" t="s">
        <v>129</v>
      </c>
      <c r="I140" s="3">
        <v>43724.819444444445</v>
      </c>
      <c r="J140" s="3">
        <v>44789.55694444444</v>
      </c>
      <c r="K140" s="1" t="s">
        <v>1700</v>
      </c>
      <c r="L140" s="1" t="s">
        <v>1700</v>
      </c>
      <c r="M140" s="1" t="s">
        <v>38</v>
      </c>
      <c r="N140" s="1" t="s">
        <v>75</v>
      </c>
      <c r="O140" s="1" t="s">
        <v>69</v>
      </c>
      <c r="P140" s="1" t="s">
        <v>69</v>
      </c>
      <c r="Q140" s="3">
        <v>44789.55694444444</v>
      </c>
      <c r="R140" s="1" t="s">
        <v>55</v>
      </c>
      <c r="S140" s="1" t="s">
        <v>1701</v>
      </c>
    </row>
    <row r="141" ht="69.0" customHeight="1">
      <c r="A141" s="1">
        <v>3.60000319152E11</v>
      </c>
      <c r="B141" s="2" t="s">
        <v>1703</v>
      </c>
      <c r="C141" s="1" t="s">
        <v>1545</v>
      </c>
      <c r="D141" s="1" t="s">
        <v>34</v>
      </c>
      <c r="E141" s="1" t="b">
        <v>0</v>
      </c>
      <c r="F141" s="1" t="s">
        <v>956</v>
      </c>
      <c r="G141" s="1" t="str">
        <f t="array" ref="G141">XLOOKUP(A:A,'CategoriasSeções'!A:A,'CategoriasSeções'!B:B)</f>
        <v>EXPORTAÇÃO - CABOTAGEM</v>
      </c>
      <c r="H141" s="1" t="s">
        <v>1062</v>
      </c>
      <c r="I141" s="3">
        <v>43126.850694444445</v>
      </c>
      <c r="J141" s="3">
        <v>44928.839583333334</v>
      </c>
      <c r="K141" s="1" t="s">
        <v>1704</v>
      </c>
      <c r="L141" s="1" t="s">
        <v>1704</v>
      </c>
      <c r="M141" s="1" t="s">
        <v>38</v>
      </c>
      <c r="N141" s="1" t="s">
        <v>75</v>
      </c>
      <c r="O141" s="1" t="s">
        <v>69</v>
      </c>
      <c r="P141" s="1" t="s">
        <v>69</v>
      </c>
      <c r="Q141" s="3">
        <v>44928.839583333334</v>
      </c>
      <c r="R141" s="1" t="s">
        <v>1705</v>
      </c>
      <c r="S141" s="1" t="s">
        <v>1706</v>
      </c>
    </row>
    <row r="142" ht="69.0" customHeight="1">
      <c r="A142" s="1">
        <v>3.60000326551E11</v>
      </c>
      <c r="B142" s="2" t="s">
        <v>1708</v>
      </c>
      <c r="C142" s="1" t="s">
        <v>1545</v>
      </c>
      <c r="D142" s="1" t="s">
        <v>34</v>
      </c>
      <c r="E142" s="1" t="b">
        <v>0</v>
      </c>
      <c r="F142" s="1" t="s">
        <v>956</v>
      </c>
      <c r="G142" s="1" t="str">
        <f t="array" ref="G142">XLOOKUP(A:A,'CategoriasSeções'!A:A,'CategoriasSeções'!B:B)</f>
        <v>Dúvidas Gerais</v>
      </c>
      <c r="H142" s="1" t="s">
        <v>1449</v>
      </c>
      <c r="I142" s="3">
        <v>43126.84166666667</v>
      </c>
      <c r="J142" s="3">
        <v>44866.490277777775</v>
      </c>
      <c r="K142" s="1" t="s">
        <v>1709</v>
      </c>
      <c r="L142" s="1" t="s">
        <v>1709</v>
      </c>
      <c r="M142" s="1" t="s">
        <v>38</v>
      </c>
      <c r="N142" s="1" t="s">
        <v>75</v>
      </c>
      <c r="O142" s="1" t="s">
        <v>69</v>
      </c>
      <c r="P142" s="1" t="s">
        <v>69</v>
      </c>
      <c r="Q142" s="3">
        <v>44866.490277777775</v>
      </c>
      <c r="R142" s="1" t="s">
        <v>55</v>
      </c>
      <c r="S142" s="1" t="s">
        <v>1710</v>
      </c>
    </row>
    <row r="143" ht="69.0" customHeight="1">
      <c r="A143" s="1">
        <v>3.60000323871E11</v>
      </c>
      <c r="B143" s="2" t="s">
        <v>1712</v>
      </c>
      <c r="C143" s="1" t="s">
        <v>1545</v>
      </c>
      <c r="D143" s="1" t="s">
        <v>34</v>
      </c>
      <c r="E143" s="1" t="b">
        <v>0</v>
      </c>
      <c r="F143" s="1" t="s">
        <v>956</v>
      </c>
      <c r="G143" s="1" t="str">
        <f t="array" ref="G143">XLOOKUP(A:A,'CategoriasSeções'!A:A,'CategoriasSeções'!B:B)</f>
        <v>Canais de Atendimento ao Cliente</v>
      </c>
      <c r="H143" s="1" t="s">
        <v>1147</v>
      </c>
      <c r="I143" s="3">
        <v>43126.78958333333</v>
      </c>
      <c r="J143" s="3">
        <v>44789.620833333334</v>
      </c>
      <c r="K143" s="1" t="s">
        <v>1147</v>
      </c>
      <c r="L143" s="1" t="s">
        <v>1147</v>
      </c>
      <c r="M143" s="1" t="s">
        <v>38</v>
      </c>
      <c r="N143" s="1" t="s">
        <v>75</v>
      </c>
      <c r="O143" s="1" t="s">
        <v>69</v>
      </c>
      <c r="P143" s="1" t="s">
        <v>69</v>
      </c>
      <c r="Q143" s="3">
        <v>44084.739583333336</v>
      </c>
      <c r="R143" s="1" t="s">
        <v>1713</v>
      </c>
      <c r="S143" s="1" t="s">
        <v>1714</v>
      </c>
    </row>
    <row r="144" ht="69.0" customHeight="1">
      <c r="A144" s="1">
        <v>1.7287287948685E13</v>
      </c>
      <c r="B144" s="2" t="s">
        <v>1716</v>
      </c>
      <c r="C144" s="1" t="s">
        <v>964</v>
      </c>
      <c r="D144" s="1" t="s">
        <v>34</v>
      </c>
      <c r="E144" s="1" t="b">
        <v>0</v>
      </c>
      <c r="F144" s="1" t="s">
        <v>956</v>
      </c>
      <c r="G144" s="1" t="str">
        <f t="array" ref="G144">XLOOKUP(A:A,'CategoriasSeções'!A:A,'CategoriasSeções'!B:B)</f>
        <v>Comunicados</v>
      </c>
      <c r="H144" s="1" t="s">
        <v>957</v>
      </c>
      <c r="I144" s="3">
        <v>45110.73055555556</v>
      </c>
      <c r="J144" s="3">
        <v>45140.75208333333</v>
      </c>
      <c r="K144" s="1" t="s">
        <v>1717</v>
      </c>
      <c r="L144" s="1" t="s">
        <v>1717</v>
      </c>
      <c r="M144" s="1" t="s">
        <v>38</v>
      </c>
      <c r="N144" s="1" t="s">
        <v>75</v>
      </c>
      <c r="O144" s="1" t="s">
        <v>69</v>
      </c>
      <c r="P144" s="1" t="s">
        <v>69</v>
      </c>
      <c r="Q144" s="3">
        <v>45110.73055555556</v>
      </c>
      <c r="R144" s="1" t="s">
        <v>1719</v>
      </c>
      <c r="S144" s="1" t="s">
        <v>1720</v>
      </c>
    </row>
    <row r="145" ht="69.0" customHeight="1">
      <c r="A145" s="1">
        <v>1.0820058261261E13</v>
      </c>
      <c r="B145" s="2" t="s">
        <v>1722</v>
      </c>
      <c r="C145" s="1" t="s">
        <v>1327</v>
      </c>
      <c r="D145" s="1" t="s">
        <v>34</v>
      </c>
      <c r="E145" s="1" t="b">
        <v>0</v>
      </c>
      <c r="F145" s="1" t="s">
        <v>956</v>
      </c>
      <c r="G145" s="1" t="str">
        <f t="array" ref="G145">XLOOKUP(A:A,'CategoriasSeções'!A:A,'CategoriasSeções'!B:B)</f>
        <v>Comunicados</v>
      </c>
      <c r="H145" s="1" t="s">
        <v>981</v>
      </c>
      <c r="I145" s="12">
        <v>44887.51736111111</v>
      </c>
      <c r="J145" s="3">
        <v>45526.455555555556</v>
      </c>
      <c r="K145" s="1" t="s">
        <v>1723</v>
      </c>
      <c r="L145" s="1" t="s">
        <v>1723</v>
      </c>
      <c r="M145" s="1" t="s">
        <v>38</v>
      </c>
      <c r="N145" s="1" t="s">
        <v>75</v>
      </c>
      <c r="O145" s="1" t="s">
        <v>69</v>
      </c>
      <c r="P145" s="1" t="s">
        <v>69</v>
      </c>
      <c r="Q145" s="12">
        <v>44887.51736111111</v>
      </c>
      <c r="R145" s="1" t="s">
        <v>1724</v>
      </c>
      <c r="S145" s="1" t="s">
        <v>1725</v>
      </c>
    </row>
    <row r="146" ht="69.0" customHeight="1">
      <c r="A146" s="1">
        <v>3.60048851792E11</v>
      </c>
      <c r="B146" s="2" t="s">
        <v>1727</v>
      </c>
      <c r="C146" s="1" t="s">
        <v>1327</v>
      </c>
      <c r="D146" s="1" t="s">
        <v>34</v>
      </c>
      <c r="E146" s="1" t="b">
        <v>0</v>
      </c>
      <c r="F146" s="1" t="s">
        <v>956</v>
      </c>
      <c r="G146" s="1" t="str">
        <f t="array" ref="G146">XLOOKUP(A:A,'CategoriasSeções'!A:A,'CategoriasSeções'!B:B)</f>
        <v>Canais de Atendimento ao Cliente</v>
      </c>
      <c r="H146" s="1" t="s">
        <v>1147</v>
      </c>
      <c r="I146" s="3">
        <v>44082.88263888889</v>
      </c>
      <c r="J146" s="3">
        <v>45526.45486111111</v>
      </c>
      <c r="K146" s="1" t="s">
        <v>1728</v>
      </c>
      <c r="L146" s="1" t="s">
        <v>1728</v>
      </c>
      <c r="M146" s="1" t="s">
        <v>38</v>
      </c>
      <c r="N146" s="1" t="s">
        <v>75</v>
      </c>
      <c r="O146" s="1" t="s">
        <v>69</v>
      </c>
      <c r="P146" s="1" t="s">
        <v>69</v>
      </c>
      <c r="Q146" s="3">
        <v>44084.56180555555</v>
      </c>
      <c r="R146" s="1" t="s">
        <v>1729</v>
      </c>
      <c r="S146" s="1" t="s">
        <v>1730</v>
      </c>
    </row>
    <row r="147" ht="69.0" customHeight="1">
      <c r="A147" s="1">
        <v>3.60033450452E11</v>
      </c>
      <c r="B147" s="2" t="s">
        <v>1732</v>
      </c>
      <c r="C147" s="1" t="s">
        <v>1327</v>
      </c>
      <c r="D147" s="1" t="s">
        <v>34</v>
      </c>
      <c r="E147" s="1" t="b">
        <v>0</v>
      </c>
      <c r="F147" s="1" t="s">
        <v>956</v>
      </c>
      <c r="G147" s="1" t="str">
        <f t="array" ref="G147">XLOOKUP(A:A,'CategoriasSeções'!A:A,'CategoriasSeções'!B:B)</f>
        <v>IMPORTAÇÃO</v>
      </c>
      <c r="H147" s="1" t="s">
        <v>129</v>
      </c>
      <c r="I147" s="3">
        <v>43725.48541666667</v>
      </c>
      <c r="J147" s="3">
        <v>45526.603472222225</v>
      </c>
      <c r="K147" s="1" t="s">
        <v>1733</v>
      </c>
      <c r="L147" s="1" t="s">
        <v>1733</v>
      </c>
      <c r="M147" s="1" t="s">
        <v>38</v>
      </c>
      <c r="N147" s="1" t="s">
        <v>75</v>
      </c>
      <c r="O147" s="1" t="s">
        <v>69</v>
      </c>
      <c r="P147" s="1" t="s">
        <v>69</v>
      </c>
      <c r="Q147" s="3">
        <v>44433.75</v>
      </c>
      <c r="R147" s="1" t="s">
        <v>1734</v>
      </c>
      <c r="S147" s="1" t="s">
        <v>1735</v>
      </c>
    </row>
    <row r="148" ht="69.0" customHeight="1">
      <c r="A148" s="1">
        <v>1.6945680967821E13</v>
      </c>
      <c r="B148" s="2" t="s">
        <v>1737</v>
      </c>
      <c r="C148" s="1" t="s">
        <v>964</v>
      </c>
      <c r="D148" s="1" t="s">
        <v>34</v>
      </c>
      <c r="E148" s="1" t="b">
        <v>0</v>
      </c>
      <c r="F148" s="1" t="s">
        <v>956</v>
      </c>
      <c r="G148" s="1" t="str">
        <f t="array" ref="G148">XLOOKUP(A:A,'CategoriasSeções'!A:A,'CategoriasSeções'!B:B)</f>
        <v>Comunicados</v>
      </c>
      <c r="H148" s="1" t="s">
        <v>957</v>
      </c>
      <c r="I148" s="3">
        <v>45098.623611111114</v>
      </c>
      <c r="J148" s="3">
        <v>45140.75208333333</v>
      </c>
      <c r="K148" s="1" t="s">
        <v>1738</v>
      </c>
      <c r="L148" s="1" t="s">
        <v>1738</v>
      </c>
      <c r="M148" s="1" t="s">
        <v>38</v>
      </c>
      <c r="N148" s="1" t="s">
        <v>75</v>
      </c>
      <c r="O148" s="1" t="s">
        <v>69</v>
      </c>
      <c r="P148" s="1" t="s">
        <v>69</v>
      </c>
      <c r="Q148" s="3">
        <v>45098.623611111114</v>
      </c>
      <c r="R148" s="1" t="s">
        <v>1740</v>
      </c>
      <c r="S148" s="1" t="s">
        <v>1741</v>
      </c>
    </row>
    <row r="149" ht="69.0" customHeight="1">
      <c r="A149" s="1">
        <v>1.0189750495757E13</v>
      </c>
      <c r="B149" s="2" t="s">
        <v>1743</v>
      </c>
      <c r="C149" s="1" t="s">
        <v>1327</v>
      </c>
      <c r="D149" s="1" t="s">
        <v>34</v>
      </c>
      <c r="E149" s="1" t="b">
        <v>0</v>
      </c>
      <c r="F149" s="1" t="s">
        <v>956</v>
      </c>
      <c r="G149" s="1" t="str">
        <f t="array" ref="G149">XLOOKUP(A:A,'CategoriasSeções'!A:A,'CategoriasSeções'!B:B)</f>
        <v>Comunicados</v>
      </c>
      <c r="H149" s="1" t="s">
        <v>981</v>
      </c>
      <c r="I149" s="12">
        <v>44861.56319444445</v>
      </c>
      <c r="J149" s="3">
        <v>45526.45486111111</v>
      </c>
      <c r="K149" s="1" t="s">
        <v>1744</v>
      </c>
      <c r="L149" s="1" t="s">
        <v>1744</v>
      </c>
      <c r="M149" s="1" t="s">
        <v>38</v>
      </c>
      <c r="N149" s="1" t="s">
        <v>75</v>
      </c>
      <c r="O149" s="1" t="s">
        <v>69</v>
      </c>
      <c r="P149" s="1" t="s">
        <v>69</v>
      </c>
      <c r="Q149" s="12">
        <v>44861.56319444445</v>
      </c>
      <c r="R149" s="1" t="s">
        <v>1745</v>
      </c>
      <c r="S149" s="1" t="s">
        <v>1746</v>
      </c>
    </row>
    <row r="150" ht="69.0" customHeight="1">
      <c r="A150" s="1">
        <v>3.60048847852E11</v>
      </c>
      <c r="B150" s="2" t="s">
        <v>1748</v>
      </c>
      <c r="C150" s="1" t="s">
        <v>1327</v>
      </c>
      <c r="D150" s="1" t="s">
        <v>34</v>
      </c>
      <c r="E150" s="1" t="b">
        <v>0</v>
      </c>
      <c r="F150" s="1" t="s">
        <v>956</v>
      </c>
      <c r="G150" s="1" t="str">
        <f t="array" ref="G150">XLOOKUP(A:A,'CategoriasSeções'!A:A,'CategoriasSeções'!B:B)</f>
        <v>Canais de Atendimento ao Cliente</v>
      </c>
      <c r="H150" s="1" t="s">
        <v>1147</v>
      </c>
      <c r="I150" s="3">
        <v>44082.853472222225</v>
      </c>
      <c r="J150" s="3">
        <v>45526.53888888889</v>
      </c>
      <c r="K150" s="1" t="s">
        <v>1749</v>
      </c>
      <c r="L150" s="1" t="s">
        <v>1749</v>
      </c>
      <c r="M150" s="1" t="s">
        <v>38</v>
      </c>
      <c r="N150" s="1" t="s">
        <v>75</v>
      </c>
      <c r="O150" s="1" t="s">
        <v>69</v>
      </c>
      <c r="P150" s="1" t="s">
        <v>69</v>
      </c>
      <c r="Q150" s="3">
        <v>44082.87569444445</v>
      </c>
      <c r="R150" s="1" t="s">
        <v>1750</v>
      </c>
      <c r="S150" s="1" t="s">
        <v>1751</v>
      </c>
    </row>
    <row r="151" ht="69.0" customHeight="1">
      <c r="A151" s="1">
        <v>1.6885100113165E13</v>
      </c>
      <c r="B151" s="2" t="s">
        <v>1753</v>
      </c>
      <c r="C151" s="1" t="s">
        <v>964</v>
      </c>
      <c r="D151" s="1" t="s">
        <v>34</v>
      </c>
      <c r="E151" s="1" t="b">
        <v>0</v>
      </c>
      <c r="F151" s="1" t="s">
        <v>956</v>
      </c>
      <c r="G151" s="1" t="str">
        <f t="array" ref="G151">XLOOKUP(A:A,'CategoriasSeções'!A:A,'CategoriasSeções'!B:B)</f>
        <v>Comunicados</v>
      </c>
      <c r="H151" s="1" t="s">
        <v>957</v>
      </c>
      <c r="I151" s="3">
        <v>45096.77013888889</v>
      </c>
      <c r="J151" s="3">
        <v>45140.75208333333</v>
      </c>
      <c r="K151" s="1" t="s">
        <v>1754</v>
      </c>
      <c r="L151" s="1" t="s">
        <v>1754</v>
      </c>
      <c r="M151" s="1" t="s">
        <v>38</v>
      </c>
      <c r="N151" s="1" t="s">
        <v>75</v>
      </c>
      <c r="O151" s="1" t="s">
        <v>69</v>
      </c>
      <c r="P151" s="1" t="s">
        <v>69</v>
      </c>
      <c r="Q151" s="3">
        <v>45096.77013888889</v>
      </c>
      <c r="R151" s="1" t="s">
        <v>1756</v>
      </c>
      <c r="S151" s="1" t="s">
        <v>1757</v>
      </c>
    </row>
    <row r="152" ht="69.0" customHeight="1">
      <c r="A152" s="1">
        <v>9.634096872333E12</v>
      </c>
      <c r="B152" s="2" t="s">
        <v>1759</v>
      </c>
      <c r="C152" s="1" t="s">
        <v>1327</v>
      </c>
      <c r="D152" s="1" t="s">
        <v>34</v>
      </c>
      <c r="E152" s="1" t="b">
        <v>0</v>
      </c>
      <c r="F152" s="1" t="s">
        <v>956</v>
      </c>
      <c r="G152" s="1" t="str">
        <f t="array" ref="G152">XLOOKUP(A:A,'CategoriasSeções'!A:A,'CategoriasSeções'!B:B)</f>
        <v>Comunicados</v>
      </c>
      <c r="H152" s="1" t="s">
        <v>981</v>
      </c>
      <c r="I152" s="3">
        <v>44838.55902777778</v>
      </c>
      <c r="J152" s="3">
        <v>45526.603472222225</v>
      </c>
      <c r="K152" s="1" t="s">
        <v>1760</v>
      </c>
      <c r="L152" s="1" t="s">
        <v>1760</v>
      </c>
      <c r="M152" s="1" t="s">
        <v>38</v>
      </c>
      <c r="N152" s="1" t="s">
        <v>75</v>
      </c>
      <c r="O152" s="1" t="s">
        <v>69</v>
      </c>
      <c r="P152" s="1" t="s">
        <v>69</v>
      </c>
      <c r="Q152" s="3">
        <v>44838.55902777778</v>
      </c>
      <c r="R152" s="1" t="s">
        <v>1761</v>
      </c>
      <c r="S152" s="1" t="s">
        <v>1762</v>
      </c>
    </row>
    <row r="153" ht="69.0" customHeight="1">
      <c r="A153" s="1">
        <v>1.6506253580429E13</v>
      </c>
      <c r="B153" s="2" t="s">
        <v>1764</v>
      </c>
      <c r="C153" s="1" t="s">
        <v>964</v>
      </c>
      <c r="D153" s="1" t="s">
        <v>34</v>
      </c>
      <c r="E153" s="1" t="b">
        <v>0</v>
      </c>
      <c r="F153" s="1" t="s">
        <v>956</v>
      </c>
      <c r="G153" s="1" t="str">
        <f t="array" ref="G153">XLOOKUP(A:A,'CategoriasSeções'!A:A,'CategoriasSeções'!B:B)</f>
        <v>Comunicados</v>
      </c>
      <c r="H153" s="1" t="s">
        <v>957</v>
      </c>
      <c r="I153" s="3">
        <v>45084.74097222222</v>
      </c>
      <c r="J153" s="3">
        <v>45140.75208333333</v>
      </c>
      <c r="K153" s="1" t="s">
        <v>1765</v>
      </c>
      <c r="L153" s="1" t="s">
        <v>1765</v>
      </c>
      <c r="M153" s="1" t="s">
        <v>38</v>
      </c>
      <c r="N153" s="1" t="s">
        <v>39</v>
      </c>
      <c r="O153" s="1" t="s">
        <v>69</v>
      </c>
      <c r="P153" s="1" t="s">
        <v>69</v>
      </c>
      <c r="Q153" s="3">
        <v>45084.74097222222</v>
      </c>
      <c r="R153" s="1" t="s">
        <v>1766</v>
      </c>
      <c r="S153" s="1" t="s">
        <v>1767</v>
      </c>
    </row>
    <row r="154" ht="69.0" customHeight="1">
      <c r="A154" s="1">
        <v>9.158185673869E12</v>
      </c>
      <c r="B154" s="2" t="s">
        <v>1769</v>
      </c>
      <c r="C154" s="1" t="s">
        <v>1327</v>
      </c>
      <c r="D154" s="1" t="s">
        <v>34</v>
      </c>
      <c r="E154" s="1" t="b">
        <v>0</v>
      </c>
      <c r="F154" s="1" t="s">
        <v>956</v>
      </c>
      <c r="G154" s="1" t="str">
        <f t="array" ref="G154">XLOOKUP(A:A,'CategoriasSeções'!A:A,'CategoriasSeções'!B:B)</f>
        <v>Comunicados</v>
      </c>
      <c r="H154" s="1" t="s">
        <v>981</v>
      </c>
      <c r="I154" s="3">
        <v>44818.57083333333</v>
      </c>
      <c r="J154" s="3">
        <v>45526.552777777775</v>
      </c>
      <c r="K154" s="1" t="s">
        <v>1770</v>
      </c>
      <c r="L154" s="1" t="s">
        <v>1770</v>
      </c>
      <c r="M154" s="1" t="s">
        <v>38</v>
      </c>
      <c r="N154" s="1" t="s">
        <v>75</v>
      </c>
      <c r="O154" s="1" t="s">
        <v>69</v>
      </c>
      <c r="P154" s="1" t="s">
        <v>69</v>
      </c>
      <c r="Q154" s="3">
        <v>44818.57152777778</v>
      </c>
      <c r="R154" s="1" t="s">
        <v>1771</v>
      </c>
      <c r="S154" s="1" t="s">
        <v>1772</v>
      </c>
    </row>
    <row r="155" ht="69.0" customHeight="1">
      <c r="A155" s="1">
        <v>3.60000326591E11</v>
      </c>
      <c r="B155" s="2" t="s">
        <v>1774</v>
      </c>
      <c r="C155" s="1" t="s">
        <v>1545</v>
      </c>
      <c r="D155" s="1" t="s">
        <v>34</v>
      </c>
      <c r="E155" s="1" t="b">
        <v>0</v>
      </c>
      <c r="F155" s="1" t="s">
        <v>956</v>
      </c>
      <c r="G155" s="1" t="str">
        <f t="array" ref="G155">XLOOKUP(A:A,'CategoriasSeções'!A:A,'CategoriasSeções'!B:B)</f>
        <v>IMPORTAÇÃO</v>
      </c>
      <c r="H155" s="1" t="s">
        <v>129</v>
      </c>
      <c r="I155" s="3">
        <v>43126.845138888886</v>
      </c>
      <c r="J155" s="3">
        <v>44928.83888888889</v>
      </c>
      <c r="K155" s="1" t="s">
        <v>1775</v>
      </c>
      <c r="L155" s="1" t="s">
        <v>1775</v>
      </c>
      <c r="M155" s="1" t="s">
        <v>38</v>
      </c>
      <c r="N155" s="1" t="s">
        <v>75</v>
      </c>
      <c r="O155" s="1" t="s">
        <v>69</v>
      </c>
      <c r="P155" s="1" t="s">
        <v>69</v>
      </c>
      <c r="Q155" s="3">
        <v>44928.83888888889</v>
      </c>
      <c r="R155" s="1" t="s">
        <v>1776</v>
      </c>
      <c r="S155" s="1" t="s">
        <v>1777</v>
      </c>
    </row>
    <row r="156" ht="69.0" customHeight="1">
      <c r="A156" s="1">
        <v>1.6314615075597E13</v>
      </c>
      <c r="B156" s="2" t="s">
        <v>1779</v>
      </c>
      <c r="C156" s="1" t="s">
        <v>964</v>
      </c>
      <c r="D156" s="1" t="s">
        <v>34</v>
      </c>
      <c r="E156" s="1" t="b">
        <v>0</v>
      </c>
      <c r="F156" s="1" t="s">
        <v>956</v>
      </c>
      <c r="G156" s="1" t="str">
        <f t="array" ref="G156">XLOOKUP(A:A,'CategoriasSeções'!A:A,'CategoriasSeções'!B:B)</f>
        <v>Comunicados</v>
      </c>
      <c r="H156" s="1" t="s">
        <v>957</v>
      </c>
      <c r="I156" s="3">
        <v>45078.569444444445</v>
      </c>
      <c r="J156" s="3">
        <v>45140.75208333333</v>
      </c>
      <c r="K156" s="1" t="s">
        <v>1780</v>
      </c>
      <c r="L156" s="1" t="s">
        <v>1780</v>
      </c>
      <c r="M156" s="1" t="s">
        <v>38</v>
      </c>
      <c r="N156" s="1" t="s">
        <v>75</v>
      </c>
      <c r="O156" s="1" t="s">
        <v>69</v>
      </c>
      <c r="P156" s="1" t="s">
        <v>69</v>
      </c>
      <c r="Q156" s="3">
        <v>45078.569444444445</v>
      </c>
      <c r="R156" s="1" t="s">
        <v>1782</v>
      </c>
      <c r="S156" s="1" t="s">
        <v>1783</v>
      </c>
    </row>
    <row r="157" ht="69.0" customHeight="1">
      <c r="A157" s="1">
        <v>8.852303339661E12</v>
      </c>
      <c r="B157" s="2" t="s">
        <v>1785</v>
      </c>
      <c r="C157" s="1" t="s">
        <v>1327</v>
      </c>
      <c r="D157" s="1" t="s">
        <v>34</v>
      </c>
      <c r="E157" s="1" t="b">
        <v>0</v>
      </c>
      <c r="F157" s="1" t="s">
        <v>956</v>
      </c>
      <c r="G157" s="1" t="str">
        <f t="array" ref="G157">XLOOKUP(A:A,'CategoriasSeções'!A:A,'CategoriasSeções'!B:B)</f>
        <v>Comunicados</v>
      </c>
      <c r="H157" s="1" t="s">
        <v>981</v>
      </c>
      <c r="I157" s="3">
        <v>44805.57152777778</v>
      </c>
      <c r="J157" s="3">
        <v>45526.46388888889</v>
      </c>
      <c r="K157" s="1" t="s">
        <v>1786</v>
      </c>
      <c r="L157" s="1" t="s">
        <v>1786</v>
      </c>
      <c r="M157" s="1" t="s">
        <v>38</v>
      </c>
      <c r="N157" s="1" t="s">
        <v>75</v>
      </c>
      <c r="O157" s="1" t="s">
        <v>69</v>
      </c>
      <c r="P157" s="1" t="s">
        <v>69</v>
      </c>
      <c r="Q157" s="3">
        <v>44805.57152777778</v>
      </c>
      <c r="R157" s="1" t="s">
        <v>1787</v>
      </c>
      <c r="S157" s="1" t="s">
        <v>1788</v>
      </c>
    </row>
    <row r="158" ht="69.0" customHeight="1">
      <c r="A158" s="1">
        <v>1.6234303919501E13</v>
      </c>
      <c r="B158" s="2" t="s">
        <v>1790</v>
      </c>
      <c r="C158" s="1" t="s">
        <v>964</v>
      </c>
      <c r="D158" s="1" t="s">
        <v>34</v>
      </c>
      <c r="E158" s="1" t="b">
        <v>0</v>
      </c>
      <c r="F158" s="1" t="s">
        <v>956</v>
      </c>
      <c r="G158" s="1" t="str">
        <f t="array" ref="G158">XLOOKUP(A:A,'CategoriasSeções'!A:A,'CategoriasSeções'!B:B)</f>
        <v>Comunicados</v>
      </c>
      <c r="H158" s="1" t="s">
        <v>957</v>
      </c>
      <c r="I158" s="3">
        <v>45075.854166666664</v>
      </c>
      <c r="J158" s="3">
        <v>45231.56527777778</v>
      </c>
      <c r="K158" s="1" t="s">
        <v>1765</v>
      </c>
      <c r="L158" s="1" t="s">
        <v>1765</v>
      </c>
      <c r="M158" s="1" t="s">
        <v>38</v>
      </c>
      <c r="N158" s="1" t="s">
        <v>75</v>
      </c>
      <c r="O158" s="1" t="s">
        <v>39</v>
      </c>
      <c r="P158" s="1" t="s">
        <v>39</v>
      </c>
      <c r="Q158" s="3">
        <v>45075.854166666664</v>
      </c>
      <c r="R158" s="1" t="s">
        <v>1792</v>
      </c>
      <c r="S158" s="1" t="s">
        <v>1793</v>
      </c>
    </row>
    <row r="159" ht="69.0" customHeight="1">
      <c r="A159" s="1">
        <v>7.172806233485E12</v>
      </c>
      <c r="B159" s="2" t="s">
        <v>1795</v>
      </c>
      <c r="C159" s="1" t="s">
        <v>1327</v>
      </c>
      <c r="D159" s="1" t="s">
        <v>34</v>
      </c>
      <c r="E159" s="1" t="b">
        <v>0</v>
      </c>
      <c r="F159" s="1" t="s">
        <v>956</v>
      </c>
      <c r="G159" s="1" t="str">
        <f t="array" ref="G159">XLOOKUP(A:A,'CategoriasSeções'!A:A,'CategoriasSeções'!B:B)</f>
        <v>Comunicados</v>
      </c>
      <c r="H159" s="1" t="s">
        <v>981</v>
      </c>
      <c r="I159" s="3">
        <v>44736.558333333334</v>
      </c>
      <c r="J159" s="3">
        <v>45526.52222222222</v>
      </c>
      <c r="K159" s="1" t="s">
        <v>1796</v>
      </c>
      <c r="L159" s="1" t="s">
        <v>1796</v>
      </c>
      <c r="M159" s="1" t="s">
        <v>38</v>
      </c>
      <c r="N159" s="1" t="s">
        <v>75</v>
      </c>
      <c r="O159" s="1" t="s">
        <v>69</v>
      </c>
      <c r="P159" s="1" t="s">
        <v>69</v>
      </c>
      <c r="Q159" s="3">
        <v>44736.558333333334</v>
      </c>
      <c r="R159" s="1" t="s">
        <v>1797</v>
      </c>
      <c r="S159" s="1" t="s">
        <v>1798</v>
      </c>
    </row>
    <row r="160" ht="69.0" customHeight="1">
      <c r="A160" s="1">
        <v>1.5870500978701E13</v>
      </c>
      <c r="B160" s="2" t="s">
        <v>1800</v>
      </c>
      <c r="C160" s="1" t="s">
        <v>964</v>
      </c>
      <c r="D160" s="1" t="s">
        <v>34</v>
      </c>
      <c r="E160" s="1" t="b">
        <v>0</v>
      </c>
      <c r="F160" s="1" t="s">
        <v>956</v>
      </c>
      <c r="G160" s="1" t="str">
        <f t="array" ref="G160">XLOOKUP(A:A,'CategoriasSeções'!A:A,'CategoriasSeções'!B:B)</f>
        <v>Comunicados</v>
      </c>
      <c r="H160" s="1" t="s">
        <v>957</v>
      </c>
      <c r="I160" s="3">
        <v>45063.85555555556</v>
      </c>
      <c r="J160" s="3">
        <v>45140.75208333333</v>
      </c>
      <c r="K160" s="1" t="s">
        <v>1801</v>
      </c>
      <c r="L160" s="1" t="s">
        <v>1801</v>
      </c>
      <c r="M160" s="1" t="s">
        <v>38</v>
      </c>
      <c r="N160" s="1" t="s">
        <v>75</v>
      </c>
      <c r="O160" s="1" t="s">
        <v>69</v>
      </c>
      <c r="P160" s="1" t="s">
        <v>69</v>
      </c>
      <c r="Q160" s="3">
        <v>45063.85555555556</v>
      </c>
      <c r="R160" s="1" t="s">
        <v>1803</v>
      </c>
      <c r="S160" s="1" t="s">
        <v>1804</v>
      </c>
    </row>
    <row r="161" ht="69.0" customHeight="1">
      <c r="A161" s="1">
        <v>5.343888822925E12</v>
      </c>
      <c r="B161" s="2" t="s">
        <v>1806</v>
      </c>
      <c r="C161" s="1" t="s">
        <v>1327</v>
      </c>
      <c r="D161" s="1" t="s">
        <v>34</v>
      </c>
      <c r="E161" s="1" t="b">
        <v>0</v>
      </c>
      <c r="F161" s="1" t="s">
        <v>956</v>
      </c>
      <c r="G161" s="1" t="str">
        <f t="array" ref="G161">XLOOKUP(A:A,'CategoriasSeções'!A:A,'CategoriasSeções'!B:B)</f>
        <v>Comunicados</v>
      </c>
      <c r="H161" s="1" t="s">
        <v>981</v>
      </c>
      <c r="I161" s="3">
        <v>44657.60902777778</v>
      </c>
      <c r="J161" s="3">
        <v>45526.45486111111</v>
      </c>
      <c r="K161" s="1" t="s">
        <v>1807</v>
      </c>
      <c r="L161" s="1" t="s">
        <v>1807</v>
      </c>
      <c r="M161" s="1" t="s">
        <v>38</v>
      </c>
      <c r="N161" s="1" t="s">
        <v>75</v>
      </c>
      <c r="O161" s="1" t="s">
        <v>69</v>
      </c>
      <c r="P161" s="1" t="s">
        <v>69</v>
      </c>
      <c r="Q161" s="3">
        <v>44657.60902777778</v>
      </c>
      <c r="R161" s="1" t="s">
        <v>1808</v>
      </c>
      <c r="S161" s="1" t="s">
        <v>1809</v>
      </c>
    </row>
    <row r="162" ht="69.0" customHeight="1">
      <c r="A162" s="1">
        <v>1.4621914526093E13</v>
      </c>
      <c r="B162" s="2" t="s">
        <v>1811</v>
      </c>
      <c r="C162" s="1" t="s">
        <v>964</v>
      </c>
      <c r="D162" s="1" t="s">
        <v>34</v>
      </c>
      <c r="E162" s="1" t="b">
        <v>0</v>
      </c>
      <c r="F162" s="1" t="s">
        <v>956</v>
      </c>
      <c r="G162" s="1" t="str">
        <f t="array" ref="G162">XLOOKUP(A:A,'CategoriasSeções'!A:A,'CategoriasSeções'!B:B)</f>
        <v>Comunicados</v>
      </c>
      <c r="H162" s="1" t="s">
        <v>957</v>
      </c>
      <c r="I162" s="3">
        <v>45022.55902777778</v>
      </c>
      <c r="J162" s="3">
        <v>45140.75208333333</v>
      </c>
      <c r="K162" s="1" t="s">
        <v>1812</v>
      </c>
      <c r="L162" s="1" t="s">
        <v>1812</v>
      </c>
      <c r="M162" s="1" t="s">
        <v>38</v>
      </c>
      <c r="N162" s="1" t="s">
        <v>75</v>
      </c>
      <c r="O162" s="1" t="s">
        <v>69</v>
      </c>
      <c r="P162" s="1" t="s">
        <v>69</v>
      </c>
      <c r="Q162" s="3">
        <v>45022.55972222222</v>
      </c>
      <c r="R162" s="1" t="s">
        <v>1814</v>
      </c>
      <c r="S162" s="1" t="s">
        <v>1815</v>
      </c>
    </row>
    <row r="163" ht="69.0" customHeight="1">
      <c r="A163" s="1">
        <v>4.463234184333E12</v>
      </c>
      <c r="B163" s="2" t="s">
        <v>1817</v>
      </c>
      <c r="C163" s="1" t="s">
        <v>1327</v>
      </c>
      <c r="D163" s="1" t="s">
        <v>34</v>
      </c>
      <c r="E163" s="1" t="b">
        <v>0</v>
      </c>
      <c r="F163" s="1" t="s">
        <v>956</v>
      </c>
      <c r="G163" s="1" t="str">
        <f t="array" ref="G163">XLOOKUP(A:A,'CategoriasSeções'!A:A,'CategoriasSeções'!B:B)</f>
        <v>Comunicados</v>
      </c>
      <c r="H163" s="1" t="s">
        <v>981</v>
      </c>
      <c r="I163" s="3">
        <v>44613.816666666666</v>
      </c>
      <c r="J163" s="3">
        <v>45526.45486111111</v>
      </c>
      <c r="K163" s="1" t="s">
        <v>1818</v>
      </c>
      <c r="L163" s="1" t="s">
        <v>1818</v>
      </c>
      <c r="M163" s="1" t="s">
        <v>38</v>
      </c>
      <c r="N163" s="1" t="s">
        <v>75</v>
      </c>
      <c r="O163" s="1" t="s">
        <v>69</v>
      </c>
      <c r="P163" s="1" t="s">
        <v>69</v>
      </c>
      <c r="Q163" s="3">
        <v>44613.816666666666</v>
      </c>
      <c r="R163" s="1" t="s">
        <v>1819</v>
      </c>
      <c r="S163" s="1" t="s">
        <v>1820</v>
      </c>
    </row>
    <row r="164" ht="69.0" customHeight="1">
      <c r="A164" s="1">
        <v>1.4178022837773E13</v>
      </c>
      <c r="B164" s="2" t="s">
        <v>1822</v>
      </c>
      <c r="C164" s="1" t="s">
        <v>1327</v>
      </c>
      <c r="D164" s="1" t="s">
        <v>34</v>
      </c>
      <c r="E164" s="1" t="b">
        <v>0</v>
      </c>
      <c r="F164" s="1" t="s">
        <v>956</v>
      </c>
      <c r="G164" s="1" t="str">
        <f t="array" ref="G164">XLOOKUP(A:A,'CategoriasSeções'!A:A,'CategoriasSeções'!B:B)</f>
        <v>Comunicados</v>
      </c>
      <c r="H164" s="1" t="s">
        <v>957</v>
      </c>
      <c r="I164" s="3">
        <v>45006.592361111114</v>
      </c>
      <c r="J164" s="3">
        <v>45526.53888888889</v>
      </c>
      <c r="K164" s="1" t="s">
        <v>1823</v>
      </c>
      <c r="L164" s="1" t="s">
        <v>1823</v>
      </c>
      <c r="M164" s="1" t="s">
        <v>38</v>
      </c>
      <c r="N164" s="1" t="s">
        <v>75</v>
      </c>
      <c r="O164" s="1" t="s">
        <v>69</v>
      </c>
      <c r="P164" s="1" t="s">
        <v>69</v>
      </c>
      <c r="Q164" s="3">
        <v>45006.592361111114</v>
      </c>
      <c r="R164" s="1" t="s">
        <v>1824</v>
      </c>
      <c r="S164" s="1" t="s">
        <v>1825</v>
      </c>
    </row>
    <row r="165" ht="69.0" customHeight="1">
      <c r="A165" s="1">
        <v>4.422723563405E12</v>
      </c>
      <c r="B165" s="2" t="s">
        <v>1827</v>
      </c>
      <c r="C165" s="1" t="s">
        <v>1327</v>
      </c>
      <c r="D165" s="1" t="s">
        <v>34</v>
      </c>
      <c r="E165" s="1" t="b">
        <v>0</v>
      </c>
      <c r="F165" s="1" t="s">
        <v>956</v>
      </c>
      <c r="G165" s="1" t="str">
        <f t="array" ref="G165">XLOOKUP(A:A,'CategoriasSeções'!A:A,'CategoriasSeções'!B:B)</f>
        <v>Comunicados</v>
      </c>
      <c r="H165" s="1" t="s">
        <v>981</v>
      </c>
      <c r="I165" s="3">
        <v>44585.52638888889</v>
      </c>
      <c r="J165" s="3">
        <v>45526.46388888889</v>
      </c>
      <c r="K165" s="1" t="s">
        <v>1828</v>
      </c>
      <c r="L165" s="1" t="s">
        <v>1828</v>
      </c>
      <c r="M165" s="1" t="s">
        <v>38</v>
      </c>
      <c r="N165" s="1" t="s">
        <v>75</v>
      </c>
      <c r="O165" s="1" t="s">
        <v>69</v>
      </c>
      <c r="P165" s="1" t="s">
        <v>69</v>
      </c>
      <c r="Q165" s="3">
        <v>44585.529861111114</v>
      </c>
      <c r="R165" s="1" t="s">
        <v>1829</v>
      </c>
      <c r="S165" s="1" t="s">
        <v>1830</v>
      </c>
    </row>
    <row r="166" ht="69.0" customHeight="1">
      <c r="A166" s="1">
        <v>1.8167986236301E13</v>
      </c>
      <c r="B166" s="2" t="s">
        <v>1832</v>
      </c>
      <c r="C166" s="1" t="s">
        <v>964</v>
      </c>
      <c r="D166" s="1" t="s">
        <v>34</v>
      </c>
      <c r="E166" s="1" t="b">
        <v>0</v>
      </c>
      <c r="F166" s="1" t="s">
        <v>956</v>
      </c>
      <c r="G166" s="1" t="str">
        <f t="array" ref="G166">XLOOKUP(A:A,'CategoriasSeções'!A:A,'CategoriasSeções'!B:B)</f>
        <v>Comunicados</v>
      </c>
      <c r="H166" s="1" t="s">
        <v>957</v>
      </c>
      <c r="I166" s="3">
        <v>45140.751388888886</v>
      </c>
      <c r="J166" s="3">
        <v>45140.75208333333</v>
      </c>
      <c r="K166" s="1" t="s">
        <v>1833</v>
      </c>
      <c r="L166" s="1" t="s">
        <v>1833</v>
      </c>
      <c r="M166" s="1" t="s">
        <v>38</v>
      </c>
      <c r="N166" s="1" t="s">
        <v>75</v>
      </c>
      <c r="O166" s="1" t="s">
        <v>69</v>
      </c>
      <c r="P166" s="1" t="s">
        <v>69</v>
      </c>
      <c r="Q166" s="3">
        <v>45140.751388888886</v>
      </c>
      <c r="R166" s="1" t="s">
        <v>1835</v>
      </c>
      <c r="S166" s="1" t="s">
        <v>1836</v>
      </c>
    </row>
    <row r="167" ht="69.0" customHeight="1">
      <c r="A167" s="1">
        <v>4.415975176461E12</v>
      </c>
      <c r="B167" s="2" t="s">
        <v>1838</v>
      </c>
      <c r="C167" s="1" t="s">
        <v>1327</v>
      </c>
      <c r="D167" s="1" t="s">
        <v>34</v>
      </c>
      <c r="E167" s="1" t="b">
        <v>0</v>
      </c>
      <c r="F167" s="1" t="s">
        <v>956</v>
      </c>
      <c r="G167" s="1" t="str">
        <f t="array" ref="G167">XLOOKUP(A:A,'CategoriasSeções'!A:A,'CategoriasSeções'!B:B)</f>
        <v>Comunicados</v>
      </c>
      <c r="H167" s="1" t="s">
        <v>981</v>
      </c>
      <c r="I167" s="3">
        <v>44538.728472222225</v>
      </c>
      <c r="J167" s="3">
        <v>45526.57638888889</v>
      </c>
      <c r="K167" s="1" t="s">
        <v>1839</v>
      </c>
      <c r="L167" s="1" t="s">
        <v>1839</v>
      </c>
      <c r="M167" s="1" t="s">
        <v>38</v>
      </c>
      <c r="N167" s="1" t="s">
        <v>75</v>
      </c>
      <c r="O167" s="1" t="s">
        <v>69</v>
      </c>
      <c r="P167" s="1" t="s">
        <v>69</v>
      </c>
      <c r="Q167" s="3">
        <v>44538.729166666664</v>
      </c>
      <c r="R167" s="1" t="s">
        <v>1840</v>
      </c>
      <c r="S167" s="1" t="s">
        <v>1841</v>
      </c>
    </row>
    <row r="168" ht="69.0" customHeight="1">
      <c r="A168" s="1">
        <v>1.2664438646797E13</v>
      </c>
      <c r="B168" s="2" t="s">
        <v>1843</v>
      </c>
      <c r="C168" s="1" t="s">
        <v>1327</v>
      </c>
      <c r="D168" s="1" t="s">
        <v>34</v>
      </c>
      <c r="E168" s="1" t="b">
        <v>0</v>
      </c>
      <c r="F168" s="1" t="s">
        <v>956</v>
      </c>
      <c r="G168" s="1" t="str">
        <f t="array" ref="G168">XLOOKUP(A:A,'CategoriasSeções'!A:A,'CategoriasSeções'!B:B)</f>
        <v>Comunicados</v>
      </c>
      <c r="H168" s="1" t="s">
        <v>957</v>
      </c>
      <c r="I168" s="3">
        <v>44956.525</v>
      </c>
      <c r="J168" s="3">
        <v>45526.42152777778</v>
      </c>
      <c r="K168" s="1" t="s">
        <v>1844</v>
      </c>
      <c r="L168" s="1" t="s">
        <v>1844</v>
      </c>
      <c r="M168" s="1" t="s">
        <v>38</v>
      </c>
      <c r="N168" s="1" t="s">
        <v>75</v>
      </c>
      <c r="O168" s="1" t="s">
        <v>69</v>
      </c>
      <c r="P168" s="1" t="s">
        <v>69</v>
      </c>
      <c r="Q168" s="3">
        <v>44956.525</v>
      </c>
      <c r="R168" s="1" t="s">
        <v>1846</v>
      </c>
      <c r="S168" s="1" t="s">
        <v>1847</v>
      </c>
    </row>
    <row r="169" ht="69.0" customHeight="1">
      <c r="A169" s="1">
        <v>4.412732747917E12</v>
      </c>
      <c r="B169" s="2" t="s">
        <v>1849</v>
      </c>
      <c r="C169" s="1" t="s">
        <v>1327</v>
      </c>
      <c r="D169" s="1" t="s">
        <v>34</v>
      </c>
      <c r="E169" s="1" t="b">
        <v>0</v>
      </c>
      <c r="F169" s="1" t="s">
        <v>956</v>
      </c>
      <c r="G169" s="1" t="str">
        <f t="array" ref="G169">XLOOKUP(A:A,'CategoriasSeções'!A:A,'CategoriasSeções'!B:B)</f>
        <v>Comunicados</v>
      </c>
      <c r="H169" s="1" t="s">
        <v>981</v>
      </c>
      <c r="I169" s="3">
        <v>44504.75625</v>
      </c>
      <c r="J169" s="3">
        <v>45526.455555555556</v>
      </c>
      <c r="K169" s="1" t="s">
        <v>1850</v>
      </c>
      <c r="L169" s="1" t="s">
        <v>1850</v>
      </c>
      <c r="M169" s="1" t="s">
        <v>38</v>
      </c>
      <c r="N169" s="1" t="s">
        <v>75</v>
      </c>
      <c r="O169" s="1" t="s">
        <v>69</v>
      </c>
      <c r="P169" s="1" t="s">
        <v>69</v>
      </c>
      <c r="Q169" s="3">
        <v>44504.75625</v>
      </c>
      <c r="R169" s="1" t="s">
        <v>1851</v>
      </c>
      <c r="S169" s="1" t="s">
        <v>1852</v>
      </c>
    </row>
    <row r="170" ht="69.0" customHeight="1">
      <c r="A170" s="1">
        <v>1.2296696702221E13</v>
      </c>
      <c r="B170" s="2" t="s">
        <v>1854</v>
      </c>
      <c r="C170" s="1" t="s">
        <v>1327</v>
      </c>
      <c r="D170" s="1" t="s">
        <v>34</v>
      </c>
      <c r="E170" s="1" t="b">
        <v>0</v>
      </c>
      <c r="F170" s="1" t="s">
        <v>956</v>
      </c>
      <c r="G170" s="1" t="str">
        <f t="array" ref="G170">XLOOKUP(A:A,'CategoriasSeções'!A:A,'CategoriasSeções'!B:B)</f>
        <v>Comunicados</v>
      </c>
      <c r="H170" s="1" t="s">
        <v>957</v>
      </c>
      <c r="I170" s="3">
        <v>44942.82638888889</v>
      </c>
      <c r="J170" s="3">
        <v>45526.42152777778</v>
      </c>
      <c r="K170" s="1" t="s">
        <v>1855</v>
      </c>
      <c r="L170" s="1" t="s">
        <v>1855</v>
      </c>
      <c r="M170" s="1" t="s">
        <v>38</v>
      </c>
      <c r="N170" s="1" t="s">
        <v>75</v>
      </c>
      <c r="O170" s="1" t="s">
        <v>69</v>
      </c>
      <c r="P170" s="1" t="s">
        <v>69</v>
      </c>
      <c r="Q170" s="3">
        <v>44942.82638888889</v>
      </c>
      <c r="R170" s="1" t="s">
        <v>1857</v>
      </c>
      <c r="S170" s="1" t="s">
        <v>1858</v>
      </c>
    </row>
    <row r="171" ht="69.0" customHeight="1">
      <c r="A171" s="1">
        <v>4.411841376909E12</v>
      </c>
      <c r="B171" s="2" t="s">
        <v>1860</v>
      </c>
      <c r="C171" s="1" t="s">
        <v>1327</v>
      </c>
      <c r="D171" s="1" t="s">
        <v>34</v>
      </c>
      <c r="E171" s="1" t="b">
        <v>0</v>
      </c>
      <c r="F171" s="1" t="s">
        <v>956</v>
      </c>
      <c r="G171" s="1" t="str">
        <f t="array" ref="G171">XLOOKUP(A:A,'CategoriasSeções'!A:A,'CategoriasSeções'!B:B)</f>
        <v>Comunicados</v>
      </c>
      <c r="H171" s="1" t="s">
        <v>981</v>
      </c>
      <c r="I171" s="12">
        <v>44491.53472222222</v>
      </c>
      <c r="J171" s="3">
        <v>45526.51388888889</v>
      </c>
      <c r="K171" s="1" t="s">
        <v>1861</v>
      </c>
      <c r="L171" s="1" t="s">
        <v>1861</v>
      </c>
      <c r="M171" s="1" t="s">
        <v>38</v>
      </c>
      <c r="N171" s="1" t="s">
        <v>75</v>
      </c>
      <c r="O171" s="1" t="s">
        <v>69</v>
      </c>
      <c r="P171" s="1" t="s">
        <v>69</v>
      </c>
      <c r="Q171" s="12">
        <v>44491.53472222222</v>
      </c>
      <c r="R171" s="1" t="s">
        <v>1862</v>
      </c>
      <c r="S171" s="1" t="s">
        <v>1863</v>
      </c>
    </row>
    <row r="172" ht="69.0" customHeight="1">
      <c r="A172" s="1">
        <v>1.1817143199245E13</v>
      </c>
      <c r="B172" s="2" t="s">
        <v>1865</v>
      </c>
      <c r="C172" s="1" t="s">
        <v>1327</v>
      </c>
      <c r="D172" s="1" t="s">
        <v>34</v>
      </c>
      <c r="E172" s="1" t="b">
        <v>0</v>
      </c>
      <c r="F172" s="1" t="s">
        <v>956</v>
      </c>
      <c r="G172" s="1" t="str">
        <f t="array" ref="G172">XLOOKUP(A:A,'CategoriasSeções'!A:A,'CategoriasSeções'!B:B)</f>
        <v>Comunicados</v>
      </c>
      <c r="H172" s="1" t="s">
        <v>957</v>
      </c>
      <c r="I172" s="12">
        <v>44924.57638888889</v>
      </c>
      <c r="J172" s="3">
        <v>45526.35555555556</v>
      </c>
      <c r="K172" s="1" t="s">
        <v>1866</v>
      </c>
      <c r="L172" s="1" t="s">
        <v>1866</v>
      </c>
      <c r="M172" s="1" t="s">
        <v>38</v>
      </c>
      <c r="N172" s="1" t="s">
        <v>75</v>
      </c>
      <c r="O172" s="1" t="s">
        <v>69</v>
      </c>
      <c r="P172" s="1" t="s">
        <v>69</v>
      </c>
      <c r="Q172" s="12">
        <v>44924.57708333333</v>
      </c>
      <c r="R172" s="1" t="s">
        <v>1867</v>
      </c>
      <c r="S172" s="1" t="s">
        <v>1868</v>
      </c>
    </row>
    <row r="173" ht="69.0" customHeight="1">
      <c r="A173" s="1">
        <v>4.410747132941E12</v>
      </c>
      <c r="B173" s="2" t="s">
        <v>1870</v>
      </c>
      <c r="C173" s="1" t="s">
        <v>1327</v>
      </c>
      <c r="D173" s="1" t="s">
        <v>34</v>
      </c>
      <c r="E173" s="1" t="b">
        <v>0</v>
      </c>
      <c r="F173" s="1" t="s">
        <v>956</v>
      </c>
      <c r="G173" s="1" t="str">
        <f t="array" ref="G173">XLOOKUP(A:A,'CategoriasSeções'!A:A,'CategoriasSeções'!B:B)</f>
        <v>Comunicados</v>
      </c>
      <c r="H173" s="1" t="s">
        <v>981</v>
      </c>
      <c r="I173" s="3">
        <v>44475.470138888886</v>
      </c>
      <c r="J173" s="3">
        <v>45526.611805555556</v>
      </c>
      <c r="K173" s="1" t="s">
        <v>1871</v>
      </c>
      <c r="L173" s="1" t="s">
        <v>1871</v>
      </c>
      <c r="M173" s="1" t="s">
        <v>38</v>
      </c>
      <c r="N173" s="1" t="s">
        <v>75</v>
      </c>
      <c r="O173" s="1" t="s">
        <v>69</v>
      </c>
      <c r="P173" s="1" t="s">
        <v>69</v>
      </c>
      <c r="Q173" s="3">
        <v>44475.47083333333</v>
      </c>
      <c r="R173" s="1" t="s">
        <v>1872</v>
      </c>
      <c r="S173" s="1" t="s">
        <v>1873</v>
      </c>
    </row>
    <row r="174" ht="69.0" customHeight="1">
      <c r="A174" s="1">
        <v>1.1615891740941E13</v>
      </c>
      <c r="B174" s="2" t="s">
        <v>1875</v>
      </c>
      <c r="C174" s="1" t="s">
        <v>1327</v>
      </c>
      <c r="D174" s="1" t="s">
        <v>34</v>
      </c>
      <c r="E174" s="1" t="b">
        <v>0</v>
      </c>
      <c r="F174" s="1" t="s">
        <v>956</v>
      </c>
      <c r="G174" s="1" t="str">
        <f t="array" ref="G174">XLOOKUP(A:A,'CategoriasSeções'!A:A,'CategoriasSeções'!B:B)</f>
        <v>Comunicados</v>
      </c>
      <c r="H174" s="1" t="s">
        <v>957</v>
      </c>
      <c r="I174" s="12">
        <v>44915.78194444445</v>
      </c>
      <c r="J174" s="3">
        <v>45526.603472222225</v>
      </c>
      <c r="K174" s="1" t="s">
        <v>1876</v>
      </c>
      <c r="L174" s="1" t="s">
        <v>1876</v>
      </c>
      <c r="M174" s="1" t="s">
        <v>38</v>
      </c>
      <c r="N174" s="1" t="s">
        <v>75</v>
      </c>
      <c r="O174" s="1" t="s">
        <v>69</v>
      </c>
      <c r="P174" s="1" t="s">
        <v>69</v>
      </c>
      <c r="Q174" s="12">
        <v>44915.78194444445</v>
      </c>
      <c r="R174" s="1" t="s">
        <v>1877</v>
      </c>
      <c r="S174" s="1" t="s">
        <v>1878</v>
      </c>
    </row>
    <row r="175" ht="69.0" customHeight="1">
      <c r="A175" s="1">
        <v>4.408935937165E12</v>
      </c>
      <c r="B175" s="2" t="s">
        <v>1880</v>
      </c>
      <c r="C175" s="1" t="s">
        <v>1327</v>
      </c>
      <c r="D175" s="1" t="s">
        <v>34</v>
      </c>
      <c r="E175" s="1" t="b">
        <v>0</v>
      </c>
      <c r="F175" s="1" t="s">
        <v>956</v>
      </c>
      <c r="G175" s="1" t="str">
        <f t="array" ref="G175">XLOOKUP(A:A,'CategoriasSeções'!A:A,'CategoriasSeções'!B:B)</f>
        <v>Comunicados</v>
      </c>
      <c r="H175" s="1" t="s">
        <v>981</v>
      </c>
      <c r="I175" s="3">
        <v>44449.69652777778</v>
      </c>
      <c r="J175" s="3">
        <v>45526.57638888889</v>
      </c>
      <c r="K175" s="1" t="s">
        <v>1881</v>
      </c>
      <c r="L175" s="1" t="s">
        <v>1881</v>
      </c>
      <c r="M175" s="1" t="s">
        <v>38</v>
      </c>
      <c r="N175" s="1" t="s">
        <v>75</v>
      </c>
      <c r="O175" s="1" t="s">
        <v>69</v>
      </c>
      <c r="P175" s="1" t="s">
        <v>69</v>
      </c>
      <c r="Q175" s="3">
        <v>44449.697222222225</v>
      </c>
      <c r="R175" s="1" t="s">
        <v>1882</v>
      </c>
      <c r="S175" s="1" t="s">
        <v>1883</v>
      </c>
    </row>
    <row r="176" ht="69.0" customHeight="1">
      <c r="A176" s="1">
        <v>1.1427775089933E13</v>
      </c>
      <c r="B176" s="2" t="s">
        <v>1885</v>
      </c>
      <c r="C176" s="1" t="s">
        <v>1327</v>
      </c>
      <c r="D176" s="1" t="s">
        <v>34</v>
      </c>
      <c r="E176" s="1" t="b">
        <v>0</v>
      </c>
      <c r="F176" s="1" t="s">
        <v>956</v>
      </c>
      <c r="G176" s="1" t="str">
        <f t="array" ref="G176">XLOOKUP(A:A,'CategoriasSeções'!A:A,'CategoriasSeções'!B:B)</f>
        <v>Comunicados</v>
      </c>
      <c r="H176" s="1" t="s">
        <v>957</v>
      </c>
      <c r="I176" s="12">
        <v>44908.87569444445</v>
      </c>
      <c r="J176" s="3">
        <v>45526.620833333334</v>
      </c>
      <c r="K176" s="1" t="s">
        <v>1886</v>
      </c>
      <c r="L176" s="1" t="s">
        <v>1886</v>
      </c>
      <c r="M176" s="1" t="s">
        <v>38</v>
      </c>
      <c r="N176" s="1" t="s">
        <v>75</v>
      </c>
      <c r="O176" s="1" t="s">
        <v>69</v>
      </c>
      <c r="P176" s="1" t="s">
        <v>69</v>
      </c>
      <c r="Q176" s="12">
        <v>44908.87569444445</v>
      </c>
      <c r="R176" s="1" t="s">
        <v>1887</v>
      </c>
      <c r="S176" s="1" t="s">
        <v>1888</v>
      </c>
    </row>
    <row r="177" ht="69.0" customHeight="1">
      <c r="A177" s="1">
        <v>4.408192338701E12</v>
      </c>
      <c r="B177" s="2" t="s">
        <v>1890</v>
      </c>
      <c r="C177" s="1" t="s">
        <v>1327</v>
      </c>
      <c r="D177" s="1" t="s">
        <v>34</v>
      </c>
      <c r="E177" s="1" t="b">
        <v>0</v>
      </c>
      <c r="F177" s="1" t="s">
        <v>956</v>
      </c>
      <c r="G177" s="1" t="str">
        <f t="array" ref="G177">XLOOKUP(A:A,'CategoriasSeções'!A:A,'CategoriasSeções'!B:B)</f>
        <v>Comunicados</v>
      </c>
      <c r="H177" s="1" t="s">
        <v>981</v>
      </c>
      <c r="I177" s="3">
        <v>44438.61736111111</v>
      </c>
      <c r="J177" s="3">
        <v>45526.59027777778</v>
      </c>
      <c r="K177" s="1" t="s">
        <v>1891</v>
      </c>
      <c r="L177" s="1" t="s">
        <v>1891</v>
      </c>
      <c r="M177" s="1" t="s">
        <v>38</v>
      </c>
      <c r="N177" s="1" t="s">
        <v>75</v>
      </c>
      <c r="O177" s="1" t="s">
        <v>69</v>
      </c>
      <c r="P177" s="1" t="s">
        <v>69</v>
      </c>
      <c r="Q177" s="3">
        <v>44438.61736111111</v>
      </c>
      <c r="R177" s="1" t="s">
        <v>1892</v>
      </c>
      <c r="S177" s="1" t="s">
        <v>1893</v>
      </c>
    </row>
    <row r="178" ht="69.0" customHeight="1">
      <c r="A178" s="1">
        <v>1.1184405951885E13</v>
      </c>
      <c r="B178" s="2" t="s">
        <v>1895</v>
      </c>
      <c r="C178" s="1" t="s">
        <v>1327</v>
      </c>
      <c r="D178" s="1" t="s">
        <v>34</v>
      </c>
      <c r="E178" s="1" t="b">
        <v>0</v>
      </c>
      <c r="F178" s="1" t="s">
        <v>956</v>
      </c>
      <c r="G178" s="1" t="str">
        <f t="array" ref="G178">XLOOKUP(A:A,'CategoriasSeções'!A:A,'CategoriasSeções'!B:B)</f>
        <v>Comunicados</v>
      </c>
      <c r="H178" s="1" t="s">
        <v>957</v>
      </c>
      <c r="I178" s="3">
        <v>44900.57708333333</v>
      </c>
      <c r="J178" s="3">
        <v>45526.455555555556</v>
      </c>
      <c r="K178" s="1" t="s">
        <v>1896</v>
      </c>
      <c r="L178" s="1" t="s">
        <v>1896</v>
      </c>
      <c r="M178" s="1" t="s">
        <v>38</v>
      </c>
      <c r="N178" s="1" t="s">
        <v>75</v>
      </c>
      <c r="O178" s="1" t="s">
        <v>69</v>
      </c>
      <c r="P178" s="1" t="s">
        <v>69</v>
      </c>
      <c r="Q178" s="3">
        <v>44900.57708333333</v>
      </c>
      <c r="R178" s="1" t="s">
        <v>1897</v>
      </c>
      <c r="S178" s="1" t="s">
        <v>1898</v>
      </c>
    </row>
    <row r="179" ht="69.0" customHeight="1">
      <c r="A179" s="1">
        <v>4.402788262541E12</v>
      </c>
      <c r="B179" s="2" t="s">
        <v>1900</v>
      </c>
      <c r="C179" s="1" t="s">
        <v>1327</v>
      </c>
      <c r="D179" s="1" t="s">
        <v>34</v>
      </c>
      <c r="E179" s="1" t="b">
        <v>0</v>
      </c>
      <c r="F179" s="1" t="s">
        <v>956</v>
      </c>
      <c r="G179" s="1" t="str">
        <f t="array" ref="G179">XLOOKUP(A:A,'CategoriasSeções'!A:A,'CategoriasSeções'!B:B)</f>
        <v>Comunicados</v>
      </c>
      <c r="H179" s="1" t="s">
        <v>981</v>
      </c>
      <c r="I179" s="3">
        <v>44357.629166666666</v>
      </c>
      <c r="J179" s="3">
        <v>45526.55972222222</v>
      </c>
      <c r="K179" s="1" t="s">
        <v>1901</v>
      </c>
      <c r="L179" s="1" t="s">
        <v>1901</v>
      </c>
      <c r="M179" s="1" t="s">
        <v>38</v>
      </c>
      <c r="N179" s="1" t="s">
        <v>75</v>
      </c>
      <c r="O179" s="1" t="s">
        <v>69</v>
      </c>
      <c r="P179" s="1" t="s">
        <v>69</v>
      </c>
      <c r="Q179" s="3">
        <v>44369.45972222222</v>
      </c>
      <c r="R179" s="1" t="s">
        <v>1902</v>
      </c>
      <c r="S179" s="1" t="s">
        <v>1903</v>
      </c>
    </row>
    <row r="180" ht="69.0" customHeight="1">
      <c r="A180" s="1">
        <v>1.1032670727821E13</v>
      </c>
      <c r="B180" s="2" t="s">
        <v>1905</v>
      </c>
      <c r="C180" s="1" t="s">
        <v>1327</v>
      </c>
      <c r="D180" s="1" t="s">
        <v>34</v>
      </c>
      <c r="E180" s="1" t="b">
        <v>0</v>
      </c>
      <c r="F180" s="1" t="s">
        <v>956</v>
      </c>
      <c r="G180" s="1" t="str">
        <f t="array" ref="G180">XLOOKUP(A:A,'CategoriasSeções'!A:A,'CategoriasSeções'!B:B)</f>
        <v>Comunicados</v>
      </c>
      <c r="H180" s="1" t="s">
        <v>957</v>
      </c>
      <c r="I180" s="12">
        <v>44895.71388888889</v>
      </c>
      <c r="J180" s="3">
        <v>45526.51875</v>
      </c>
      <c r="K180" s="1" t="s">
        <v>1906</v>
      </c>
      <c r="L180" s="1" t="s">
        <v>1906</v>
      </c>
      <c r="M180" s="1" t="s">
        <v>38</v>
      </c>
      <c r="N180" s="1" t="s">
        <v>75</v>
      </c>
      <c r="O180" s="1" t="s">
        <v>69</v>
      </c>
      <c r="P180" s="1" t="s">
        <v>69</v>
      </c>
      <c r="Q180" s="12">
        <v>44895.71388888889</v>
      </c>
      <c r="R180" s="1" t="s">
        <v>1907</v>
      </c>
      <c r="S180" s="1" t="s">
        <v>1908</v>
      </c>
    </row>
    <row r="181" ht="69.0" customHeight="1">
      <c r="A181" s="1">
        <v>3.60061589751E11</v>
      </c>
      <c r="B181" s="2" t="s">
        <v>1910</v>
      </c>
      <c r="C181" s="1" t="s">
        <v>1327</v>
      </c>
      <c r="D181" s="1" t="s">
        <v>34</v>
      </c>
      <c r="E181" s="1" t="b">
        <v>0</v>
      </c>
      <c r="F181" s="1" t="s">
        <v>956</v>
      </c>
      <c r="G181" s="1" t="str">
        <f t="array" ref="G181">XLOOKUP(A:A,'CategoriasSeções'!A:A,'CategoriasSeções'!B:B)</f>
        <v>Comunicados</v>
      </c>
      <c r="H181" s="1" t="s">
        <v>981</v>
      </c>
      <c r="I181" s="3">
        <v>44337.57916666667</v>
      </c>
      <c r="J181" s="3">
        <v>45526.603472222225</v>
      </c>
      <c r="K181" s="1" t="s">
        <v>1911</v>
      </c>
      <c r="L181" s="1" t="s">
        <v>1911</v>
      </c>
      <c r="M181" s="1" t="s">
        <v>38</v>
      </c>
      <c r="N181" s="1" t="s">
        <v>75</v>
      </c>
      <c r="O181" s="1" t="s">
        <v>69</v>
      </c>
      <c r="P181" s="1" t="s">
        <v>69</v>
      </c>
      <c r="Q181" s="3">
        <v>44340.50347222222</v>
      </c>
      <c r="R181" s="1" t="s">
        <v>1912</v>
      </c>
      <c r="S181" s="1" t="s">
        <v>1913</v>
      </c>
    </row>
    <row r="182" ht="69.0" customHeight="1">
      <c r="A182" s="1">
        <v>1.0474798909965E13</v>
      </c>
      <c r="B182" s="2" t="s">
        <v>1915</v>
      </c>
      <c r="C182" s="1" t="s">
        <v>1327</v>
      </c>
      <c r="D182" s="1" t="s">
        <v>34</v>
      </c>
      <c r="E182" s="1" t="b">
        <v>0</v>
      </c>
      <c r="F182" s="1" t="s">
        <v>956</v>
      </c>
      <c r="G182" s="1" t="str">
        <f t="array" ref="G182">XLOOKUP(A:A,'CategoriasSeções'!A:A,'CategoriasSeções'!B:B)</f>
        <v>Comunicados</v>
      </c>
      <c r="H182" s="1" t="s">
        <v>957</v>
      </c>
      <c r="I182" s="3">
        <v>44873.6</v>
      </c>
      <c r="J182" s="3">
        <v>45526.51875</v>
      </c>
      <c r="K182" s="1" t="s">
        <v>1916</v>
      </c>
      <c r="L182" s="1" t="s">
        <v>1916</v>
      </c>
      <c r="M182" s="1" t="s">
        <v>38</v>
      </c>
      <c r="N182" s="1" t="s">
        <v>75</v>
      </c>
      <c r="O182" s="1" t="s">
        <v>69</v>
      </c>
      <c r="P182" s="1" t="s">
        <v>69</v>
      </c>
      <c r="Q182" s="3">
        <v>44873.60138888889</v>
      </c>
      <c r="R182" s="1" t="s">
        <v>1917</v>
      </c>
      <c r="S182" s="1" t="s">
        <v>1918</v>
      </c>
    </row>
    <row r="183" ht="69.0" customHeight="1">
      <c r="A183" s="1">
        <v>3.60060393971E11</v>
      </c>
      <c r="B183" s="2" t="s">
        <v>1920</v>
      </c>
      <c r="C183" s="1" t="s">
        <v>1327</v>
      </c>
      <c r="D183" s="1" t="s">
        <v>34</v>
      </c>
      <c r="E183" s="1" t="b">
        <v>0</v>
      </c>
      <c r="F183" s="1" t="s">
        <v>956</v>
      </c>
      <c r="G183" s="1" t="str">
        <f t="array" ref="G183">XLOOKUP(A:A,'CategoriasSeções'!A:A,'CategoriasSeções'!B:B)</f>
        <v>Comunicados</v>
      </c>
      <c r="H183" s="1" t="s">
        <v>981</v>
      </c>
      <c r="I183" s="3">
        <v>44312.57013888889</v>
      </c>
      <c r="J183" s="3">
        <v>45526.53888888889</v>
      </c>
      <c r="K183" s="1" t="s">
        <v>1921</v>
      </c>
      <c r="L183" s="1" t="s">
        <v>1921</v>
      </c>
      <c r="M183" s="1" t="s">
        <v>38</v>
      </c>
      <c r="N183" s="1" t="s">
        <v>75</v>
      </c>
      <c r="O183" s="1" t="s">
        <v>69</v>
      </c>
      <c r="P183" s="1" t="s">
        <v>69</v>
      </c>
      <c r="Q183" s="3">
        <v>44312.57013888889</v>
      </c>
      <c r="R183" s="1" t="s">
        <v>1922</v>
      </c>
      <c r="S183" s="1" t="s">
        <v>1923</v>
      </c>
    </row>
    <row r="184" ht="69.0" customHeight="1">
      <c r="A184" s="1">
        <v>1.0281175928077E13</v>
      </c>
      <c r="B184" s="2" t="s">
        <v>1925</v>
      </c>
      <c r="C184" s="1" t="s">
        <v>1327</v>
      </c>
      <c r="D184" s="1" t="s">
        <v>34</v>
      </c>
      <c r="E184" s="1" t="b">
        <v>0</v>
      </c>
      <c r="F184" s="1" t="s">
        <v>956</v>
      </c>
      <c r="G184" s="1" t="str">
        <f t="array" ref="G184">XLOOKUP(A:A,'CategoriasSeções'!A:A,'CategoriasSeções'!B:B)</f>
        <v>Comunicados</v>
      </c>
      <c r="H184" s="1" t="s">
        <v>957</v>
      </c>
      <c r="I184" s="12">
        <v>44865.745833333334</v>
      </c>
      <c r="J184" s="3">
        <v>45526.57638888889</v>
      </c>
      <c r="K184" s="1" t="s">
        <v>1926</v>
      </c>
      <c r="L184" s="1" t="s">
        <v>1926</v>
      </c>
      <c r="M184" s="1" t="s">
        <v>38</v>
      </c>
      <c r="N184" s="1" t="s">
        <v>75</v>
      </c>
      <c r="O184" s="1" t="s">
        <v>69</v>
      </c>
      <c r="P184" s="1" t="s">
        <v>69</v>
      </c>
      <c r="Q184" s="12">
        <v>44865.74652777778</v>
      </c>
      <c r="R184" s="1" t="s">
        <v>1927</v>
      </c>
      <c r="S184" s="1" t="s">
        <v>1928</v>
      </c>
    </row>
    <row r="185" ht="69.0" customHeight="1">
      <c r="A185" s="1">
        <v>3.60059102152E11</v>
      </c>
      <c r="B185" s="2" t="s">
        <v>1930</v>
      </c>
      <c r="C185" s="1" t="s">
        <v>1327</v>
      </c>
      <c r="D185" s="1" t="s">
        <v>34</v>
      </c>
      <c r="E185" s="1" t="b">
        <v>0</v>
      </c>
      <c r="F185" s="1" t="s">
        <v>956</v>
      </c>
      <c r="G185" s="1" t="str">
        <f t="array" ref="G185">XLOOKUP(A:A,'CategoriasSeções'!A:A,'CategoriasSeções'!B:B)</f>
        <v>Comunicados</v>
      </c>
      <c r="H185" s="1" t="s">
        <v>981</v>
      </c>
      <c r="I185" s="3">
        <v>44293.56805555556</v>
      </c>
      <c r="J185" s="3">
        <v>45526.59027777778</v>
      </c>
      <c r="K185" s="1" t="s">
        <v>1931</v>
      </c>
      <c r="L185" s="1" t="s">
        <v>1931</v>
      </c>
      <c r="M185" s="1" t="s">
        <v>38</v>
      </c>
      <c r="N185" s="1" t="s">
        <v>75</v>
      </c>
      <c r="O185" s="1" t="s">
        <v>69</v>
      </c>
      <c r="P185" s="1" t="s">
        <v>69</v>
      </c>
      <c r="Q185" s="3">
        <v>44293.56875</v>
      </c>
      <c r="R185" s="1" t="s">
        <v>1932</v>
      </c>
      <c r="S185" s="1" t="s">
        <v>1933</v>
      </c>
    </row>
    <row r="186" ht="69.0" customHeight="1">
      <c r="A186" s="1">
        <v>1.0106414825613E13</v>
      </c>
      <c r="B186" s="2" t="s">
        <v>1935</v>
      </c>
      <c r="C186" s="1" t="s">
        <v>1327</v>
      </c>
      <c r="D186" s="1" t="s">
        <v>34</v>
      </c>
      <c r="E186" s="1" t="b">
        <v>0</v>
      </c>
      <c r="F186" s="1" t="s">
        <v>956</v>
      </c>
      <c r="G186" s="1" t="str">
        <f t="array" ref="G186">XLOOKUP(A:A,'CategoriasSeções'!A:A,'CategoriasSeções'!B:B)</f>
        <v>Comunicados</v>
      </c>
      <c r="H186" s="1" t="s">
        <v>957</v>
      </c>
      <c r="I186" s="12">
        <v>44858.629166666666</v>
      </c>
      <c r="J186" s="3">
        <v>45526.51388888889</v>
      </c>
      <c r="K186" s="1" t="s">
        <v>1936</v>
      </c>
      <c r="L186" s="1" t="s">
        <v>1936</v>
      </c>
      <c r="M186" s="1" t="s">
        <v>38</v>
      </c>
      <c r="N186" s="1" t="s">
        <v>75</v>
      </c>
      <c r="O186" s="1" t="s">
        <v>69</v>
      </c>
      <c r="P186" s="1" t="s">
        <v>69</v>
      </c>
      <c r="Q186" s="12">
        <v>44858.629166666666</v>
      </c>
      <c r="R186" s="1" t="s">
        <v>1937</v>
      </c>
      <c r="S186" s="1" t="s">
        <v>1938</v>
      </c>
    </row>
    <row r="187" ht="69.0" customHeight="1">
      <c r="A187" s="1">
        <v>3.60058953071E11</v>
      </c>
      <c r="B187" s="2" t="s">
        <v>1940</v>
      </c>
      <c r="C187" s="1" t="s">
        <v>1327</v>
      </c>
      <c r="D187" s="1" t="s">
        <v>34</v>
      </c>
      <c r="E187" s="1" t="b">
        <v>0</v>
      </c>
      <c r="F187" s="1" t="s">
        <v>956</v>
      </c>
      <c r="G187" s="1" t="str">
        <f t="array" ref="G187">XLOOKUP(A:A,'CategoriasSeções'!A:A,'CategoriasSeções'!B:B)</f>
        <v>Comunicados</v>
      </c>
      <c r="H187" s="1" t="s">
        <v>981</v>
      </c>
      <c r="I187" s="3">
        <v>44279.73472222222</v>
      </c>
      <c r="J187" s="3">
        <v>45526.57638888889</v>
      </c>
      <c r="K187" s="1" t="s">
        <v>1941</v>
      </c>
      <c r="L187" s="1" t="s">
        <v>1941</v>
      </c>
      <c r="M187" s="1" t="s">
        <v>38</v>
      </c>
      <c r="N187" s="1" t="s">
        <v>75</v>
      </c>
      <c r="O187" s="1" t="s">
        <v>69</v>
      </c>
      <c r="P187" s="1" t="s">
        <v>69</v>
      </c>
      <c r="Q187" s="3">
        <v>44279.73472222222</v>
      </c>
      <c r="R187" s="1" t="s">
        <v>1942</v>
      </c>
      <c r="S187" s="1" t="s">
        <v>1943</v>
      </c>
    </row>
    <row r="188" ht="69.0" customHeight="1">
      <c r="A188" s="1">
        <v>9.717845832205E12</v>
      </c>
      <c r="B188" s="2" t="s">
        <v>1945</v>
      </c>
      <c r="C188" s="1" t="s">
        <v>1327</v>
      </c>
      <c r="D188" s="1" t="s">
        <v>34</v>
      </c>
      <c r="E188" s="1" t="b">
        <v>0</v>
      </c>
      <c r="F188" s="1" t="s">
        <v>956</v>
      </c>
      <c r="G188" s="1" t="str">
        <f t="array" ref="G188">XLOOKUP(A:A,'CategoriasSeções'!A:A,'CategoriasSeções'!B:B)</f>
        <v>Comunicados</v>
      </c>
      <c r="H188" s="1" t="s">
        <v>957</v>
      </c>
      <c r="I188" s="3">
        <v>44841.575694444444</v>
      </c>
      <c r="J188" s="3">
        <v>45526.45486111111</v>
      </c>
      <c r="K188" s="1" t="s">
        <v>1946</v>
      </c>
      <c r="L188" s="1" t="s">
        <v>1946</v>
      </c>
      <c r="M188" s="1" t="s">
        <v>38</v>
      </c>
      <c r="N188" s="1" t="s">
        <v>75</v>
      </c>
      <c r="O188" s="1" t="s">
        <v>69</v>
      </c>
      <c r="P188" s="1" t="s">
        <v>69</v>
      </c>
      <c r="Q188" s="3">
        <v>44841.57638888889</v>
      </c>
      <c r="R188" s="1" t="s">
        <v>1947</v>
      </c>
      <c r="S188" s="1" t="s">
        <v>1948</v>
      </c>
    </row>
    <row r="189" ht="69.0" customHeight="1">
      <c r="A189" s="1">
        <v>3.60056022232E11</v>
      </c>
      <c r="B189" s="2" t="s">
        <v>1950</v>
      </c>
      <c r="C189" s="1" t="s">
        <v>1327</v>
      </c>
      <c r="D189" s="1" t="s">
        <v>34</v>
      </c>
      <c r="E189" s="1" t="b">
        <v>0</v>
      </c>
      <c r="F189" s="1" t="s">
        <v>956</v>
      </c>
      <c r="G189" s="1" t="str">
        <f t="array" ref="G189">XLOOKUP(A:A,'CategoriasSeções'!A:A,'CategoriasSeções'!B:B)</f>
        <v>Comunicados</v>
      </c>
      <c r="H189" s="1" t="s">
        <v>981</v>
      </c>
      <c r="I189" s="3">
        <v>44230.61666666667</v>
      </c>
      <c r="J189" s="3">
        <v>45526.57638888889</v>
      </c>
      <c r="K189" s="1" t="s">
        <v>1951</v>
      </c>
      <c r="L189" s="1" t="s">
        <v>1951</v>
      </c>
      <c r="M189" s="1" t="s">
        <v>38</v>
      </c>
      <c r="N189" s="1" t="s">
        <v>75</v>
      </c>
      <c r="O189" s="1" t="s">
        <v>69</v>
      </c>
      <c r="P189" s="1" t="s">
        <v>69</v>
      </c>
      <c r="Q189" s="3">
        <v>44238.51875</v>
      </c>
      <c r="R189" s="1" t="s">
        <v>1952</v>
      </c>
      <c r="S189" s="1" t="s">
        <v>1953</v>
      </c>
    </row>
    <row r="190" ht="69.0" customHeight="1">
      <c r="A190" s="1">
        <v>9.467579676941E12</v>
      </c>
      <c r="B190" s="2" t="s">
        <v>1955</v>
      </c>
      <c r="C190" s="1" t="s">
        <v>1327</v>
      </c>
      <c r="D190" s="1" t="s">
        <v>34</v>
      </c>
      <c r="E190" s="1" t="b">
        <v>0</v>
      </c>
      <c r="F190" s="1" t="s">
        <v>956</v>
      </c>
      <c r="G190" s="1" t="str">
        <f t="array" ref="G190">XLOOKUP(A:A,'CategoriasSeções'!A:A,'CategoriasSeções'!B:B)</f>
        <v>Comunicados</v>
      </c>
      <c r="H190" s="1" t="s">
        <v>957</v>
      </c>
      <c r="I190" s="3">
        <v>44831.55972222222</v>
      </c>
      <c r="J190" s="3">
        <v>45526.603472222225</v>
      </c>
      <c r="K190" s="1" t="s">
        <v>1956</v>
      </c>
      <c r="L190" s="1" t="s">
        <v>1956</v>
      </c>
      <c r="M190" s="1" t="s">
        <v>38</v>
      </c>
      <c r="N190" s="1" t="s">
        <v>75</v>
      </c>
      <c r="O190" s="1" t="s">
        <v>69</v>
      </c>
      <c r="P190" s="1" t="s">
        <v>69</v>
      </c>
      <c r="Q190" s="3">
        <v>44831.55972222222</v>
      </c>
      <c r="R190" s="1" t="s">
        <v>1957</v>
      </c>
      <c r="S190" s="1" t="s">
        <v>1958</v>
      </c>
    </row>
    <row r="191" ht="69.0" customHeight="1">
      <c r="A191" s="1">
        <v>3.60055863831E11</v>
      </c>
      <c r="B191" s="2" t="s">
        <v>1960</v>
      </c>
      <c r="C191" s="1" t="s">
        <v>1327</v>
      </c>
      <c r="D191" s="1" t="s">
        <v>34</v>
      </c>
      <c r="E191" s="1" t="b">
        <v>0</v>
      </c>
      <c r="F191" s="1" t="s">
        <v>956</v>
      </c>
      <c r="G191" s="1" t="str">
        <f t="array" ref="G191">XLOOKUP(A:A,'CategoriasSeções'!A:A,'CategoriasSeções'!B:B)</f>
        <v>Comunicados</v>
      </c>
      <c r="H191" s="1" t="s">
        <v>981</v>
      </c>
      <c r="I191" s="3">
        <v>44218.63402777778</v>
      </c>
      <c r="J191" s="3">
        <v>45526.603472222225</v>
      </c>
      <c r="K191" s="1" t="s">
        <v>1961</v>
      </c>
      <c r="L191" s="1" t="s">
        <v>1961</v>
      </c>
      <c r="M191" s="1" t="s">
        <v>38</v>
      </c>
      <c r="N191" s="1" t="s">
        <v>75</v>
      </c>
      <c r="O191" s="1" t="s">
        <v>69</v>
      </c>
      <c r="P191" s="1" t="s">
        <v>69</v>
      </c>
      <c r="Q191" s="3">
        <v>44218.63402777778</v>
      </c>
      <c r="R191" s="1" t="s">
        <v>1962</v>
      </c>
      <c r="S191" s="1" t="s">
        <v>1963</v>
      </c>
    </row>
    <row r="192" ht="69.0" customHeight="1">
      <c r="A192" s="1">
        <v>9.185581677197E12</v>
      </c>
      <c r="B192" s="2" t="s">
        <v>1965</v>
      </c>
      <c r="C192" s="1" t="s">
        <v>1327</v>
      </c>
      <c r="D192" s="1" t="s">
        <v>34</v>
      </c>
      <c r="E192" s="1" t="b">
        <v>0</v>
      </c>
      <c r="F192" s="1" t="s">
        <v>956</v>
      </c>
      <c r="G192" s="1" t="str">
        <f t="array" ref="G192">XLOOKUP(A:A,'CategoriasSeções'!A:A,'CategoriasSeções'!B:B)</f>
        <v>Comunicados</v>
      </c>
      <c r="H192" s="1" t="s">
        <v>957</v>
      </c>
      <c r="I192" s="3">
        <v>44819.55763888889</v>
      </c>
      <c r="J192" s="3">
        <v>45526.53888888889</v>
      </c>
      <c r="K192" s="1" t="s">
        <v>1966</v>
      </c>
      <c r="L192" s="1" t="s">
        <v>1966</v>
      </c>
      <c r="M192" s="1" t="s">
        <v>38</v>
      </c>
      <c r="N192" s="1" t="s">
        <v>75</v>
      </c>
      <c r="O192" s="1" t="s">
        <v>69</v>
      </c>
      <c r="P192" s="1" t="s">
        <v>69</v>
      </c>
      <c r="Q192" s="3">
        <v>44819.55763888889</v>
      </c>
      <c r="R192" s="1" t="s">
        <v>1967</v>
      </c>
      <c r="S192" s="1" t="s">
        <v>1968</v>
      </c>
    </row>
    <row r="193" ht="69.0" customHeight="1">
      <c r="A193" s="1">
        <v>3.60053518051E11</v>
      </c>
      <c r="B193" s="2" t="s">
        <v>1970</v>
      </c>
      <c r="C193" s="1" t="s">
        <v>1327</v>
      </c>
      <c r="D193" s="1" t="s">
        <v>34</v>
      </c>
      <c r="E193" s="1" t="b">
        <v>0</v>
      </c>
      <c r="F193" s="1" t="s">
        <v>956</v>
      </c>
      <c r="G193" s="1" t="str">
        <f t="array" ref="G193">XLOOKUP(A:A,'CategoriasSeções'!A:A,'CategoriasSeções'!B:B)</f>
        <v>Comunicados</v>
      </c>
      <c r="H193" s="1" t="s">
        <v>981</v>
      </c>
      <c r="I193" s="3">
        <v>44174.44930555556</v>
      </c>
      <c r="J193" s="3">
        <v>45526.620833333334</v>
      </c>
      <c r="K193" s="1" t="s">
        <v>1971</v>
      </c>
      <c r="L193" s="1" t="s">
        <v>1971</v>
      </c>
      <c r="M193" s="1" t="s">
        <v>38</v>
      </c>
      <c r="N193" s="1" t="s">
        <v>75</v>
      </c>
      <c r="O193" s="1" t="s">
        <v>69</v>
      </c>
      <c r="P193" s="1" t="s">
        <v>69</v>
      </c>
      <c r="Q193" s="3">
        <v>44174.45</v>
      </c>
      <c r="R193" s="1" t="s">
        <v>1972</v>
      </c>
      <c r="S193" s="1" t="s">
        <v>1973</v>
      </c>
    </row>
    <row r="194" ht="69.0" customHeight="1">
      <c r="A194" s="1">
        <v>8.705793155469E12</v>
      </c>
      <c r="B194" s="2" t="s">
        <v>1975</v>
      </c>
      <c r="C194" s="1" t="s">
        <v>1327</v>
      </c>
      <c r="D194" s="1" t="s">
        <v>34</v>
      </c>
      <c r="E194" s="1" t="b">
        <v>0</v>
      </c>
      <c r="F194" s="1" t="s">
        <v>956</v>
      </c>
      <c r="G194" s="1" t="str">
        <f t="array" ref="G194">XLOOKUP(A:A,'CategoriasSeções'!A:A,'CategoriasSeções'!B:B)</f>
        <v>Comunicados</v>
      </c>
      <c r="H194" s="1" t="s">
        <v>957</v>
      </c>
      <c r="I194" s="3">
        <v>44799.47430555556</v>
      </c>
      <c r="J194" s="3">
        <v>45526.51875</v>
      </c>
      <c r="K194" s="1" t="s">
        <v>1976</v>
      </c>
      <c r="L194" s="1" t="s">
        <v>1976</v>
      </c>
      <c r="M194" s="1" t="s">
        <v>38</v>
      </c>
      <c r="N194" s="1" t="s">
        <v>75</v>
      </c>
      <c r="O194" s="1" t="s">
        <v>69</v>
      </c>
      <c r="P194" s="1" t="s">
        <v>69</v>
      </c>
      <c r="Q194" s="3">
        <v>44799.47430555556</v>
      </c>
      <c r="R194" s="1" t="s">
        <v>1977</v>
      </c>
      <c r="S194" s="1" t="s">
        <v>1978</v>
      </c>
    </row>
    <row r="195" ht="69.0" customHeight="1">
      <c r="A195" s="1">
        <v>3.60050927732E11</v>
      </c>
      <c r="B195" s="2" t="s">
        <v>1980</v>
      </c>
      <c r="C195" s="1" t="s">
        <v>1327</v>
      </c>
      <c r="D195" s="1" t="s">
        <v>34</v>
      </c>
      <c r="E195" s="1" t="b">
        <v>0</v>
      </c>
      <c r="F195" s="1" t="s">
        <v>956</v>
      </c>
      <c r="G195" s="1" t="str">
        <f t="array" ref="G195">XLOOKUP(A:A,'CategoriasSeções'!A:A,'CategoriasSeções'!B:B)</f>
        <v>Comunicados</v>
      </c>
      <c r="H195" s="1" t="s">
        <v>981</v>
      </c>
      <c r="I195" s="12">
        <v>44126.46875</v>
      </c>
      <c r="J195" s="3">
        <v>45526.55972222222</v>
      </c>
      <c r="K195" s="1" t="s">
        <v>1981</v>
      </c>
      <c r="L195" s="1" t="s">
        <v>1981</v>
      </c>
      <c r="M195" s="1" t="s">
        <v>38</v>
      </c>
      <c r="N195" s="1" t="s">
        <v>75</v>
      </c>
      <c r="O195" s="1" t="s">
        <v>69</v>
      </c>
      <c r="P195" s="1" t="s">
        <v>69</v>
      </c>
      <c r="Q195" s="12">
        <v>44126.46944444445</v>
      </c>
      <c r="R195" s="1" t="s">
        <v>1982</v>
      </c>
      <c r="S195" s="1" t="s">
        <v>1983</v>
      </c>
    </row>
    <row r="196" ht="69.0" customHeight="1">
      <c r="A196" s="1">
        <v>8.466998498957E12</v>
      </c>
      <c r="B196" s="2" t="s">
        <v>1985</v>
      </c>
      <c r="C196" s="1" t="s">
        <v>1327</v>
      </c>
      <c r="D196" s="1" t="s">
        <v>34</v>
      </c>
      <c r="E196" s="1" t="b">
        <v>0</v>
      </c>
      <c r="F196" s="1" t="s">
        <v>956</v>
      </c>
      <c r="G196" s="1" t="str">
        <f t="array" ref="G196">XLOOKUP(A:A,'CategoriasSeções'!A:A,'CategoriasSeções'!B:B)</f>
        <v>Comunicados</v>
      </c>
      <c r="H196" s="1" t="s">
        <v>957</v>
      </c>
      <c r="I196" s="3">
        <v>44789.836805555555</v>
      </c>
      <c r="J196" s="3">
        <v>45526.51875</v>
      </c>
      <c r="K196" s="1" t="s">
        <v>1986</v>
      </c>
      <c r="L196" s="1" t="s">
        <v>1986</v>
      </c>
      <c r="M196" s="1" t="s">
        <v>38</v>
      </c>
      <c r="N196" s="1" t="s">
        <v>75</v>
      </c>
      <c r="O196" s="1" t="s">
        <v>69</v>
      </c>
      <c r="P196" s="1" t="s">
        <v>69</v>
      </c>
      <c r="Q196" s="3">
        <v>44789.836805555555</v>
      </c>
      <c r="R196" s="1" t="s">
        <v>1987</v>
      </c>
      <c r="S196" s="1" t="s">
        <v>1988</v>
      </c>
    </row>
    <row r="197" ht="69.0" customHeight="1">
      <c r="A197" s="1">
        <v>3.60050291092E11</v>
      </c>
      <c r="B197" s="2" t="s">
        <v>1990</v>
      </c>
      <c r="C197" s="1" t="s">
        <v>1327</v>
      </c>
      <c r="D197" s="1" t="s">
        <v>34</v>
      </c>
      <c r="E197" s="1" t="b">
        <v>0</v>
      </c>
      <c r="F197" s="1" t="s">
        <v>956</v>
      </c>
      <c r="G197" s="1" t="str">
        <f t="array" ref="G197">XLOOKUP(A:A,'CategoriasSeções'!A:A,'CategoriasSeções'!B:B)</f>
        <v>Comunicados</v>
      </c>
      <c r="H197" s="1" t="s">
        <v>981</v>
      </c>
      <c r="I197" s="3">
        <v>44112.58541666667</v>
      </c>
      <c r="J197" s="3">
        <v>45526.611805555556</v>
      </c>
      <c r="K197" s="1" t="s">
        <v>1991</v>
      </c>
      <c r="L197" s="1" t="s">
        <v>1991</v>
      </c>
      <c r="M197" s="1" t="s">
        <v>38</v>
      </c>
      <c r="N197" s="1" t="s">
        <v>75</v>
      </c>
      <c r="O197" s="1" t="s">
        <v>69</v>
      </c>
      <c r="P197" s="1" t="s">
        <v>69</v>
      </c>
      <c r="Q197" s="3">
        <v>44112.58541666667</v>
      </c>
      <c r="R197" s="1" t="s">
        <v>1992</v>
      </c>
      <c r="S197" s="1" t="s">
        <v>1993</v>
      </c>
    </row>
    <row r="198" ht="69.0" customHeight="1">
      <c r="A198" s="1">
        <v>9.143835844749E12</v>
      </c>
      <c r="B198" s="2" t="s">
        <v>1995</v>
      </c>
      <c r="C198" s="1" t="s">
        <v>1327</v>
      </c>
      <c r="D198" s="1" t="s">
        <v>34</v>
      </c>
      <c r="E198" s="1" t="b">
        <v>0</v>
      </c>
      <c r="F198" s="1" t="s">
        <v>956</v>
      </c>
      <c r="G198" s="1" t="str">
        <f t="array" ref="G198">XLOOKUP(A:A,'CategoriasSeções'!A:A,'CategoriasSeções'!B:B)</f>
        <v>Comunicados</v>
      </c>
      <c r="H198" s="1" t="s">
        <v>957</v>
      </c>
      <c r="I198" s="3">
        <v>44817.873611111114</v>
      </c>
      <c r="J198" s="3">
        <v>45526.52222222222</v>
      </c>
      <c r="K198" s="1" t="s">
        <v>1996</v>
      </c>
      <c r="L198" s="1" t="s">
        <v>1996</v>
      </c>
      <c r="M198" s="1" t="s">
        <v>38</v>
      </c>
      <c r="N198" s="1" t="s">
        <v>75</v>
      </c>
      <c r="O198" s="1" t="s">
        <v>69</v>
      </c>
      <c r="P198" s="1" t="s">
        <v>69</v>
      </c>
      <c r="Q198" s="3">
        <v>44817.873611111114</v>
      </c>
      <c r="R198" s="1" t="s">
        <v>1997</v>
      </c>
      <c r="S198" s="1" t="s">
        <v>1998</v>
      </c>
    </row>
    <row r="199" ht="69.0" customHeight="1">
      <c r="A199" s="1">
        <v>3.60049012551E11</v>
      </c>
      <c r="B199" s="2" t="s">
        <v>2000</v>
      </c>
      <c r="C199" s="1" t="s">
        <v>1327</v>
      </c>
      <c r="D199" s="1" t="s">
        <v>34</v>
      </c>
      <c r="E199" s="1" t="b">
        <v>0</v>
      </c>
      <c r="F199" s="1" t="s">
        <v>956</v>
      </c>
      <c r="G199" s="1" t="str">
        <f t="array" ref="G199">XLOOKUP(A:A,'CategoriasSeções'!A:A,'CategoriasSeções'!B:B)</f>
        <v>Comunicados</v>
      </c>
      <c r="H199" s="1" t="s">
        <v>981</v>
      </c>
      <c r="I199" s="3">
        <v>44075.478472222225</v>
      </c>
      <c r="J199" s="3">
        <v>45526.42152777778</v>
      </c>
      <c r="K199" s="1" t="s">
        <v>2001</v>
      </c>
      <c r="L199" s="1" t="s">
        <v>2001</v>
      </c>
      <c r="M199" s="1" t="s">
        <v>38</v>
      </c>
      <c r="N199" s="1" t="s">
        <v>75</v>
      </c>
      <c r="O199" s="1" t="s">
        <v>69</v>
      </c>
      <c r="P199" s="1" t="s">
        <v>69</v>
      </c>
      <c r="Q199" s="3">
        <v>44077.700694444444</v>
      </c>
      <c r="R199" s="1" t="s">
        <v>2002</v>
      </c>
      <c r="S199" s="1" t="s">
        <v>2003</v>
      </c>
    </row>
    <row r="200" ht="69.0" customHeight="1">
      <c r="A200" s="1">
        <v>8.315342664973E12</v>
      </c>
      <c r="B200" s="2" t="s">
        <v>2005</v>
      </c>
      <c r="C200" s="1" t="s">
        <v>1327</v>
      </c>
      <c r="D200" s="1" t="s">
        <v>34</v>
      </c>
      <c r="E200" s="1" t="b">
        <v>0</v>
      </c>
      <c r="F200" s="1" t="s">
        <v>956</v>
      </c>
      <c r="G200" s="1" t="str">
        <f t="array" ref="G200">XLOOKUP(A:A,'CategoriasSeções'!A:A,'CategoriasSeções'!B:B)</f>
        <v>Comunicados</v>
      </c>
      <c r="H200" s="1" t="s">
        <v>957</v>
      </c>
      <c r="I200" s="3">
        <v>44783.555555555555</v>
      </c>
      <c r="J200" s="3">
        <v>45526.611805555556</v>
      </c>
      <c r="K200" s="1" t="s">
        <v>2006</v>
      </c>
      <c r="L200" s="1" t="s">
        <v>2006</v>
      </c>
      <c r="M200" s="1" t="s">
        <v>38</v>
      </c>
      <c r="N200" s="1" t="s">
        <v>75</v>
      </c>
      <c r="O200" s="1" t="s">
        <v>69</v>
      </c>
      <c r="P200" s="1" t="s">
        <v>69</v>
      </c>
      <c r="Q200" s="3">
        <v>44783.555555555555</v>
      </c>
      <c r="R200" s="1" t="s">
        <v>2007</v>
      </c>
      <c r="S200" s="1" t="s">
        <v>2008</v>
      </c>
    </row>
    <row r="201" ht="69.0" customHeight="1">
      <c r="A201" s="1">
        <v>6.887285472013E12</v>
      </c>
      <c r="B201" s="2" t="s">
        <v>2010</v>
      </c>
      <c r="C201" s="1" t="s">
        <v>1327</v>
      </c>
      <c r="D201" s="1" t="s">
        <v>34</v>
      </c>
      <c r="E201" s="1" t="b">
        <v>0</v>
      </c>
      <c r="F201" s="1" t="s">
        <v>956</v>
      </c>
      <c r="G201" s="1" t="str">
        <f t="array" ref="G201">XLOOKUP(A:A,'CategoriasSeções'!A:A,'CategoriasSeções'!B:B)</f>
        <v>Comunicados</v>
      </c>
      <c r="H201" s="1" t="s">
        <v>957</v>
      </c>
      <c r="I201" s="3">
        <v>44725.83194444444</v>
      </c>
      <c r="J201" s="3">
        <v>45526.57638888889</v>
      </c>
      <c r="K201" s="1" t="s">
        <v>2011</v>
      </c>
      <c r="L201" s="1" t="s">
        <v>2011</v>
      </c>
      <c r="M201" s="1" t="s">
        <v>38</v>
      </c>
      <c r="N201" s="1" t="s">
        <v>75</v>
      </c>
      <c r="O201" s="1" t="s">
        <v>69</v>
      </c>
      <c r="P201" s="1" t="s">
        <v>69</v>
      </c>
      <c r="Q201" s="3">
        <v>44725.83194444444</v>
      </c>
      <c r="R201" s="1" t="s">
        <v>2012</v>
      </c>
      <c r="S201" s="1" t="s">
        <v>2013</v>
      </c>
    </row>
    <row r="202" ht="69.0" customHeight="1">
      <c r="A202" s="1">
        <v>6.790997731853E12</v>
      </c>
      <c r="B202" s="2" t="s">
        <v>2015</v>
      </c>
      <c r="C202" s="1" t="s">
        <v>1327</v>
      </c>
      <c r="D202" s="1" t="s">
        <v>34</v>
      </c>
      <c r="E202" s="1" t="b">
        <v>0</v>
      </c>
      <c r="F202" s="1" t="s">
        <v>956</v>
      </c>
      <c r="G202" s="1" t="str">
        <f t="array" ref="G202">XLOOKUP(A:A,'CategoriasSeções'!A:A,'CategoriasSeções'!B:B)</f>
        <v>Comunicados</v>
      </c>
      <c r="H202" s="1" t="s">
        <v>957</v>
      </c>
      <c r="I202" s="3">
        <v>44721.688888888886</v>
      </c>
      <c r="J202" s="3">
        <v>45526.42152777778</v>
      </c>
      <c r="K202" s="1" t="s">
        <v>2016</v>
      </c>
      <c r="L202" s="1" t="s">
        <v>2016</v>
      </c>
      <c r="M202" s="1" t="s">
        <v>38</v>
      </c>
      <c r="N202" s="1" t="s">
        <v>75</v>
      </c>
      <c r="O202" s="1" t="s">
        <v>69</v>
      </c>
      <c r="P202" s="1" t="s">
        <v>69</v>
      </c>
      <c r="Q202" s="3">
        <v>44721.688888888886</v>
      </c>
      <c r="R202" s="1" t="s">
        <v>2017</v>
      </c>
      <c r="S202" s="1" t="s">
        <v>2018</v>
      </c>
    </row>
    <row r="203" ht="69.0" customHeight="1">
      <c r="A203" s="1">
        <v>6.699678891277E12</v>
      </c>
      <c r="B203" s="2" t="s">
        <v>2020</v>
      </c>
      <c r="C203" s="1" t="s">
        <v>1327</v>
      </c>
      <c r="D203" s="1" t="s">
        <v>34</v>
      </c>
      <c r="E203" s="1" t="b">
        <v>0</v>
      </c>
      <c r="F203" s="1" t="s">
        <v>956</v>
      </c>
      <c r="G203" s="1" t="str">
        <f t="array" ref="G203">XLOOKUP(A:A,'CategoriasSeções'!A:A,'CategoriasSeções'!B:B)</f>
        <v>Comunicados</v>
      </c>
      <c r="H203" s="1" t="s">
        <v>957</v>
      </c>
      <c r="I203" s="3">
        <v>44718.56319444445</v>
      </c>
      <c r="J203" s="3">
        <v>45526.52222222222</v>
      </c>
      <c r="K203" s="1" t="s">
        <v>2021</v>
      </c>
      <c r="L203" s="1" t="s">
        <v>2021</v>
      </c>
      <c r="M203" s="1" t="s">
        <v>38</v>
      </c>
      <c r="N203" s="1" t="s">
        <v>75</v>
      </c>
      <c r="O203" s="1" t="s">
        <v>69</v>
      </c>
      <c r="P203" s="1" t="s">
        <v>69</v>
      </c>
      <c r="Q203" s="3">
        <v>44718.56319444445</v>
      </c>
      <c r="R203" s="1" t="s">
        <v>2022</v>
      </c>
      <c r="S203" s="1" t="s">
        <v>2023</v>
      </c>
    </row>
    <row r="204" ht="69.0" customHeight="1">
      <c r="A204" s="1">
        <v>5.063187725709E12</v>
      </c>
      <c r="B204" s="2" t="s">
        <v>2025</v>
      </c>
      <c r="C204" s="1" t="s">
        <v>1327</v>
      </c>
      <c r="D204" s="1" t="s">
        <v>34</v>
      </c>
      <c r="E204" s="1" t="b">
        <v>0</v>
      </c>
      <c r="F204" s="1" t="s">
        <v>956</v>
      </c>
      <c r="G204" s="1" t="str">
        <f t="array" ref="G204">XLOOKUP(A:A,'CategoriasSeções'!A:A,'CategoriasSeções'!B:B)</f>
        <v>Comunicados</v>
      </c>
      <c r="H204" s="1" t="s">
        <v>957</v>
      </c>
      <c r="I204" s="3">
        <v>44645.532638888886</v>
      </c>
      <c r="J204" s="3">
        <v>45526.51875</v>
      </c>
      <c r="K204" s="1" t="s">
        <v>2026</v>
      </c>
      <c r="L204" s="1" t="s">
        <v>2026</v>
      </c>
      <c r="M204" s="1" t="s">
        <v>38</v>
      </c>
      <c r="N204" s="1" t="s">
        <v>75</v>
      </c>
      <c r="O204" s="1" t="s">
        <v>69</v>
      </c>
      <c r="P204" s="1" t="s">
        <v>69</v>
      </c>
      <c r="Q204" s="3">
        <v>44645.532638888886</v>
      </c>
      <c r="R204" s="1" t="s">
        <v>2027</v>
      </c>
      <c r="S204" s="1" t="s">
        <v>2028</v>
      </c>
    </row>
    <row r="205" ht="69.0" customHeight="1">
      <c r="A205" s="1">
        <v>4.801646821901E12</v>
      </c>
      <c r="B205" s="2" t="s">
        <v>2030</v>
      </c>
      <c r="C205" s="1" t="s">
        <v>1327</v>
      </c>
      <c r="D205" s="1" t="s">
        <v>34</v>
      </c>
      <c r="E205" s="1" t="b">
        <v>0</v>
      </c>
      <c r="F205" s="1" t="s">
        <v>956</v>
      </c>
      <c r="G205" s="1" t="str">
        <f t="array" ref="G205">XLOOKUP(A:A,'CategoriasSeções'!A:A,'CategoriasSeções'!B:B)</f>
        <v>Comunicados</v>
      </c>
      <c r="H205" s="1" t="s">
        <v>957</v>
      </c>
      <c r="I205" s="3">
        <v>44634.81041666667</v>
      </c>
      <c r="J205" s="3">
        <v>45526.57638888889</v>
      </c>
      <c r="K205" s="1" t="s">
        <v>2031</v>
      </c>
      <c r="L205" s="1" t="s">
        <v>2031</v>
      </c>
      <c r="M205" s="1" t="s">
        <v>38</v>
      </c>
      <c r="N205" s="1" t="s">
        <v>75</v>
      </c>
      <c r="O205" s="1" t="s">
        <v>69</v>
      </c>
      <c r="P205" s="1" t="s">
        <v>69</v>
      </c>
      <c r="Q205" s="3">
        <v>44645.529861111114</v>
      </c>
      <c r="R205" s="1" t="s">
        <v>2032</v>
      </c>
      <c r="S205" s="1" t="s">
        <v>2033</v>
      </c>
    </row>
    <row r="206" ht="69.0" customHeight="1">
      <c r="A206" s="1">
        <v>4.488765940493E12</v>
      </c>
      <c r="B206" s="2" t="s">
        <v>2035</v>
      </c>
      <c r="C206" s="1" t="s">
        <v>1327</v>
      </c>
      <c r="D206" s="1" t="s">
        <v>34</v>
      </c>
      <c r="E206" s="1" t="b">
        <v>1</v>
      </c>
      <c r="F206" s="1" t="s">
        <v>956</v>
      </c>
      <c r="G206" s="1" t="str">
        <f t="array" ref="G206">XLOOKUP(A:A,'CategoriasSeções'!A:A,'CategoriasSeções'!B:B)</f>
        <v>Comunicados</v>
      </c>
      <c r="H206" s="1" t="s">
        <v>957</v>
      </c>
      <c r="I206" s="3">
        <v>44616.60486111111</v>
      </c>
      <c r="J206" s="3">
        <v>45526.55972222222</v>
      </c>
      <c r="K206" s="1" t="s">
        <v>2036</v>
      </c>
      <c r="L206" s="1" t="s">
        <v>2036</v>
      </c>
      <c r="M206" s="1" t="s">
        <v>38</v>
      </c>
      <c r="N206" s="1" t="s">
        <v>75</v>
      </c>
      <c r="O206" s="1" t="s">
        <v>69</v>
      </c>
      <c r="P206" s="1" t="s">
        <v>69</v>
      </c>
      <c r="Q206" s="12">
        <v>45224.68194444444</v>
      </c>
      <c r="R206" s="1" t="s">
        <v>2037</v>
      </c>
      <c r="S206" s="1" t="s">
        <v>2038</v>
      </c>
    </row>
    <row r="207" ht="69.0" customHeight="1">
      <c r="A207" s="1">
        <v>4.423660733069E12</v>
      </c>
      <c r="B207" s="2" t="s">
        <v>2040</v>
      </c>
      <c r="C207" s="1" t="s">
        <v>1327</v>
      </c>
      <c r="D207" s="1" t="s">
        <v>34</v>
      </c>
      <c r="E207" s="1" t="b">
        <v>0</v>
      </c>
      <c r="F207" s="1" t="s">
        <v>956</v>
      </c>
      <c r="G207" s="1" t="str">
        <f t="array" ref="G207">XLOOKUP(A:A,'CategoriasSeções'!A:A,'CategoriasSeções'!B:B)</f>
        <v>Comunicados</v>
      </c>
      <c r="H207" s="1" t="s">
        <v>957</v>
      </c>
      <c r="I207" s="3">
        <v>44592.79027777778</v>
      </c>
      <c r="J207" s="3">
        <v>45526.46388888889</v>
      </c>
      <c r="K207" s="1" t="s">
        <v>2041</v>
      </c>
      <c r="L207" s="1" t="s">
        <v>2041</v>
      </c>
      <c r="M207" s="1" t="s">
        <v>38</v>
      </c>
      <c r="N207" s="1" t="s">
        <v>75</v>
      </c>
      <c r="O207" s="1" t="s">
        <v>69</v>
      </c>
      <c r="P207" s="1" t="s">
        <v>69</v>
      </c>
      <c r="Q207" s="3">
        <v>44592.79027777778</v>
      </c>
      <c r="R207" s="1" t="s">
        <v>2042</v>
      </c>
      <c r="S207" s="1" t="s">
        <v>2043</v>
      </c>
    </row>
    <row r="208" ht="69.0" customHeight="1">
      <c r="A208" s="1">
        <v>4.420759921677E12</v>
      </c>
      <c r="B208" s="2" t="s">
        <v>2045</v>
      </c>
      <c r="C208" s="1" t="s">
        <v>1327</v>
      </c>
      <c r="D208" s="1" t="s">
        <v>34</v>
      </c>
      <c r="E208" s="1" t="b">
        <v>0</v>
      </c>
      <c r="F208" s="1" t="s">
        <v>956</v>
      </c>
      <c r="G208" s="1" t="str">
        <f t="array" ref="G208">XLOOKUP(A:A,'CategoriasSeções'!A:A,'CategoriasSeções'!B:B)</f>
        <v>Comunicados</v>
      </c>
      <c r="H208" s="1" t="s">
        <v>957</v>
      </c>
      <c r="I208" s="3">
        <v>44575.4875</v>
      </c>
      <c r="J208" s="3">
        <v>45526.57638888889</v>
      </c>
      <c r="K208" s="1" t="s">
        <v>2046</v>
      </c>
      <c r="L208" s="1" t="s">
        <v>2046</v>
      </c>
      <c r="M208" s="1" t="s">
        <v>38</v>
      </c>
      <c r="N208" s="1" t="s">
        <v>75</v>
      </c>
      <c r="O208" s="1" t="s">
        <v>69</v>
      </c>
      <c r="P208" s="1" t="s">
        <v>69</v>
      </c>
      <c r="Q208" s="3">
        <v>44575.48819444444</v>
      </c>
      <c r="R208" s="1" t="s">
        <v>2047</v>
      </c>
      <c r="S208" s="1" t="s">
        <v>2048</v>
      </c>
    </row>
    <row r="209" ht="69.0" customHeight="1">
      <c r="A209" s="1">
        <v>4.405629521421E12</v>
      </c>
      <c r="B209" s="2" t="s">
        <v>2050</v>
      </c>
      <c r="C209" s="1" t="s">
        <v>964</v>
      </c>
      <c r="D209" s="1" t="s">
        <v>34</v>
      </c>
      <c r="E209" s="1" t="b">
        <v>0</v>
      </c>
      <c r="F209" s="1" t="s">
        <v>956</v>
      </c>
      <c r="G209" s="1" t="str">
        <f t="array" ref="G209">XLOOKUP(A:A,'CategoriasSeções'!A:A,'CategoriasSeções'!B:B)</f>
        <v>Comunicados</v>
      </c>
      <c r="H209" s="1" t="s">
        <v>957</v>
      </c>
      <c r="I209" s="3">
        <v>44400.717361111114</v>
      </c>
      <c r="J209" s="3">
        <v>45526.611805555556</v>
      </c>
      <c r="K209" s="1" t="s">
        <v>2051</v>
      </c>
      <c r="L209" s="1" t="s">
        <v>2051</v>
      </c>
      <c r="M209" s="1" t="s">
        <v>38</v>
      </c>
      <c r="N209" s="1" t="s">
        <v>75</v>
      </c>
      <c r="O209" s="1" t="s">
        <v>69</v>
      </c>
      <c r="P209" s="1" t="s">
        <v>69</v>
      </c>
      <c r="Q209" s="3">
        <v>44400.71805555555</v>
      </c>
      <c r="R209" s="1" t="s">
        <v>2052</v>
      </c>
      <c r="S209" s="1" t="s">
        <v>2053</v>
      </c>
    </row>
    <row r="210" ht="69.0" customHeight="1">
      <c r="A210" s="1">
        <v>4.404537138189E12</v>
      </c>
      <c r="B210" s="2" t="s">
        <v>2055</v>
      </c>
      <c r="C210" s="1" t="s">
        <v>2056</v>
      </c>
      <c r="D210" s="1" t="s">
        <v>34</v>
      </c>
      <c r="E210" s="1" t="b">
        <v>0</v>
      </c>
      <c r="F210" s="1" t="s">
        <v>956</v>
      </c>
      <c r="G210" s="1" t="str">
        <f t="array" ref="G210">XLOOKUP(A:A,'CategoriasSeções'!A:A,'CategoriasSeções'!B:B)</f>
        <v>Comunicados</v>
      </c>
      <c r="H210" s="1" t="s">
        <v>957</v>
      </c>
      <c r="I210" s="3">
        <v>44384.8375</v>
      </c>
      <c r="J210" s="3">
        <v>45526.51875</v>
      </c>
      <c r="K210" s="1" t="s">
        <v>2057</v>
      </c>
      <c r="L210" s="1" t="s">
        <v>2057</v>
      </c>
      <c r="M210" s="1" t="s">
        <v>38</v>
      </c>
      <c r="N210" s="1" t="s">
        <v>75</v>
      </c>
      <c r="O210" s="1" t="s">
        <v>69</v>
      </c>
      <c r="P210" s="1" t="s">
        <v>69</v>
      </c>
      <c r="Q210" s="3">
        <v>44384.83888888889</v>
      </c>
      <c r="R210" s="1" t="s">
        <v>2058</v>
      </c>
      <c r="S210" s="1" t="s">
        <v>2059</v>
      </c>
    </row>
    <row r="211" ht="69.0" customHeight="1">
      <c r="A211" s="1">
        <v>3.60062373751E11</v>
      </c>
      <c r="B211" s="2" t="s">
        <v>2061</v>
      </c>
      <c r="C211" s="1" t="s">
        <v>1327</v>
      </c>
      <c r="D211" s="1" t="s">
        <v>34</v>
      </c>
      <c r="E211" s="1" t="b">
        <v>0</v>
      </c>
      <c r="F211" s="1" t="s">
        <v>956</v>
      </c>
      <c r="G211" s="1" t="str">
        <f t="array" ref="G211">XLOOKUP(A:A,'CategoriasSeções'!A:A,'CategoriasSeções'!B:B)</f>
        <v>Comunicados</v>
      </c>
      <c r="H211" s="1" t="s">
        <v>957</v>
      </c>
      <c r="I211" s="3">
        <v>44347.646527777775</v>
      </c>
      <c r="J211" s="3">
        <v>45526.53888888889</v>
      </c>
      <c r="K211" s="1" t="s">
        <v>2062</v>
      </c>
      <c r="L211" s="1" t="s">
        <v>2062</v>
      </c>
      <c r="M211" s="1" t="s">
        <v>38</v>
      </c>
      <c r="N211" s="1" t="s">
        <v>75</v>
      </c>
      <c r="O211" s="1" t="s">
        <v>69</v>
      </c>
      <c r="P211" s="1" t="s">
        <v>69</v>
      </c>
      <c r="Q211" s="3">
        <v>44347.64791666667</v>
      </c>
      <c r="R211" s="1" t="s">
        <v>2063</v>
      </c>
      <c r="S211" s="1" t="s">
        <v>2064</v>
      </c>
    </row>
    <row r="212" ht="69.0" customHeight="1">
      <c r="A212" s="1">
        <v>3.60061215691E11</v>
      </c>
      <c r="B212" s="2" t="s">
        <v>2066</v>
      </c>
      <c r="C212" s="1" t="s">
        <v>1327</v>
      </c>
      <c r="D212" s="1" t="s">
        <v>34</v>
      </c>
      <c r="E212" s="1" t="b">
        <v>0</v>
      </c>
      <c r="F212" s="1" t="s">
        <v>956</v>
      </c>
      <c r="G212" s="1" t="str">
        <f t="array" ref="G212">XLOOKUP(A:A,'CategoriasSeções'!A:A,'CategoriasSeções'!B:B)</f>
        <v>Comunicados</v>
      </c>
      <c r="H212" s="1" t="s">
        <v>957</v>
      </c>
      <c r="I212" s="3">
        <v>44329.47083333333</v>
      </c>
      <c r="J212" s="3">
        <v>45526.59027777778</v>
      </c>
      <c r="K212" s="1" t="s">
        <v>2067</v>
      </c>
      <c r="L212" s="1" t="s">
        <v>2067</v>
      </c>
      <c r="M212" s="1" t="s">
        <v>38</v>
      </c>
      <c r="N212" s="1" t="s">
        <v>75</v>
      </c>
      <c r="O212" s="1" t="s">
        <v>69</v>
      </c>
      <c r="P212" s="1" t="s">
        <v>69</v>
      </c>
      <c r="Q212" s="3">
        <v>44329.47083333333</v>
      </c>
      <c r="R212" s="1" t="s">
        <v>2068</v>
      </c>
      <c r="S212" s="1" t="s">
        <v>2069</v>
      </c>
    </row>
    <row r="213" ht="69.0" customHeight="1">
      <c r="A213" s="1">
        <v>3.60057727691E11</v>
      </c>
      <c r="B213" s="2" t="s">
        <v>2071</v>
      </c>
      <c r="C213" s="1" t="s">
        <v>964</v>
      </c>
      <c r="D213" s="1" t="s">
        <v>34</v>
      </c>
      <c r="E213" s="1" t="b">
        <v>0</v>
      </c>
      <c r="F213" s="1" t="s">
        <v>956</v>
      </c>
      <c r="G213" s="1" t="str">
        <f t="array" ref="G213">XLOOKUP(A:A,'CategoriasSeções'!A:A,'CategoriasSeções'!B:B)</f>
        <v>Comunicados</v>
      </c>
      <c r="H213" s="1" t="s">
        <v>957</v>
      </c>
      <c r="I213" s="3">
        <v>44257.71944444445</v>
      </c>
      <c r="J213" s="3">
        <v>45526.620833333334</v>
      </c>
      <c r="K213" s="1" t="s">
        <v>2072</v>
      </c>
      <c r="L213" s="1" t="s">
        <v>2072</v>
      </c>
      <c r="M213" s="1" t="s">
        <v>38</v>
      </c>
      <c r="N213" s="1" t="s">
        <v>75</v>
      </c>
      <c r="O213" s="1" t="s">
        <v>69</v>
      </c>
      <c r="P213" s="1" t="s">
        <v>69</v>
      </c>
      <c r="Q213" s="3">
        <v>44272.58541666667</v>
      </c>
      <c r="R213" s="1" t="s">
        <v>2073</v>
      </c>
      <c r="S213" s="1" t="s">
        <v>2074</v>
      </c>
    </row>
    <row r="214" ht="69.0" customHeight="1">
      <c r="A214" s="1">
        <v>3.60055628451E11</v>
      </c>
      <c r="B214" s="2" t="s">
        <v>2076</v>
      </c>
      <c r="C214" s="1" t="s">
        <v>1327</v>
      </c>
      <c r="D214" s="1" t="s">
        <v>34</v>
      </c>
      <c r="E214" s="1" t="b">
        <v>0</v>
      </c>
      <c r="F214" s="1" t="s">
        <v>956</v>
      </c>
      <c r="G214" s="1" t="str">
        <f t="array" ref="G214">XLOOKUP(A:A,'CategoriasSeções'!A:A,'CategoriasSeções'!B:B)</f>
        <v>Comunicados</v>
      </c>
      <c r="H214" s="1" t="s">
        <v>957</v>
      </c>
      <c r="I214" s="3">
        <v>44214.85625</v>
      </c>
      <c r="J214" s="3">
        <v>45526.611805555556</v>
      </c>
      <c r="K214" s="1" t="s">
        <v>2077</v>
      </c>
      <c r="L214" s="1" t="s">
        <v>2077</v>
      </c>
      <c r="M214" s="1" t="s">
        <v>38</v>
      </c>
      <c r="N214" s="1" t="s">
        <v>75</v>
      </c>
      <c r="O214" s="1" t="s">
        <v>69</v>
      </c>
      <c r="P214" s="1" t="s">
        <v>69</v>
      </c>
      <c r="Q214" s="3">
        <v>44214.85625</v>
      </c>
      <c r="R214" s="1" t="s">
        <v>2078</v>
      </c>
      <c r="S214" s="1" t="s">
        <v>2079</v>
      </c>
    </row>
    <row r="215" ht="69.0" customHeight="1">
      <c r="A215" s="1">
        <v>3.60053114852E11</v>
      </c>
      <c r="B215" s="2" t="s">
        <v>2081</v>
      </c>
      <c r="C215" s="1" t="s">
        <v>1327</v>
      </c>
      <c r="D215" s="1" t="s">
        <v>34</v>
      </c>
      <c r="E215" s="1" t="b">
        <v>0</v>
      </c>
      <c r="F215" s="1" t="s">
        <v>956</v>
      </c>
      <c r="G215" s="1" t="str">
        <f t="array" ref="G215">XLOOKUP(A:A,'CategoriasSeções'!A:A,'CategoriasSeções'!B:B)</f>
        <v>Comunicados</v>
      </c>
      <c r="H215" s="1" t="s">
        <v>957</v>
      </c>
      <c r="I215" s="12">
        <v>44175.59444444445</v>
      </c>
      <c r="J215" s="3">
        <v>45526.42152777778</v>
      </c>
      <c r="K215" s="1" t="s">
        <v>2082</v>
      </c>
      <c r="L215" s="1" t="s">
        <v>2082</v>
      </c>
      <c r="M215" s="1" t="s">
        <v>38</v>
      </c>
      <c r="N215" s="1" t="s">
        <v>75</v>
      </c>
      <c r="O215" s="1" t="s">
        <v>69</v>
      </c>
      <c r="P215" s="1" t="s">
        <v>69</v>
      </c>
      <c r="Q215" s="12">
        <v>44175.59444444445</v>
      </c>
      <c r="R215" s="1" t="s">
        <v>2083</v>
      </c>
      <c r="S215" s="1" t="s">
        <v>2084</v>
      </c>
    </row>
    <row r="216" ht="69.0" customHeight="1">
      <c r="A216" s="1">
        <v>3.60053183451E11</v>
      </c>
      <c r="B216" s="2" t="s">
        <v>2086</v>
      </c>
      <c r="C216" s="1" t="s">
        <v>1327</v>
      </c>
      <c r="D216" s="1" t="s">
        <v>34</v>
      </c>
      <c r="E216" s="1" t="b">
        <v>0</v>
      </c>
      <c r="F216" s="1" t="s">
        <v>956</v>
      </c>
      <c r="G216" s="1" t="str">
        <f t="array" ref="G216">XLOOKUP(A:A,'CategoriasSeções'!A:A,'CategoriasSeções'!B:B)</f>
        <v>Comunicados</v>
      </c>
      <c r="H216" s="1" t="s">
        <v>957</v>
      </c>
      <c r="I216" s="3">
        <v>44167.43472222222</v>
      </c>
      <c r="J216" s="3">
        <v>45526.52222222222</v>
      </c>
      <c r="K216" s="1" t="s">
        <v>2087</v>
      </c>
      <c r="L216" s="1" t="s">
        <v>2087</v>
      </c>
      <c r="M216" s="1" t="s">
        <v>38</v>
      </c>
      <c r="N216" s="1" t="s">
        <v>75</v>
      </c>
      <c r="O216" s="1" t="s">
        <v>69</v>
      </c>
      <c r="P216" s="1" t="s">
        <v>69</v>
      </c>
      <c r="Q216" s="3">
        <v>44167.43541666667</v>
      </c>
      <c r="R216" s="1" t="s">
        <v>2088</v>
      </c>
      <c r="S216" s="1" t="s">
        <v>2089</v>
      </c>
    </row>
    <row r="217" ht="69.0" customHeight="1">
      <c r="A217" s="1">
        <v>3.60052322731E11</v>
      </c>
      <c r="B217" s="2" t="s">
        <v>2091</v>
      </c>
      <c r="C217" s="1" t="s">
        <v>1327</v>
      </c>
      <c r="D217" s="1" t="s">
        <v>34</v>
      </c>
      <c r="E217" s="1" t="b">
        <v>0</v>
      </c>
      <c r="F217" s="1" t="s">
        <v>956</v>
      </c>
      <c r="G217" s="1" t="str">
        <f t="array" ref="G217">XLOOKUP(A:A,'CategoriasSeções'!A:A,'CategoriasSeções'!B:B)</f>
        <v>Comunicados</v>
      </c>
      <c r="H217" s="1" t="s">
        <v>957</v>
      </c>
      <c r="I217" s="3">
        <v>44144.532638888886</v>
      </c>
      <c r="J217" s="3">
        <v>45526.53888888889</v>
      </c>
      <c r="K217" s="1" t="s">
        <v>2092</v>
      </c>
      <c r="L217" s="1" t="s">
        <v>2092</v>
      </c>
      <c r="M217" s="1" t="s">
        <v>38</v>
      </c>
      <c r="N217" s="1" t="s">
        <v>75</v>
      </c>
      <c r="O217" s="1" t="s">
        <v>69</v>
      </c>
      <c r="P217" s="1" t="s">
        <v>69</v>
      </c>
      <c r="Q217" s="12">
        <v>44161.50486111111</v>
      </c>
      <c r="R217" s="1" t="s">
        <v>2093</v>
      </c>
      <c r="S217" s="1" t="s">
        <v>2094</v>
      </c>
    </row>
    <row r="218" ht="69.0" customHeight="1">
      <c r="A218" s="1">
        <v>3.60052322631E11</v>
      </c>
      <c r="B218" s="2" t="s">
        <v>2096</v>
      </c>
      <c r="C218" s="1" t="s">
        <v>1327</v>
      </c>
      <c r="D218" s="1" t="s">
        <v>34</v>
      </c>
      <c r="E218" s="1" t="b">
        <v>0</v>
      </c>
      <c r="F218" s="1" t="s">
        <v>956</v>
      </c>
      <c r="G218" s="1" t="str">
        <f t="array" ref="G218">XLOOKUP(A:A,'CategoriasSeções'!A:A,'CategoriasSeções'!B:B)</f>
        <v>Comunicados</v>
      </c>
      <c r="H218" s="1" t="s">
        <v>957</v>
      </c>
      <c r="I218" s="3">
        <v>44144.529861111114</v>
      </c>
      <c r="J218" s="3">
        <v>45526.55972222222</v>
      </c>
      <c r="K218" s="1" t="s">
        <v>2097</v>
      </c>
      <c r="L218" s="1" t="s">
        <v>2097</v>
      </c>
      <c r="M218" s="1" t="s">
        <v>38</v>
      </c>
      <c r="N218" s="1" t="s">
        <v>75</v>
      </c>
      <c r="O218" s="1" t="s">
        <v>69</v>
      </c>
      <c r="P218" s="1" t="s">
        <v>69</v>
      </c>
      <c r="Q218" s="12">
        <v>44161.48055555556</v>
      </c>
      <c r="R218" s="1" t="s">
        <v>2098</v>
      </c>
      <c r="S218" s="1" t="s">
        <v>2099</v>
      </c>
    </row>
    <row r="219" ht="69.0" customHeight="1">
      <c r="A219" s="1">
        <v>3.60051868352E11</v>
      </c>
      <c r="B219" s="2" t="s">
        <v>2101</v>
      </c>
      <c r="C219" s="1" t="s">
        <v>1327</v>
      </c>
      <c r="D219" s="1" t="s">
        <v>34</v>
      </c>
      <c r="E219" s="1" t="b">
        <v>0</v>
      </c>
      <c r="F219" s="1" t="s">
        <v>956</v>
      </c>
      <c r="G219" s="1" t="str">
        <f t="array" ref="G219">XLOOKUP(A:A,'CategoriasSeções'!A:A,'CategoriasSeções'!B:B)</f>
        <v>Comunicados</v>
      </c>
      <c r="H219" s="1" t="s">
        <v>957</v>
      </c>
      <c r="I219" s="3">
        <v>44144.525</v>
      </c>
      <c r="J219" s="3">
        <v>45526.455555555556</v>
      </c>
      <c r="K219" s="1" t="s">
        <v>2102</v>
      </c>
      <c r="L219" s="1" t="s">
        <v>2102</v>
      </c>
      <c r="M219" s="1" t="s">
        <v>38</v>
      </c>
      <c r="N219" s="1" t="s">
        <v>75</v>
      </c>
      <c r="O219" s="1" t="s">
        <v>69</v>
      </c>
      <c r="P219" s="1" t="s">
        <v>69</v>
      </c>
      <c r="Q219" s="12">
        <v>44161.464583333334</v>
      </c>
      <c r="R219" s="1" t="s">
        <v>2103</v>
      </c>
      <c r="S219" s="1" t="s">
        <v>2104</v>
      </c>
    </row>
    <row r="220" ht="69.0" customHeight="1">
      <c r="A220" s="1">
        <v>3.60047722531E11</v>
      </c>
      <c r="B220" s="2" t="s">
        <v>2106</v>
      </c>
      <c r="C220" s="1" t="s">
        <v>1327</v>
      </c>
      <c r="D220" s="1" t="s">
        <v>34</v>
      </c>
      <c r="E220" s="1" t="b">
        <v>0</v>
      </c>
      <c r="F220" s="1" t="s">
        <v>956</v>
      </c>
      <c r="G220" s="1" t="str">
        <f t="array" ref="G220">XLOOKUP(A:A,'CategoriasSeções'!A:A,'CategoriasSeções'!B:B)</f>
        <v>Comunicados</v>
      </c>
      <c r="H220" s="1" t="s">
        <v>957</v>
      </c>
      <c r="I220" s="3">
        <v>44056.48472222222</v>
      </c>
      <c r="J220" s="3">
        <v>45526.51875</v>
      </c>
      <c r="K220" s="1" t="s">
        <v>2107</v>
      </c>
      <c r="L220" s="1" t="s">
        <v>2107</v>
      </c>
      <c r="M220" s="1" t="s">
        <v>38</v>
      </c>
      <c r="N220" s="1" t="s">
        <v>75</v>
      </c>
      <c r="O220" s="1" t="s">
        <v>69</v>
      </c>
      <c r="P220" s="1" t="s">
        <v>69</v>
      </c>
      <c r="Q220" s="3">
        <v>44077.70138888889</v>
      </c>
      <c r="R220" s="1" t="s">
        <v>2108</v>
      </c>
      <c r="S220" s="1" t="s">
        <v>2109</v>
      </c>
    </row>
    <row r="221" ht="69.0" customHeight="1">
      <c r="A221" s="1">
        <v>3.60044574571E11</v>
      </c>
      <c r="B221" s="2" t="s">
        <v>2111</v>
      </c>
      <c r="C221" s="1" t="s">
        <v>1327</v>
      </c>
      <c r="D221" s="1" t="s">
        <v>34</v>
      </c>
      <c r="E221" s="1" t="b">
        <v>0</v>
      </c>
      <c r="F221" s="1" t="s">
        <v>956</v>
      </c>
      <c r="G221" s="1" t="str">
        <f t="array" ref="G221">XLOOKUP(A:A,'CategoriasSeções'!A:A,'CategoriasSeções'!B:B)</f>
        <v>Comunicados</v>
      </c>
      <c r="H221" s="1" t="s">
        <v>957</v>
      </c>
      <c r="I221" s="3">
        <v>43987.79722222222</v>
      </c>
      <c r="J221" s="3">
        <v>45526.59027777778</v>
      </c>
      <c r="K221" s="1" t="s">
        <v>2112</v>
      </c>
      <c r="L221" s="1" t="s">
        <v>2112</v>
      </c>
      <c r="M221" s="1" t="s">
        <v>38</v>
      </c>
      <c r="N221" s="1" t="s">
        <v>75</v>
      </c>
      <c r="O221" s="1" t="s">
        <v>69</v>
      </c>
      <c r="P221" s="1" t="s">
        <v>69</v>
      </c>
      <c r="Q221" s="3">
        <v>44077.70277777778</v>
      </c>
      <c r="R221" s="1" t="s">
        <v>2113</v>
      </c>
      <c r="S221" s="1" t="s">
        <v>2114</v>
      </c>
    </row>
    <row r="222" ht="69.0" customHeight="1">
      <c r="A222" s="1">
        <v>3.60044125672E11</v>
      </c>
      <c r="B222" s="2" t="s">
        <v>2116</v>
      </c>
      <c r="C222" s="1" t="s">
        <v>1327</v>
      </c>
      <c r="D222" s="1" t="s">
        <v>34</v>
      </c>
      <c r="E222" s="1" t="b">
        <v>0</v>
      </c>
      <c r="F222" s="1" t="s">
        <v>956</v>
      </c>
      <c r="G222" s="1" t="str">
        <f t="array" ref="G222">XLOOKUP(A:A,'CategoriasSeções'!A:A,'CategoriasSeções'!B:B)</f>
        <v>Comunicados</v>
      </c>
      <c r="H222" s="1" t="s">
        <v>957</v>
      </c>
      <c r="I222" s="3">
        <v>43987.78680555556</v>
      </c>
      <c r="J222" s="3">
        <v>45526.59027777778</v>
      </c>
      <c r="K222" s="1" t="s">
        <v>2117</v>
      </c>
      <c r="L222" s="1" t="s">
        <v>2117</v>
      </c>
      <c r="M222" s="1" t="s">
        <v>38</v>
      </c>
      <c r="N222" s="1" t="s">
        <v>75</v>
      </c>
      <c r="O222" s="1" t="s">
        <v>69</v>
      </c>
      <c r="P222" s="1" t="s">
        <v>69</v>
      </c>
      <c r="Q222" s="3">
        <v>44077.70416666667</v>
      </c>
      <c r="R222" s="1" t="s">
        <v>2118</v>
      </c>
      <c r="S222" s="1" t="s">
        <v>2119</v>
      </c>
    </row>
    <row r="223" ht="69.0" customHeight="1">
      <c r="A223" s="1">
        <v>3.60041450431E11</v>
      </c>
      <c r="B223" s="2" t="s">
        <v>2121</v>
      </c>
      <c r="C223" s="1" t="s">
        <v>1327</v>
      </c>
      <c r="D223" s="1" t="s">
        <v>34</v>
      </c>
      <c r="E223" s="1" t="b">
        <v>0</v>
      </c>
      <c r="F223" s="1" t="s">
        <v>956</v>
      </c>
      <c r="G223" s="1" t="str">
        <f t="array" ref="G223">XLOOKUP(A:A,'CategoriasSeções'!A:A,'CategoriasSeções'!B:B)</f>
        <v>Comunicados</v>
      </c>
      <c r="H223" s="1" t="s">
        <v>957</v>
      </c>
      <c r="I223" s="3">
        <v>43915.46388888889</v>
      </c>
      <c r="J223" s="3">
        <v>45526.51388888889</v>
      </c>
      <c r="K223" s="1" t="s">
        <v>2122</v>
      </c>
      <c r="L223" s="1" t="s">
        <v>2122</v>
      </c>
      <c r="M223" s="1" t="s">
        <v>38</v>
      </c>
      <c r="N223" s="1" t="s">
        <v>75</v>
      </c>
      <c r="O223" s="1" t="s">
        <v>69</v>
      </c>
      <c r="P223" s="1" t="s">
        <v>69</v>
      </c>
      <c r="Q223" s="3">
        <v>44077.70486111111</v>
      </c>
      <c r="R223" s="1" t="s">
        <v>2123</v>
      </c>
      <c r="S223" s="1" t="s">
        <v>2124</v>
      </c>
    </row>
    <row r="224" ht="69.0" customHeight="1">
      <c r="A224" s="1">
        <v>3.60038940492E11</v>
      </c>
      <c r="B224" s="2" t="s">
        <v>2126</v>
      </c>
      <c r="C224" s="1" t="s">
        <v>1327</v>
      </c>
      <c r="D224" s="1" t="s">
        <v>34</v>
      </c>
      <c r="E224" s="1" t="b">
        <v>0</v>
      </c>
      <c r="F224" s="1" t="s">
        <v>956</v>
      </c>
      <c r="G224" s="1" t="str">
        <f t="array" ref="G224">XLOOKUP(A:A,'CategoriasSeções'!A:A,'CategoriasSeções'!B:B)</f>
        <v>Comunicados</v>
      </c>
      <c r="H224" s="1" t="s">
        <v>957</v>
      </c>
      <c r="I224" s="3">
        <v>43859.85763888889</v>
      </c>
      <c r="J224" s="3">
        <v>45526.45486111111</v>
      </c>
      <c r="K224" s="1" t="s">
        <v>2127</v>
      </c>
      <c r="L224" s="1" t="s">
        <v>2127</v>
      </c>
      <c r="M224" s="1" t="s">
        <v>38</v>
      </c>
      <c r="N224" s="1" t="s">
        <v>75</v>
      </c>
      <c r="O224" s="1" t="s">
        <v>69</v>
      </c>
      <c r="P224" s="1" t="s">
        <v>69</v>
      </c>
      <c r="Q224" s="3">
        <v>44077.82361111111</v>
      </c>
      <c r="R224" s="1" t="s">
        <v>2128</v>
      </c>
      <c r="S224" s="1" t="s">
        <v>2129</v>
      </c>
    </row>
    <row r="225" ht="69.0" customHeight="1">
      <c r="A225" s="1">
        <v>3.60037925072E11</v>
      </c>
      <c r="B225" s="2" t="s">
        <v>2131</v>
      </c>
      <c r="C225" s="1" t="s">
        <v>1327</v>
      </c>
      <c r="D225" s="1" t="s">
        <v>34</v>
      </c>
      <c r="E225" s="1" t="b">
        <v>0</v>
      </c>
      <c r="F225" s="1" t="s">
        <v>956</v>
      </c>
      <c r="G225" s="1" t="str">
        <f t="array" ref="G225">XLOOKUP(A:A,'CategoriasSeções'!A:A,'CategoriasSeções'!B:B)</f>
        <v>Comunicados</v>
      </c>
      <c r="H225" s="1" t="s">
        <v>957</v>
      </c>
      <c r="I225" s="12">
        <v>43825.86319444444</v>
      </c>
      <c r="J225" s="3">
        <v>45526.52222222222</v>
      </c>
      <c r="K225" s="1" t="s">
        <v>2132</v>
      </c>
      <c r="L225" s="1" t="s">
        <v>2132</v>
      </c>
      <c r="M225" s="1" t="s">
        <v>38</v>
      </c>
      <c r="N225" s="1" t="s">
        <v>75</v>
      </c>
      <c r="O225" s="1" t="s">
        <v>69</v>
      </c>
      <c r="P225" s="1" t="s">
        <v>69</v>
      </c>
      <c r="Q225" s="3">
        <v>44077.82777777778</v>
      </c>
      <c r="R225" s="1" t="s">
        <v>2133</v>
      </c>
      <c r="S225" s="1" t="s">
        <v>2134</v>
      </c>
    </row>
    <row r="226" ht="69.0" customHeight="1">
      <c r="A226" s="1">
        <v>3.60038284651E11</v>
      </c>
      <c r="B226" s="2" t="s">
        <v>2136</v>
      </c>
      <c r="C226" s="1" t="s">
        <v>1327</v>
      </c>
      <c r="D226" s="1" t="s">
        <v>34</v>
      </c>
      <c r="E226" s="1" t="b">
        <v>0</v>
      </c>
      <c r="F226" s="1" t="s">
        <v>956</v>
      </c>
      <c r="G226" s="1" t="str">
        <f t="array" ref="G226">XLOOKUP(A:A,'CategoriasSeções'!A:A,'CategoriasSeções'!B:B)</f>
        <v>Comunicados</v>
      </c>
      <c r="H226" s="1" t="s">
        <v>957</v>
      </c>
      <c r="I226" s="12">
        <v>43825.54375</v>
      </c>
      <c r="J226" s="3">
        <v>45526.53888888889</v>
      </c>
      <c r="K226" s="1" t="s">
        <v>2137</v>
      </c>
      <c r="L226" s="1" t="s">
        <v>2137</v>
      </c>
      <c r="M226" s="1" t="s">
        <v>38</v>
      </c>
      <c r="N226" s="1" t="s">
        <v>75</v>
      </c>
      <c r="O226" s="1" t="s">
        <v>69</v>
      </c>
      <c r="P226" s="1" t="s">
        <v>69</v>
      </c>
      <c r="Q226" s="3">
        <v>44644.842361111114</v>
      </c>
      <c r="R226" s="1" t="s">
        <v>2138</v>
      </c>
      <c r="S226" s="1" t="s">
        <v>2139</v>
      </c>
    </row>
    <row r="227" ht="69.0" customHeight="1">
      <c r="A227" s="1">
        <v>3.60028822912E11</v>
      </c>
      <c r="B227" s="2" t="s">
        <v>2141</v>
      </c>
      <c r="C227" s="1" t="s">
        <v>1545</v>
      </c>
      <c r="D227" s="1" t="s">
        <v>34</v>
      </c>
      <c r="E227" s="1" t="b">
        <v>0</v>
      </c>
      <c r="F227" s="1" t="s">
        <v>956</v>
      </c>
      <c r="G227" s="1" t="str">
        <f t="array" ref="G227">XLOOKUP(A:A,'CategoriasSeções'!A:A,'CategoriasSeções'!B:B)</f>
        <v>Comunicados</v>
      </c>
      <c r="H227" s="1" t="s">
        <v>957</v>
      </c>
      <c r="I227" s="3">
        <v>43620.87847222222</v>
      </c>
      <c r="J227" s="3">
        <v>45526.611805555556</v>
      </c>
      <c r="K227" s="1" t="s">
        <v>2142</v>
      </c>
      <c r="L227" s="1" t="s">
        <v>2142</v>
      </c>
      <c r="M227" s="1" t="s">
        <v>38</v>
      </c>
      <c r="N227" s="1" t="s">
        <v>75</v>
      </c>
      <c r="O227" s="1" t="s">
        <v>69</v>
      </c>
      <c r="P227" s="1" t="s">
        <v>69</v>
      </c>
      <c r="Q227" s="3">
        <v>44077.82916666667</v>
      </c>
      <c r="R227" s="1" t="s">
        <v>2143</v>
      </c>
      <c r="S227" s="1" t="s">
        <v>2144</v>
      </c>
    </row>
    <row r="228" ht="69.0" customHeight="1">
      <c r="A228" s="1">
        <v>1.15013900628E11</v>
      </c>
      <c r="B228" s="2" t="s">
        <v>2146</v>
      </c>
      <c r="C228" s="1" t="s">
        <v>1545</v>
      </c>
      <c r="D228" s="1" t="s">
        <v>34</v>
      </c>
      <c r="E228" s="1" t="b">
        <v>0</v>
      </c>
      <c r="F228" s="1" t="s">
        <v>956</v>
      </c>
      <c r="G228" s="1" t="str">
        <f t="array" ref="G228">XLOOKUP(A:A,'CategoriasSeções'!A:A,'CategoriasSeções'!B:B)</f>
        <v>Comunicados</v>
      </c>
      <c r="H228" s="1" t="s">
        <v>957</v>
      </c>
      <c r="I228" s="12">
        <v>43033.76944444444</v>
      </c>
      <c r="J228" s="3">
        <v>45526.51388888889</v>
      </c>
      <c r="K228" s="1" t="s">
        <v>2147</v>
      </c>
      <c r="L228" s="1" t="s">
        <v>2147</v>
      </c>
      <c r="M228" s="1" t="s">
        <v>38</v>
      </c>
      <c r="N228" s="1" t="s">
        <v>75</v>
      </c>
      <c r="O228" s="1" t="s">
        <v>69</v>
      </c>
      <c r="P228" s="1" t="s">
        <v>69</v>
      </c>
      <c r="Q228" s="3">
        <v>44077.83263888889</v>
      </c>
      <c r="R228" s="1" t="s">
        <v>2148</v>
      </c>
      <c r="S228" s="1" t="s">
        <v>2149</v>
      </c>
    </row>
    <row r="229" ht="69.0" customHeight="1">
      <c r="A229" s="1">
        <v>3.60029135751E11</v>
      </c>
      <c r="B229" s="2" t="s">
        <v>2151</v>
      </c>
      <c r="C229" s="1" t="s">
        <v>1545</v>
      </c>
      <c r="D229" s="1" t="s">
        <v>34</v>
      </c>
      <c r="E229" s="1" t="b">
        <v>0</v>
      </c>
      <c r="F229" s="1" t="s">
        <v>956</v>
      </c>
      <c r="G229" s="1" t="str">
        <f t="array" ref="G229">XLOOKUP(A:A,'CategoriasSeções'!A:A,'CategoriasSeções'!B:B)</f>
        <v>Comunicados</v>
      </c>
      <c r="H229" s="1" t="s">
        <v>957</v>
      </c>
      <c r="I229" s="3">
        <v>43620.87291666667</v>
      </c>
      <c r="J229" s="3">
        <v>45526.55972222222</v>
      </c>
      <c r="K229" s="1" t="s">
        <v>2152</v>
      </c>
      <c r="L229" s="1" t="s">
        <v>2152</v>
      </c>
      <c r="M229" s="1" t="s">
        <v>38</v>
      </c>
      <c r="N229" s="1" t="s">
        <v>75</v>
      </c>
      <c r="O229" s="1" t="s">
        <v>69</v>
      </c>
      <c r="P229" s="1" t="s">
        <v>69</v>
      </c>
      <c r="Q229" s="3">
        <v>44077.82986111111</v>
      </c>
      <c r="R229" s="1" t="s">
        <v>2153</v>
      </c>
      <c r="S229" s="1" t="s">
        <v>2154</v>
      </c>
    </row>
    <row r="230" ht="69.0" customHeight="1">
      <c r="A230" s="1">
        <v>3.60007056091E11</v>
      </c>
      <c r="B230" s="2" t="s">
        <v>2156</v>
      </c>
      <c r="C230" s="1" t="s">
        <v>1545</v>
      </c>
      <c r="D230" s="1" t="s">
        <v>34</v>
      </c>
      <c r="E230" s="1" t="b">
        <v>0</v>
      </c>
      <c r="F230" s="1" t="s">
        <v>956</v>
      </c>
      <c r="G230" s="1" t="str">
        <f t="array" ref="G230">XLOOKUP(A:A,'CategoriasSeções'!A:A,'CategoriasSeções'!B:B)</f>
        <v>Comunicados</v>
      </c>
      <c r="H230" s="1" t="s">
        <v>957</v>
      </c>
      <c r="I230" s="3">
        <v>43287.788194444445</v>
      </c>
      <c r="J230" s="3">
        <v>45140.75208333333</v>
      </c>
      <c r="K230" s="1" t="s">
        <v>2157</v>
      </c>
      <c r="L230" s="1" t="s">
        <v>2157</v>
      </c>
      <c r="M230" s="1" t="s">
        <v>38</v>
      </c>
      <c r="N230" s="1" t="s">
        <v>75</v>
      </c>
      <c r="O230" s="1" t="s">
        <v>69</v>
      </c>
      <c r="P230" s="1" t="s">
        <v>69</v>
      </c>
      <c r="Q230" s="3">
        <v>44077.834027777775</v>
      </c>
      <c r="R230" s="1" t="s">
        <v>2158</v>
      </c>
      <c r="S230" s="1" t="s">
        <v>2159</v>
      </c>
    </row>
    <row r="231" ht="69.0" customHeight="1"/>
    <row r="232" ht="69.0" customHeight="1"/>
    <row r="233" ht="69.0" customHeight="1"/>
    <row r="234" ht="69.0" customHeight="1"/>
    <row r="235" ht="69.0" customHeight="1"/>
    <row r="236" ht="69.0" customHeight="1"/>
    <row r="237" ht="69.0" customHeight="1"/>
    <row r="238" ht="69.0" customHeight="1"/>
    <row r="239" ht="69.0" customHeight="1"/>
    <row r="240" ht="69.0" customHeight="1"/>
    <row r="241" ht="69.0" customHeight="1"/>
    <row r="242" ht="69.0" customHeight="1"/>
    <row r="243" ht="69.0" customHeight="1"/>
    <row r="244" ht="69.0" customHeight="1"/>
    <row r="245" ht="69.0" customHeight="1"/>
    <row r="246" ht="69.0" customHeight="1"/>
    <row r="247" ht="69.0" customHeight="1"/>
    <row r="248" ht="69.0" customHeight="1"/>
    <row r="249" ht="69.0" customHeight="1"/>
    <row r="250" ht="69.0" customHeight="1"/>
    <row r="251" ht="69.0" customHeight="1"/>
    <row r="252" ht="69.0" customHeight="1"/>
    <row r="253" ht="69.0" customHeight="1"/>
    <row r="254" ht="69.0" customHeight="1"/>
    <row r="255" ht="69.0" customHeight="1"/>
    <row r="256" ht="69.0" customHeight="1"/>
    <row r="257" ht="69.0" customHeight="1"/>
    <row r="258" ht="69.0" customHeight="1"/>
    <row r="259" ht="69.0" customHeight="1"/>
    <row r="260" ht="69.0" customHeight="1"/>
    <row r="261" ht="69.0" customHeight="1"/>
    <row r="262" ht="69.0" customHeight="1"/>
    <row r="263" ht="69.0" customHeight="1"/>
    <row r="264" ht="69.0" customHeight="1"/>
    <row r="265" ht="69.0" customHeight="1"/>
    <row r="266" ht="69.0" customHeight="1"/>
    <row r="267" ht="69.0" customHeight="1"/>
    <row r="268" ht="69.0" customHeight="1"/>
    <row r="269" ht="69.0" customHeight="1"/>
    <row r="270" ht="69.0" customHeight="1"/>
    <row r="271" ht="69.0" customHeight="1"/>
    <row r="272" ht="69.0" customHeight="1"/>
    <row r="273" ht="69.0" customHeight="1"/>
    <row r="274" ht="69.0" customHeight="1"/>
    <row r="275" ht="69.0" customHeight="1"/>
    <row r="276" ht="69.0" customHeight="1"/>
    <row r="277" ht="69.0" customHeight="1"/>
    <row r="278" ht="69.0" customHeight="1"/>
    <row r="279" ht="69.0" customHeight="1"/>
    <row r="280" ht="69.0" customHeight="1"/>
    <row r="281" ht="69.0" customHeight="1"/>
    <row r="282" ht="69.0" customHeight="1"/>
    <row r="283" ht="69.0" customHeight="1"/>
    <row r="284" ht="69.0" customHeight="1"/>
    <row r="285" ht="69.0" customHeight="1"/>
    <row r="286" ht="69.0" customHeight="1"/>
    <row r="287" ht="69.0" customHeight="1"/>
    <row r="288" ht="69.0" customHeight="1"/>
    <row r="289" ht="69.0" customHeight="1"/>
    <row r="290" ht="69.0" customHeight="1"/>
    <row r="291" ht="69.0" customHeight="1"/>
    <row r="292" ht="69.0" customHeight="1"/>
    <row r="293" ht="69.0" customHeight="1"/>
    <row r="294" ht="69.0" customHeight="1"/>
    <row r="295" ht="69.0" customHeight="1"/>
    <row r="296" ht="69.0" customHeight="1"/>
    <row r="297" ht="69.0" customHeight="1"/>
    <row r="298" ht="69.0" customHeight="1"/>
    <row r="299" ht="69.0" customHeight="1"/>
    <row r="300" ht="69.0" customHeight="1"/>
    <row r="301" ht="69.0" customHeight="1"/>
    <row r="302" ht="69.0" customHeight="1"/>
    <row r="303" ht="69.0" customHeight="1"/>
    <row r="304" ht="69.0" customHeight="1"/>
    <row r="305" ht="69.0" customHeight="1"/>
    <row r="306" ht="69.0" customHeight="1"/>
    <row r="307" ht="69.0" customHeight="1"/>
    <row r="308" ht="69.0" customHeight="1"/>
    <row r="309" ht="69.0" customHeight="1"/>
    <row r="310" ht="69.0" customHeight="1"/>
    <row r="311" ht="69.0" customHeight="1"/>
    <row r="312" ht="69.0" customHeight="1"/>
    <row r="313" ht="69.0" customHeight="1"/>
    <row r="314" ht="69.0" customHeight="1"/>
    <row r="315" ht="69.0" customHeight="1"/>
    <row r="316" ht="69.0" customHeight="1"/>
    <row r="317" ht="69.0" customHeight="1"/>
    <row r="318" ht="69.0" customHeight="1"/>
    <row r="319" ht="69.0" customHeight="1"/>
    <row r="320" ht="69.0" customHeight="1"/>
    <row r="321" ht="69.0" customHeight="1"/>
    <row r="322" ht="69.0" customHeight="1"/>
    <row r="323" ht="69.0" customHeight="1"/>
    <row r="324" ht="69.0" customHeight="1"/>
    <row r="325" ht="69.0" customHeight="1"/>
    <row r="326" ht="69.0" customHeight="1"/>
    <row r="327" ht="69.0" customHeight="1"/>
    <row r="328" ht="69.0" customHeight="1"/>
    <row r="329" ht="69.0" customHeight="1"/>
    <row r="330" ht="69.0" customHeight="1"/>
    <row r="331" ht="69.0" customHeight="1"/>
    <row r="332" ht="69.0" customHeight="1"/>
    <row r="333" ht="69.0" customHeight="1"/>
    <row r="334" ht="69.0" customHeight="1"/>
    <row r="335" ht="69.0" customHeight="1"/>
    <row r="336" ht="69.0" customHeight="1"/>
    <row r="337" ht="69.0" customHeight="1"/>
    <row r="338" ht="69.0" customHeight="1"/>
    <row r="339" ht="69.0" customHeight="1"/>
    <row r="340" ht="69.0" customHeight="1"/>
    <row r="341" ht="69.0" customHeight="1"/>
    <row r="342" ht="69.0" customHeight="1"/>
    <row r="343" ht="69.0" customHeight="1"/>
    <row r="344" ht="69.0" customHeight="1"/>
    <row r="345" ht="69.0" customHeight="1"/>
    <row r="346" ht="69.0" customHeight="1"/>
    <row r="347" ht="69.0" customHeight="1"/>
    <row r="348" ht="69.0" customHeight="1"/>
    <row r="349" ht="69.0" customHeight="1"/>
    <row r="350" ht="69.0" customHeight="1"/>
    <row r="351" ht="69.0" customHeight="1"/>
    <row r="352" ht="69.0" customHeight="1"/>
    <row r="353" ht="69.0" customHeight="1"/>
    <row r="354" ht="69.0" customHeight="1"/>
    <row r="355" ht="69.0" customHeight="1"/>
    <row r="356" ht="69.0" customHeight="1"/>
    <row r="357" ht="69.0" customHeight="1"/>
    <row r="358" ht="69.0" customHeight="1"/>
    <row r="359" ht="69.0" customHeight="1"/>
    <row r="360" ht="69.0" customHeight="1"/>
    <row r="361" ht="69.0" customHeight="1"/>
    <row r="362" ht="69.0" customHeight="1"/>
    <row r="363" ht="69.0" customHeight="1"/>
    <row r="364" ht="69.0" customHeight="1"/>
    <row r="365" ht="69.0" customHeight="1"/>
    <row r="366" ht="69.0" customHeight="1"/>
    <row r="367" ht="69.0" customHeight="1"/>
    <row r="368" ht="69.0" customHeight="1"/>
    <row r="369" ht="69.0" customHeight="1"/>
    <row r="370" ht="69.0" customHeight="1"/>
    <row r="371" ht="69.0" customHeight="1"/>
    <row r="372" ht="69.0" customHeight="1"/>
    <row r="373" ht="69.0" customHeight="1"/>
    <row r="374" ht="69.0" customHeight="1"/>
    <row r="375" ht="69.0" customHeight="1"/>
    <row r="376" ht="69.0" customHeight="1"/>
    <row r="377" ht="69.0" customHeight="1"/>
    <row r="378" ht="69.0" customHeight="1"/>
    <row r="379" ht="69.0" customHeight="1"/>
    <row r="380" ht="69.0" customHeight="1"/>
    <row r="381" ht="69.0" customHeight="1"/>
    <row r="382" ht="69.0" customHeight="1"/>
    <row r="383" ht="69.0" customHeight="1"/>
    <row r="384" ht="69.0" customHeight="1"/>
    <row r="385" ht="69.0" customHeight="1"/>
    <row r="386" ht="69.0" customHeight="1"/>
    <row r="387" ht="69.0" customHeight="1"/>
    <row r="388" ht="69.0" customHeight="1"/>
    <row r="389" ht="69.0" customHeight="1"/>
    <row r="390" ht="69.0" customHeight="1"/>
    <row r="391" ht="69.0" customHeight="1"/>
    <row r="392" ht="69.0" customHeight="1"/>
    <row r="393" ht="69.0" customHeight="1"/>
    <row r="394" ht="69.0" customHeight="1"/>
    <row r="395" ht="69.0" customHeight="1"/>
    <row r="396" ht="69.0" customHeight="1"/>
    <row r="397" ht="69.0" customHeight="1"/>
    <row r="398" ht="69.0" customHeight="1"/>
    <row r="399" ht="69.0" customHeight="1"/>
    <row r="400" ht="69.0" customHeight="1"/>
    <row r="401" ht="69.0" customHeight="1"/>
    <row r="402" ht="69.0" customHeight="1"/>
    <row r="403" ht="69.0" customHeight="1"/>
    <row r="404" ht="69.0" customHeight="1"/>
    <row r="405" ht="69.0" customHeight="1"/>
    <row r="406" ht="69.0" customHeight="1"/>
    <row r="407" ht="69.0" customHeight="1"/>
    <row r="408" ht="69.0" customHeight="1"/>
    <row r="409" ht="69.0" customHeight="1"/>
    <row r="410" ht="69.0" customHeight="1"/>
    <row r="411" ht="69.0" customHeight="1"/>
    <row r="412" ht="69.0" customHeight="1"/>
    <row r="413" ht="69.0" customHeight="1"/>
    <row r="414" ht="69.0" customHeight="1"/>
    <row r="415" ht="69.0" customHeight="1"/>
    <row r="416" ht="69.0" customHeight="1"/>
    <row r="417" ht="69.0" customHeight="1"/>
    <row r="418" ht="69.0" customHeight="1"/>
    <row r="419" ht="69.0" customHeight="1"/>
    <row r="420" ht="69.0" customHeight="1"/>
    <row r="421" ht="69.0" customHeight="1"/>
    <row r="422" ht="69.0" customHeight="1"/>
    <row r="423" ht="69.0" customHeight="1"/>
    <row r="424" ht="69.0" customHeight="1"/>
    <row r="425" ht="69.0" customHeight="1"/>
    <row r="426" ht="69.0" customHeight="1"/>
    <row r="427" ht="69.0" customHeight="1"/>
    <row r="428" ht="69.0" customHeight="1"/>
    <row r="429" ht="69.0" customHeight="1"/>
    <row r="430" ht="69.0" customHeight="1"/>
    <row r="431" ht="69.0" customHeight="1"/>
    <row r="432" ht="69.0" customHeight="1"/>
    <row r="433" ht="69.0" customHeight="1"/>
    <row r="434" ht="69.0" customHeight="1"/>
    <row r="435" ht="69.0" customHeight="1"/>
    <row r="436" ht="69.0" customHeight="1"/>
    <row r="437" ht="69.0" customHeight="1"/>
    <row r="438" ht="69.0" customHeight="1"/>
    <row r="439" ht="69.0" customHeight="1"/>
    <row r="440" ht="69.0" customHeight="1"/>
    <row r="441" ht="69.0" customHeight="1"/>
    <row r="442" ht="69.0" customHeight="1"/>
    <row r="443" ht="69.0" customHeight="1"/>
    <row r="444" ht="69.0" customHeight="1"/>
    <row r="445" ht="69.0" customHeight="1"/>
    <row r="446" ht="69.0" customHeight="1"/>
    <row r="447" ht="69.0" customHeight="1"/>
    <row r="448" ht="69.0" customHeight="1"/>
    <row r="449" ht="69.0" customHeight="1"/>
    <row r="450" ht="69.0" customHeight="1"/>
    <row r="451" ht="69.0" customHeight="1"/>
    <row r="452" ht="69.0" customHeight="1"/>
    <row r="453" ht="69.0" customHeight="1"/>
    <row r="454" ht="69.0" customHeight="1"/>
    <row r="455" ht="69.0" customHeight="1"/>
    <row r="456" ht="69.0" customHeight="1"/>
    <row r="457" ht="69.0" customHeight="1"/>
    <row r="458" ht="69.0" customHeight="1"/>
    <row r="459" ht="69.0" customHeight="1"/>
    <row r="460" ht="69.0" customHeight="1"/>
    <row r="461" ht="69.0" customHeight="1"/>
    <row r="462" ht="69.0" customHeight="1"/>
    <row r="463" ht="69.0" customHeight="1"/>
    <row r="464" ht="69.0" customHeight="1"/>
    <row r="465" ht="69.0" customHeight="1"/>
    <row r="466" ht="69.0" customHeight="1"/>
    <row r="467" ht="69.0" customHeight="1"/>
    <row r="468" ht="69.0" customHeight="1"/>
    <row r="469" ht="69.0" customHeight="1"/>
    <row r="470" ht="69.0" customHeight="1"/>
    <row r="471" ht="69.0" customHeight="1"/>
    <row r="472" ht="69.0" customHeight="1"/>
    <row r="473" ht="69.0" customHeight="1"/>
    <row r="474" ht="69.0" customHeight="1"/>
    <row r="475" ht="69.0" customHeight="1"/>
    <row r="476" ht="69.0" customHeight="1"/>
    <row r="477" ht="69.0" customHeight="1"/>
    <row r="478" ht="69.0" customHeight="1"/>
    <row r="479" ht="69.0" customHeight="1"/>
    <row r="480" ht="69.0" customHeight="1"/>
    <row r="481" ht="69.0" customHeight="1"/>
    <row r="482" ht="69.0" customHeight="1"/>
    <row r="483" ht="69.0" customHeight="1"/>
    <row r="484" ht="69.0" customHeight="1"/>
    <row r="485" ht="69.0" customHeight="1"/>
    <row r="486" ht="69.0" customHeight="1"/>
    <row r="487" ht="69.0" customHeight="1"/>
    <row r="488" ht="69.0" customHeight="1"/>
    <row r="489" ht="69.0" customHeight="1"/>
    <row r="490" ht="69.0" customHeight="1"/>
    <row r="491" ht="69.0" customHeight="1"/>
    <row r="492" ht="69.0" customHeight="1"/>
    <row r="493" ht="69.0" customHeight="1"/>
    <row r="494" ht="69.0" customHeight="1"/>
    <row r="495" ht="69.0" customHeight="1"/>
    <row r="496" ht="69.0" customHeight="1"/>
    <row r="497" ht="69.0" customHeight="1"/>
    <row r="498" ht="69.0" customHeight="1"/>
    <row r="499" ht="69.0" customHeight="1"/>
    <row r="500" ht="69.0" customHeight="1"/>
    <row r="501" ht="69.0" customHeight="1"/>
    <row r="502" ht="69.0" customHeight="1"/>
    <row r="503" ht="69.0" customHeight="1"/>
    <row r="504" ht="69.0" customHeight="1"/>
    <row r="505" ht="69.0" customHeight="1"/>
    <row r="506" ht="69.0" customHeight="1"/>
    <row r="507" ht="69.0" customHeight="1"/>
    <row r="508" ht="69.0" customHeight="1"/>
    <row r="509" ht="69.0" customHeight="1"/>
    <row r="510" ht="69.0" customHeight="1"/>
    <row r="511" ht="69.0" customHeight="1"/>
    <row r="512" ht="69.0" customHeight="1"/>
    <row r="513" ht="69.0" customHeight="1"/>
    <row r="514" ht="69.0" customHeight="1"/>
    <row r="515" ht="69.0" customHeight="1"/>
    <row r="516" ht="69.0" customHeight="1"/>
    <row r="517" ht="69.0" customHeight="1"/>
    <row r="518" ht="69.0" customHeight="1"/>
    <row r="519" ht="69.0" customHeight="1"/>
    <row r="520" ht="69.0" customHeight="1"/>
    <row r="521" ht="69.0" customHeight="1"/>
    <row r="522" ht="69.0" customHeight="1"/>
    <row r="523" ht="69.0" customHeight="1"/>
    <row r="524" ht="69.0" customHeight="1"/>
    <row r="525" ht="69.0" customHeight="1"/>
    <row r="526" ht="69.0" customHeight="1"/>
    <row r="527" ht="69.0" customHeight="1"/>
    <row r="528" ht="69.0" customHeight="1"/>
    <row r="529" ht="69.0" customHeight="1"/>
    <row r="530" ht="69.0" customHeight="1"/>
    <row r="531" ht="69.0" customHeight="1"/>
    <row r="532" ht="69.0" customHeight="1"/>
    <row r="533" ht="69.0" customHeight="1"/>
    <row r="534" ht="69.0" customHeight="1"/>
    <row r="535" ht="69.0" customHeight="1"/>
    <row r="536" ht="69.0" customHeight="1"/>
    <row r="537" ht="69.0" customHeight="1"/>
    <row r="538" ht="69.0" customHeight="1"/>
    <row r="539" ht="69.0" customHeight="1"/>
    <row r="540" ht="69.0" customHeight="1"/>
    <row r="541" ht="69.0" customHeight="1"/>
    <row r="542" ht="69.0" customHeight="1"/>
    <row r="543" ht="69.0" customHeight="1"/>
    <row r="544" ht="69.0" customHeight="1"/>
    <row r="545" ht="69.0" customHeight="1"/>
    <row r="546" ht="69.0" customHeight="1"/>
    <row r="547" ht="69.0" customHeight="1"/>
    <row r="548" ht="69.0" customHeight="1"/>
    <row r="549" ht="69.0" customHeight="1"/>
    <row r="550" ht="69.0" customHeight="1"/>
    <row r="551" ht="69.0" customHeight="1"/>
    <row r="552" ht="69.0" customHeight="1"/>
    <row r="553" ht="69.0" customHeight="1"/>
    <row r="554" ht="69.0" customHeight="1"/>
    <row r="555" ht="69.0" customHeight="1"/>
    <row r="556" ht="69.0" customHeight="1"/>
    <row r="557" ht="69.0" customHeight="1"/>
    <row r="558" ht="69.0" customHeight="1"/>
    <row r="559" ht="69.0" customHeight="1"/>
    <row r="560" ht="69.0" customHeight="1"/>
    <row r="561" ht="69.0" customHeight="1"/>
    <row r="562" ht="69.0" customHeight="1"/>
    <row r="563" ht="69.0" customHeight="1"/>
    <row r="564" ht="69.0" customHeight="1"/>
    <row r="565" ht="69.0" customHeight="1"/>
    <row r="566" ht="69.0" customHeight="1"/>
    <row r="567" ht="69.0" customHeight="1"/>
    <row r="568" ht="69.0" customHeight="1"/>
    <row r="569" ht="69.0" customHeight="1"/>
    <row r="570" ht="69.0" customHeight="1"/>
    <row r="571" ht="69.0" customHeight="1"/>
    <row r="572" ht="69.0" customHeight="1"/>
    <row r="573" ht="69.0" customHeight="1"/>
    <row r="574" ht="69.0" customHeight="1"/>
    <row r="575" ht="69.0" customHeight="1"/>
    <row r="576" ht="69.0" customHeight="1"/>
    <row r="577" ht="69.0" customHeight="1"/>
    <row r="578" ht="69.0" customHeight="1"/>
    <row r="579" ht="69.0" customHeight="1"/>
    <row r="580" ht="69.0" customHeight="1"/>
    <row r="581" ht="69.0" customHeight="1"/>
    <row r="582" ht="69.0" customHeight="1"/>
    <row r="583" ht="69.0" customHeight="1"/>
    <row r="584" ht="69.0" customHeight="1"/>
    <row r="585" ht="69.0" customHeight="1"/>
    <row r="586" ht="69.0" customHeight="1"/>
    <row r="587" ht="69.0" customHeight="1"/>
    <row r="588" ht="69.0" customHeight="1"/>
    <row r="589" ht="69.0" customHeight="1"/>
    <row r="590" ht="69.0" customHeight="1"/>
    <row r="591" ht="69.0" customHeight="1"/>
    <row r="592" ht="69.0" customHeight="1"/>
    <row r="593" ht="69.0" customHeight="1"/>
    <row r="594" ht="69.0" customHeight="1"/>
    <row r="595" ht="69.0" customHeight="1"/>
    <row r="596" ht="69.0" customHeight="1"/>
    <row r="597" ht="69.0" customHeight="1"/>
    <row r="598" ht="69.0" customHeight="1"/>
    <row r="599" ht="69.0" customHeight="1"/>
    <row r="600" ht="69.0" customHeight="1"/>
    <row r="601" ht="69.0" customHeight="1"/>
    <row r="602" ht="69.0" customHeight="1"/>
    <row r="603" ht="69.0" customHeight="1"/>
    <row r="604" ht="69.0" customHeight="1"/>
    <row r="605" ht="69.0" customHeight="1"/>
    <row r="606" ht="69.0" customHeight="1"/>
    <row r="607" ht="69.0" customHeight="1"/>
    <row r="608" ht="69.0" customHeight="1"/>
    <row r="609" ht="69.0" customHeight="1"/>
    <row r="610" ht="69.0" customHeight="1"/>
    <row r="611" ht="69.0" customHeight="1"/>
    <row r="612" ht="69.0" customHeight="1"/>
    <row r="613" ht="69.0" customHeight="1"/>
    <row r="614" ht="69.0" customHeight="1"/>
    <row r="615" ht="69.0" customHeight="1"/>
    <row r="616" ht="69.0" customHeight="1"/>
    <row r="617" ht="69.0" customHeight="1"/>
    <row r="618" ht="69.0" customHeight="1"/>
    <row r="619" ht="69.0" customHeight="1"/>
    <row r="620" ht="69.0" customHeight="1"/>
    <row r="621" ht="69.0" customHeight="1"/>
    <row r="622" ht="69.0" customHeight="1"/>
    <row r="623" ht="69.0" customHeight="1"/>
    <row r="624" ht="69.0" customHeight="1"/>
    <row r="625" ht="69.0" customHeight="1"/>
    <row r="626" ht="69.0" customHeight="1"/>
    <row r="627" ht="69.0" customHeight="1"/>
    <row r="628" ht="69.0" customHeight="1"/>
    <row r="629" ht="69.0" customHeight="1"/>
    <row r="630" ht="69.0" customHeight="1"/>
    <row r="631" ht="69.0" customHeight="1"/>
    <row r="632" ht="69.0" customHeight="1"/>
    <row r="633" ht="69.0" customHeight="1"/>
    <row r="634" ht="69.0" customHeight="1"/>
    <row r="635" ht="69.0" customHeight="1"/>
    <row r="636" ht="69.0" customHeight="1"/>
    <row r="637" ht="69.0" customHeight="1"/>
    <row r="638" ht="69.0" customHeight="1"/>
    <row r="639" ht="69.0" customHeight="1"/>
    <row r="640" ht="69.0" customHeight="1"/>
    <row r="641" ht="69.0" customHeight="1"/>
    <row r="642" ht="69.0" customHeight="1"/>
    <row r="643" ht="69.0" customHeight="1"/>
    <row r="644" ht="69.0" customHeight="1"/>
    <row r="645" ht="69.0" customHeight="1"/>
    <row r="646" ht="69.0" customHeight="1"/>
    <row r="647" ht="69.0" customHeight="1"/>
    <row r="648" ht="69.0" customHeight="1"/>
    <row r="649" ht="69.0" customHeight="1"/>
    <row r="650" ht="69.0" customHeight="1"/>
    <row r="651" ht="69.0" customHeight="1"/>
    <row r="652" ht="69.0" customHeight="1"/>
    <row r="653" ht="69.0" customHeight="1"/>
    <row r="654" ht="69.0" customHeight="1"/>
    <row r="655" ht="69.0" customHeight="1"/>
    <row r="656" ht="69.0" customHeight="1"/>
    <row r="657" ht="69.0" customHeight="1"/>
    <row r="658" ht="69.0" customHeight="1"/>
    <row r="659" ht="69.0" customHeight="1"/>
    <row r="660" ht="69.0" customHeight="1"/>
    <row r="661" ht="69.0" customHeight="1"/>
    <row r="662" ht="69.0" customHeight="1"/>
    <row r="663" ht="69.0" customHeight="1"/>
    <row r="664" ht="69.0" customHeight="1"/>
    <row r="665" ht="69.0" customHeight="1"/>
    <row r="666" ht="69.0" customHeight="1"/>
    <row r="667" ht="69.0" customHeight="1"/>
    <row r="668" ht="69.0" customHeight="1"/>
    <row r="669" ht="69.0" customHeight="1"/>
    <row r="670" ht="69.0" customHeight="1"/>
    <row r="671" ht="69.0" customHeight="1"/>
    <row r="672" ht="69.0" customHeight="1"/>
    <row r="673" ht="69.0" customHeight="1"/>
    <row r="674" ht="69.0" customHeight="1"/>
    <row r="675" ht="69.0" customHeight="1"/>
    <row r="676" ht="69.0" customHeight="1"/>
    <row r="677" ht="69.0" customHeight="1"/>
    <row r="678" ht="69.0" customHeight="1"/>
    <row r="679" ht="69.0" customHeight="1"/>
    <row r="680" ht="69.0" customHeight="1"/>
    <row r="681" ht="69.0" customHeight="1"/>
    <row r="682" ht="69.0" customHeight="1"/>
    <row r="683" ht="69.0" customHeight="1"/>
    <row r="684" ht="69.0" customHeight="1"/>
    <row r="685" ht="69.0" customHeight="1"/>
    <row r="686" ht="69.0" customHeight="1"/>
    <row r="687" ht="69.0" customHeight="1"/>
    <row r="688" ht="69.0" customHeight="1"/>
    <row r="689" ht="69.0" customHeight="1"/>
    <row r="690" ht="69.0" customHeight="1"/>
    <row r="691" ht="69.0" customHeight="1"/>
    <row r="692" ht="69.0" customHeight="1"/>
    <row r="693" ht="69.0" customHeight="1"/>
    <row r="694" ht="69.0" customHeight="1"/>
    <row r="695" ht="69.0" customHeight="1"/>
    <row r="696" ht="69.0" customHeight="1"/>
    <row r="697" ht="69.0" customHeight="1"/>
    <row r="698" ht="69.0" customHeight="1"/>
    <row r="699" ht="69.0" customHeight="1"/>
    <row r="700" ht="69.0" customHeight="1"/>
    <row r="701" ht="69.0" customHeight="1"/>
    <row r="702" ht="69.0" customHeight="1"/>
    <row r="703" ht="69.0" customHeight="1"/>
    <row r="704" ht="69.0" customHeight="1"/>
    <row r="705" ht="69.0" customHeight="1"/>
    <row r="706" ht="69.0" customHeight="1"/>
    <row r="707" ht="69.0" customHeight="1"/>
    <row r="708" ht="69.0" customHeight="1"/>
    <row r="709" ht="69.0" customHeight="1"/>
    <row r="710" ht="69.0" customHeight="1"/>
    <row r="711" ht="69.0" customHeight="1"/>
    <row r="712" ht="69.0" customHeight="1"/>
    <row r="713" ht="69.0" customHeight="1"/>
    <row r="714" ht="69.0" customHeight="1"/>
    <row r="715" ht="69.0" customHeight="1"/>
    <row r="716" ht="69.0" customHeight="1"/>
    <row r="717" ht="69.0" customHeight="1"/>
    <row r="718" ht="69.0" customHeight="1"/>
    <row r="719" ht="69.0" customHeight="1"/>
    <row r="720" ht="69.0" customHeight="1"/>
    <row r="721" ht="69.0" customHeight="1"/>
    <row r="722" ht="69.0" customHeight="1"/>
    <row r="723" ht="69.0" customHeight="1"/>
    <row r="724" ht="69.0" customHeight="1"/>
    <row r="725" ht="69.0" customHeight="1"/>
    <row r="726" ht="69.0" customHeight="1"/>
    <row r="727" ht="69.0" customHeight="1"/>
    <row r="728" ht="69.0" customHeight="1"/>
    <row r="729" ht="69.0" customHeight="1"/>
    <row r="730" ht="69.0" customHeight="1"/>
    <row r="731" ht="69.0" customHeight="1"/>
    <row r="732" ht="69.0" customHeight="1"/>
    <row r="733" ht="69.0" customHeight="1"/>
    <row r="734" ht="69.0" customHeight="1"/>
    <row r="735" ht="69.0" customHeight="1"/>
    <row r="736" ht="69.0" customHeight="1"/>
    <row r="737" ht="69.0" customHeight="1"/>
    <row r="738" ht="69.0" customHeight="1"/>
    <row r="739" ht="69.0" customHeight="1"/>
    <row r="740" ht="69.0" customHeight="1"/>
    <row r="741" ht="69.0" customHeight="1"/>
    <row r="742" ht="69.0" customHeight="1"/>
    <row r="743" ht="69.0" customHeight="1"/>
    <row r="744" ht="69.0" customHeight="1"/>
    <row r="745" ht="69.0" customHeight="1"/>
    <row r="746" ht="69.0" customHeight="1"/>
    <row r="747" ht="69.0" customHeight="1"/>
    <row r="748" ht="69.0" customHeight="1"/>
    <row r="749" ht="69.0" customHeight="1"/>
    <row r="750" ht="69.0" customHeight="1"/>
    <row r="751" ht="69.0" customHeight="1"/>
    <row r="752" ht="69.0" customHeight="1"/>
    <row r="753" ht="69.0" customHeight="1"/>
    <row r="754" ht="69.0" customHeight="1"/>
    <row r="755" ht="69.0" customHeight="1"/>
    <row r="756" ht="69.0" customHeight="1"/>
    <row r="757" ht="69.0" customHeight="1"/>
    <row r="758" ht="69.0" customHeight="1"/>
    <row r="759" ht="69.0" customHeight="1"/>
    <row r="760" ht="69.0" customHeight="1"/>
    <row r="761" ht="69.0" customHeight="1"/>
    <row r="762" ht="69.0" customHeight="1"/>
    <row r="763" ht="69.0" customHeight="1"/>
    <row r="764" ht="69.0" customHeight="1"/>
    <row r="765" ht="69.0" customHeight="1"/>
    <row r="766" ht="69.0" customHeight="1"/>
    <row r="767" ht="69.0" customHeight="1"/>
    <row r="768" ht="69.0" customHeight="1"/>
    <row r="769" ht="69.0" customHeight="1"/>
    <row r="770" ht="69.0" customHeight="1"/>
    <row r="771" ht="69.0" customHeight="1"/>
    <row r="772" ht="69.0" customHeight="1"/>
    <row r="773" ht="69.0" customHeight="1"/>
    <row r="774" ht="69.0" customHeight="1"/>
    <row r="775" ht="69.0" customHeight="1"/>
    <row r="776" ht="69.0" customHeight="1"/>
    <row r="777" ht="69.0" customHeight="1"/>
    <row r="778" ht="69.0" customHeight="1"/>
    <row r="779" ht="69.0" customHeight="1"/>
    <row r="780" ht="69.0" customHeight="1"/>
    <row r="781" ht="69.0" customHeight="1"/>
    <row r="782" ht="69.0" customHeight="1"/>
    <row r="783" ht="69.0" customHeight="1"/>
    <row r="784" ht="69.0" customHeight="1"/>
    <row r="785" ht="69.0" customHeight="1"/>
    <row r="786" ht="69.0" customHeight="1"/>
    <row r="787" ht="69.0" customHeight="1"/>
    <row r="788" ht="69.0" customHeight="1"/>
    <row r="789" ht="69.0" customHeight="1"/>
    <row r="790" ht="69.0" customHeight="1"/>
    <row r="791" ht="69.0" customHeight="1"/>
    <row r="792" ht="69.0" customHeight="1"/>
    <row r="793" ht="69.0" customHeight="1"/>
    <row r="794" ht="69.0" customHeight="1"/>
    <row r="795" ht="69.0" customHeight="1"/>
    <row r="796" ht="69.0" customHeight="1"/>
    <row r="797" ht="69.0" customHeight="1"/>
    <row r="798" ht="69.0" customHeight="1"/>
    <row r="799" ht="69.0" customHeight="1"/>
    <row r="800" ht="69.0" customHeight="1"/>
    <row r="801" ht="69.0" customHeight="1"/>
    <row r="802" ht="69.0" customHeight="1"/>
    <row r="803" ht="69.0" customHeight="1"/>
    <row r="804" ht="69.0" customHeight="1"/>
    <row r="805" ht="69.0" customHeight="1"/>
    <row r="806" ht="69.0" customHeight="1"/>
    <row r="807" ht="69.0" customHeight="1"/>
    <row r="808" ht="69.0" customHeight="1"/>
    <row r="809" ht="69.0" customHeight="1"/>
    <row r="810" ht="69.0" customHeight="1"/>
    <row r="811" ht="69.0" customHeight="1"/>
    <row r="812" ht="69.0" customHeight="1"/>
    <row r="813" ht="69.0" customHeight="1"/>
    <row r="814" ht="69.0" customHeight="1"/>
    <row r="815" ht="69.0" customHeight="1"/>
    <row r="816" ht="69.0" customHeight="1"/>
    <row r="817" ht="69.0" customHeight="1"/>
    <row r="818" ht="69.0" customHeight="1"/>
    <row r="819" ht="69.0" customHeight="1"/>
    <row r="820" ht="69.0" customHeight="1"/>
    <row r="821" ht="69.0" customHeight="1"/>
    <row r="822" ht="69.0" customHeight="1"/>
    <row r="823" ht="69.0" customHeight="1"/>
    <row r="824" ht="69.0" customHeight="1"/>
    <row r="825" ht="69.0" customHeight="1"/>
    <row r="826" ht="69.0" customHeight="1"/>
    <row r="827" ht="69.0" customHeight="1"/>
    <row r="828" ht="69.0" customHeight="1"/>
    <row r="829" ht="69.0" customHeight="1"/>
    <row r="830" ht="69.0" customHeight="1"/>
    <row r="831" ht="69.0" customHeight="1"/>
    <row r="832" ht="69.0" customHeight="1"/>
    <row r="833" ht="69.0" customHeight="1"/>
    <row r="834" ht="69.0" customHeight="1"/>
    <row r="835" ht="69.0" customHeight="1"/>
    <row r="836" ht="69.0" customHeight="1"/>
    <row r="837" ht="69.0" customHeight="1"/>
    <row r="838" ht="69.0" customHeight="1"/>
    <row r="839" ht="69.0" customHeight="1"/>
    <row r="840" ht="69.0" customHeight="1"/>
    <row r="841" ht="69.0" customHeight="1"/>
    <row r="842" ht="69.0" customHeight="1"/>
    <row r="843" ht="69.0" customHeight="1"/>
    <row r="844" ht="69.0" customHeight="1"/>
    <row r="845" ht="69.0" customHeight="1"/>
    <row r="846" ht="69.0" customHeight="1"/>
    <row r="847" ht="69.0" customHeight="1"/>
    <row r="848" ht="69.0" customHeight="1"/>
    <row r="849" ht="69.0" customHeight="1"/>
    <row r="850" ht="69.0" customHeight="1"/>
    <row r="851" ht="69.0" customHeight="1"/>
    <row r="852" ht="69.0" customHeight="1"/>
    <row r="853" ht="69.0" customHeight="1"/>
    <row r="854" ht="69.0" customHeight="1"/>
    <row r="855" ht="69.0" customHeight="1"/>
    <row r="856" ht="69.0" customHeight="1"/>
    <row r="857" ht="69.0" customHeight="1"/>
    <row r="858" ht="69.0" customHeight="1"/>
    <row r="859" ht="69.0" customHeight="1"/>
    <row r="860" ht="69.0" customHeight="1"/>
    <row r="861" ht="69.0" customHeight="1"/>
    <row r="862" ht="69.0" customHeight="1"/>
    <row r="863" ht="69.0" customHeight="1"/>
    <row r="864" ht="69.0" customHeight="1"/>
    <row r="865" ht="69.0" customHeight="1"/>
    <row r="866" ht="69.0" customHeight="1"/>
    <row r="867" ht="69.0" customHeight="1"/>
    <row r="868" ht="69.0" customHeight="1"/>
    <row r="869" ht="69.0" customHeight="1"/>
    <row r="870" ht="69.0" customHeight="1"/>
    <row r="871" ht="69.0" customHeight="1"/>
    <row r="872" ht="69.0" customHeight="1"/>
    <row r="873" ht="69.0" customHeight="1"/>
    <row r="874" ht="69.0" customHeight="1"/>
    <row r="875" ht="69.0" customHeight="1"/>
    <row r="876" ht="69.0" customHeight="1"/>
    <row r="877" ht="69.0" customHeight="1"/>
    <row r="878" ht="69.0" customHeight="1"/>
    <row r="879" ht="69.0" customHeight="1"/>
    <row r="880" ht="69.0" customHeight="1"/>
    <row r="881" ht="69.0" customHeight="1"/>
    <row r="882" ht="69.0" customHeight="1"/>
    <row r="883" ht="69.0" customHeight="1"/>
    <row r="884" ht="69.0" customHeight="1"/>
    <row r="885" ht="69.0" customHeight="1"/>
    <row r="886" ht="69.0" customHeight="1"/>
    <row r="887" ht="69.0" customHeight="1"/>
    <row r="888" ht="69.0" customHeight="1"/>
    <row r="889" ht="69.0" customHeight="1"/>
    <row r="890" ht="69.0" customHeight="1"/>
    <row r="891" ht="69.0" customHeight="1"/>
    <row r="892" ht="69.0" customHeight="1"/>
    <row r="893" ht="69.0" customHeight="1"/>
    <row r="894" ht="69.0" customHeight="1"/>
    <row r="895" ht="69.0" customHeight="1"/>
    <row r="896" ht="69.0" customHeight="1"/>
    <row r="897" ht="69.0" customHeight="1"/>
    <row r="898" ht="69.0" customHeight="1"/>
    <row r="899" ht="69.0" customHeight="1"/>
    <row r="900" ht="69.0" customHeight="1"/>
    <row r="901" ht="69.0" customHeight="1"/>
    <row r="902" ht="69.0" customHeight="1"/>
    <row r="903" ht="69.0" customHeight="1"/>
    <row r="904" ht="69.0" customHeight="1"/>
    <row r="905" ht="69.0" customHeight="1"/>
    <row r="906" ht="69.0" customHeight="1"/>
    <row r="907" ht="69.0" customHeight="1"/>
    <row r="908" ht="69.0" customHeight="1"/>
    <row r="909" ht="69.0" customHeight="1"/>
    <row r="910" ht="69.0" customHeight="1"/>
    <row r="911" ht="69.0" customHeight="1"/>
    <row r="912" ht="69.0" customHeight="1"/>
    <row r="913" ht="69.0" customHeight="1"/>
    <row r="914" ht="69.0" customHeight="1"/>
    <row r="915" ht="69.0" customHeight="1"/>
    <row r="916" ht="69.0" customHeight="1"/>
    <row r="917" ht="69.0" customHeight="1"/>
    <row r="918" ht="69.0" customHeight="1"/>
    <row r="919" ht="69.0" customHeight="1"/>
    <row r="920" ht="69.0" customHeight="1"/>
    <row r="921" ht="69.0" customHeight="1"/>
    <row r="922" ht="69.0" customHeight="1"/>
    <row r="923" ht="69.0" customHeight="1"/>
    <row r="924" ht="69.0" customHeight="1"/>
    <row r="925" ht="69.0" customHeight="1"/>
    <row r="926" ht="69.0" customHeight="1"/>
    <row r="927" ht="69.0" customHeight="1"/>
    <row r="928" ht="69.0" customHeight="1"/>
    <row r="929" ht="69.0" customHeight="1"/>
    <row r="930" ht="69.0" customHeight="1"/>
    <row r="931" ht="69.0" customHeight="1"/>
    <row r="932" ht="69.0" customHeight="1"/>
    <row r="933" ht="69.0" customHeight="1"/>
    <row r="934" ht="69.0" customHeight="1"/>
    <row r="935" ht="69.0" customHeight="1"/>
    <row r="936" ht="69.0" customHeight="1"/>
    <row r="937" ht="69.0" customHeight="1"/>
    <row r="938" ht="69.0" customHeight="1"/>
    <row r="939" ht="69.0" customHeight="1"/>
    <row r="940" ht="69.0" customHeight="1"/>
    <row r="941" ht="69.0" customHeight="1"/>
    <row r="942" ht="69.0" customHeight="1"/>
    <row r="943" ht="69.0" customHeight="1"/>
    <row r="944" ht="69.0" customHeight="1"/>
    <row r="945" ht="69.0" customHeight="1"/>
    <row r="946" ht="69.0" customHeight="1"/>
    <row r="947" ht="69.0" customHeight="1"/>
    <row r="948" ht="69.0" customHeight="1"/>
    <row r="949" ht="69.0" customHeight="1"/>
    <row r="950" ht="69.0" customHeight="1"/>
    <row r="951" ht="69.0" customHeight="1"/>
    <row r="952" ht="69.0" customHeight="1"/>
    <row r="953" ht="69.0" customHeight="1"/>
    <row r="954" ht="69.0" customHeight="1"/>
    <row r="955" ht="69.0" customHeight="1"/>
    <row r="956" ht="69.0" customHeight="1"/>
    <row r="957" ht="69.0" customHeight="1"/>
    <row r="958" ht="69.0" customHeight="1"/>
    <row r="959" ht="69.0" customHeight="1"/>
    <row r="960" ht="69.0" customHeight="1"/>
    <row r="961" ht="69.0" customHeight="1"/>
    <row r="962" ht="69.0" customHeight="1"/>
    <row r="963" ht="69.0" customHeight="1"/>
    <row r="964" ht="69.0" customHeight="1"/>
    <row r="965" ht="69.0" customHeight="1"/>
    <row r="966" ht="69.0" customHeight="1"/>
    <row r="967" ht="69.0" customHeight="1"/>
    <row r="968" ht="69.0" customHeight="1"/>
    <row r="969" ht="69.0" customHeight="1"/>
    <row r="970" ht="69.0" customHeight="1"/>
    <row r="971" ht="69.0" customHeight="1"/>
    <row r="972" ht="69.0" customHeight="1"/>
    <row r="973" ht="69.0" customHeight="1"/>
    <row r="974" ht="69.0" customHeight="1"/>
    <row r="975" ht="69.0" customHeight="1"/>
    <row r="976" ht="69.0" customHeight="1"/>
    <row r="977" ht="69.0" customHeight="1"/>
    <row r="978" ht="69.0" customHeight="1"/>
    <row r="979" ht="69.0" customHeight="1"/>
    <row r="980" ht="69.0" customHeight="1"/>
    <row r="981" ht="69.0" customHeight="1"/>
    <row r="982" ht="69.0" customHeight="1"/>
    <row r="983" ht="69.0" customHeight="1"/>
    <row r="984" ht="69.0" customHeight="1"/>
    <row r="985" ht="69.0" customHeight="1"/>
    <row r="986" ht="69.0" customHeight="1"/>
    <row r="987" ht="69.0" customHeight="1"/>
    <row r="988" ht="69.0" customHeight="1"/>
    <row r="989" ht="69.0" customHeight="1"/>
    <row r="990" ht="69.0" customHeight="1"/>
    <row r="991" ht="69.0" customHeight="1"/>
    <row r="992" ht="69.0" customHeight="1"/>
    <row r="993" ht="69.0" customHeight="1"/>
    <row r="994" ht="69.0" customHeight="1"/>
    <row r="995" ht="69.0" customHeight="1"/>
    <row r="996" ht="69.0" customHeight="1"/>
    <row r="997" ht="69.0" customHeight="1"/>
    <row r="998" ht="69.0" customHeight="1"/>
    <row r="999" ht="69.0" customHeight="1"/>
    <row r="1000" ht="69.0" customHeight="1"/>
  </sheetData>
  <conditionalFormatting sqref="D2:D230">
    <cfRule type="containsText" dxfId="0" priority="1" operator="containsText" text="Publicado">
      <formula>NOT(ISERROR(SEARCH(("Publicado"),(D2))))</formula>
    </cfRule>
  </conditionalFormatting>
  <conditionalFormatting sqref="D2:D230">
    <cfRule type="containsText" dxfId="1" priority="2" operator="containsText" text="Rascunho">
      <formula>NOT(ISERROR(SEARCH(("Rascunho"),(D2))))</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s>
  <drawing r:id="rId2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4" max="4" width="9.75"/>
    <col hidden="1" min="5" max="5" width="12.63"/>
    <col customWidth="1" min="6" max="6" width="17.5"/>
    <col customWidth="1" min="11" max="11" width="43.38"/>
    <col customWidth="1" min="12" max="12" width="49.5"/>
    <col customWidth="1" min="14" max="14" width="15.63"/>
    <col customWidth="1" min="15" max="15" width="18.5"/>
    <col customWidth="1" min="16" max="16" width="21.25"/>
  </cols>
  <sheetData>
    <row r="1">
      <c r="A1" s="1" t="s">
        <v>0</v>
      </c>
      <c r="B1" s="1" t="s">
        <v>2</v>
      </c>
      <c r="C1" s="1" t="s">
        <v>4</v>
      </c>
      <c r="D1" s="1" t="s">
        <v>6</v>
      </c>
      <c r="E1" s="1" t="s">
        <v>7</v>
      </c>
      <c r="F1" s="1" t="s">
        <v>12</v>
      </c>
      <c r="G1" s="1" t="s">
        <v>13</v>
      </c>
      <c r="H1" s="1" t="s">
        <v>14</v>
      </c>
      <c r="I1" s="1" t="s">
        <v>15</v>
      </c>
      <c r="J1" s="1" t="s">
        <v>16</v>
      </c>
      <c r="K1" s="1" t="s">
        <v>17</v>
      </c>
      <c r="L1" s="1" t="s">
        <v>18</v>
      </c>
      <c r="M1" s="1" t="s">
        <v>20</v>
      </c>
      <c r="N1" s="1" t="s">
        <v>21</v>
      </c>
      <c r="O1" s="1" t="s">
        <v>22</v>
      </c>
      <c r="P1" s="1" t="s">
        <v>23</v>
      </c>
      <c r="Q1" s="1" t="s">
        <v>24</v>
      </c>
      <c r="R1" s="1" t="s">
        <v>28</v>
      </c>
      <c r="S1" s="1" t="s">
        <v>29</v>
      </c>
    </row>
    <row r="2">
      <c r="A2" s="1">
        <v>1.5794675334285E13</v>
      </c>
      <c r="B2" s="2" t="s">
        <v>2169</v>
      </c>
      <c r="C2" s="1" t="s">
        <v>2162</v>
      </c>
      <c r="D2" s="1" t="s">
        <v>34</v>
      </c>
      <c r="E2" s="1" t="b">
        <v>0</v>
      </c>
      <c r="F2" s="1" t="s">
        <v>2163</v>
      </c>
      <c r="G2" s="1" t="str">
        <f t="array" ref="G2">XLOOKUP(A:A,'CategoriasSeções'!A:A,'CategoriasSeções'!B:B)</f>
        <v>Operational</v>
      </c>
      <c r="H2" s="1" t="s">
        <v>2170</v>
      </c>
      <c r="I2" s="3">
        <v>45061.725</v>
      </c>
      <c r="J2" s="3">
        <v>45064.53611111111</v>
      </c>
      <c r="K2" s="1" t="s">
        <v>2171</v>
      </c>
      <c r="L2" s="1" t="s">
        <v>2171</v>
      </c>
      <c r="M2" s="1" t="s">
        <v>2166</v>
      </c>
      <c r="N2" s="1" t="s">
        <v>75</v>
      </c>
      <c r="O2" s="1" t="s">
        <v>69</v>
      </c>
      <c r="P2" s="1" t="s">
        <v>69</v>
      </c>
      <c r="Q2" s="3">
        <v>45064.53611111111</v>
      </c>
      <c r="R2" s="1" t="s">
        <v>55</v>
      </c>
      <c r="S2" s="1" t="s">
        <v>2172</v>
      </c>
    </row>
    <row r="3">
      <c r="A3" s="1">
        <v>1.5794645210893E13</v>
      </c>
      <c r="B3" s="2" t="s">
        <v>2174</v>
      </c>
      <c r="C3" s="1" t="s">
        <v>2162</v>
      </c>
      <c r="D3" s="1" t="s">
        <v>34</v>
      </c>
      <c r="E3" s="1" t="b">
        <v>0</v>
      </c>
      <c r="F3" s="1" t="s">
        <v>2163</v>
      </c>
      <c r="G3" s="1" t="str">
        <f t="array" ref="G3">XLOOKUP(A:A,'CategoriasSeções'!A:A,'CategoriasSeções'!B:B)</f>
        <v>Operational</v>
      </c>
      <c r="H3" s="1" t="s">
        <v>2175</v>
      </c>
      <c r="I3" s="3">
        <v>45061.72430555556</v>
      </c>
      <c r="J3" s="3">
        <v>45064.53611111111</v>
      </c>
      <c r="K3" s="1" t="s">
        <v>2176</v>
      </c>
      <c r="L3" s="1" t="s">
        <v>2176</v>
      </c>
      <c r="M3" s="1" t="s">
        <v>2166</v>
      </c>
      <c r="N3" s="1" t="s">
        <v>75</v>
      </c>
      <c r="O3" s="1" t="s">
        <v>69</v>
      </c>
      <c r="P3" s="1" t="s">
        <v>69</v>
      </c>
      <c r="Q3" s="3">
        <v>45064.53611111111</v>
      </c>
      <c r="R3" s="1" t="s">
        <v>55</v>
      </c>
      <c r="S3" s="1" t="s">
        <v>2177</v>
      </c>
    </row>
    <row r="4">
      <c r="A4" s="1">
        <v>1.5794641932557E13</v>
      </c>
      <c r="B4" s="2" t="s">
        <v>2179</v>
      </c>
      <c r="C4" s="1" t="s">
        <v>2162</v>
      </c>
      <c r="D4" s="1" t="s">
        <v>34</v>
      </c>
      <c r="E4" s="1" t="b">
        <v>0</v>
      </c>
      <c r="F4" s="1" t="s">
        <v>2163</v>
      </c>
      <c r="G4" s="1" t="str">
        <f t="array" ref="G4">XLOOKUP(A:A,'CategoriasSeções'!A:A,'CategoriasSeções'!B:B)</f>
        <v>Operational</v>
      </c>
      <c r="H4" s="1" t="s">
        <v>2180</v>
      </c>
      <c r="I4" s="3">
        <v>45061.72361111111</v>
      </c>
      <c r="J4" s="3">
        <v>45064.53611111111</v>
      </c>
      <c r="K4" s="1" t="s">
        <v>2181</v>
      </c>
      <c r="L4" s="1" t="s">
        <v>2181</v>
      </c>
      <c r="M4" s="1" t="s">
        <v>2166</v>
      </c>
      <c r="N4" s="1" t="s">
        <v>75</v>
      </c>
      <c r="O4" s="1" t="s">
        <v>69</v>
      </c>
      <c r="P4" s="1" t="s">
        <v>69</v>
      </c>
      <c r="Q4" s="3">
        <v>45064.53611111111</v>
      </c>
      <c r="R4" s="1" t="s">
        <v>55</v>
      </c>
      <c r="S4" s="1" t="s">
        <v>2182</v>
      </c>
    </row>
    <row r="5">
      <c r="A5" s="1">
        <v>1.5794606914701E13</v>
      </c>
      <c r="B5" s="2" t="s">
        <v>2184</v>
      </c>
      <c r="C5" s="1" t="s">
        <v>2162</v>
      </c>
      <c r="D5" s="1" t="s">
        <v>34</v>
      </c>
      <c r="E5" s="1" t="b">
        <v>0</v>
      </c>
      <c r="F5" s="1" t="s">
        <v>2163</v>
      </c>
      <c r="G5" s="1" t="str">
        <f t="array" ref="G5">XLOOKUP(A:A,'CategoriasSeções'!A:A,'CategoriasSeções'!B:B)</f>
        <v>Operational</v>
      </c>
      <c r="H5" s="1" t="s">
        <v>2180</v>
      </c>
      <c r="I5" s="3">
        <v>45061.72361111111</v>
      </c>
      <c r="J5" s="3">
        <v>45064.53611111111</v>
      </c>
      <c r="K5" s="1" t="s">
        <v>2185</v>
      </c>
      <c r="L5" s="1" t="s">
        <v>2185</v>
      </c>
      <c r="M5" s="1" t="s">
        <v>2166</v>
      </c>
      <c r="N5" s="1" t="s">
        <v>75</v>
      </c>
      <c r="O5" s="1" t="s">
        <v>69</v>
      </c>
      <c r="P5" s="1" t="s">
        <v>69</v>
      </c>
      <c r="Q5" s="3">
        <v>45064.53611111111</v>
      </c>
      <c r="R5" s="1" t="s">
        <v>55</v>
      </c>
      <c r="S5" s="1" t="s">
        <v>2186</v>
      </c>
    </row>
    <row r="6">
      <c r="A6" s="1">
        <v>1.5794578117517E13</v>
      </c>
      <c r="B6" s="2" t="s">
        <v>2188</v>
      </c>
      <c r="C6" s="1" t="s">
        <v>2162</v>
      </c>
      <c r="D6" s="1" t="s">
        <v>34</v>
      </c>
      <c r="E6" s="1" t="b">
        <v>0</v>
      </c>
      <c r="F6" s="1" t="s">
        <v>2163</v>
      </c>
      <c r="G6" s="1" t="str">
        <f t="array" ref="G6">XLOOKUP(A:A,'CategoriasSeções'!A:A,'CategoriasSeções'!B:B)</f>
        <v>Operational</v>
      </c>
      <c r="H6" s="1" t="s">
        <v>2189</v>
      </c>
      <c r="I6" s="3">
        <v>45061.722916666666</v>
      </c>
      <c r="J6" s="3">
        <v>45064.53611111111</v>
      </c>
      <c r="K6" s="1" t="s">
        <v>2190</v>
      </c>
      <c r="L6" s="1" t="s">
        <v>2190</v>
      </c>
      <c r="M6" s="1" t="s">
        <v>2166</v>
      </c>
      <c r="N6" s="1" t="s">
        <v>75</v>
      </c>
      <c r="O6" s="1" t="s">
        <v>69</v>
      </c>
      <c r="P6" s="1" t="s">
        <v>69</v>
      </c>
      <c r="Q6" s="3">
        <v>45064.53611111111</v>
      </c>
      <c r="R6" s="1" t="s">
        <v>55</v>
      </c>
      <c r="S6" s="1" t="s">
        <v>2191</v>
      </c>
    </row>
    <row r="7">
      <c r="A7" s="1">
        <v>1.5794575554829E13</v>
      </c>
      <c r="B7" s="2" t="s">
        <v>2193</v>
      </c>
      <c r="C7" s="1" t="s">
        <v>2162</v>
      </c>
      <c r="D7" s="1" t="s">
        <v>34</v>
      </c>
      <c r="E7" s="1" t="b">
        <v>0</v>
      </c>
      <c r="F7" s="1" t="s">
        <v>2163</v>
      </c>
      <c r="G7" s="1" t="str">
        <f t="array" ref="G7">XLOOKUP(A:A,'CategoriasSeções'!A:A,'CategoriasSeções'!B:B)</f>
        <v>Operational</v>
      </c>
      <c r="H7" s="1" t="s">
        <v>2194</v>
      </c>
      <c r="I7" s="3">
        <v>45061.722916666666</v>
      </c>
      <c r="J7" s="3">
        <v>45064.53611111111</v>
      </c>
      <c r="K7" s="1" t="s">
        <v>2195</v>
      </c>
      <c r="L7" s="1" t="s">
        <v>2195</v>
      </c>
      <c r="M7" s="1" t="s">
        <v>2166</v>
      </c>
      <c r="N7" s="1" t="s">
        <v>75</v>
      </c>
      <c r="O7" s="1" t="s">
        <v>69</v>
      </c>
      <c r="P7" s="1" t="s">
        <v>69</v>
      </c>
      <c r="Q7" s="3">
        <v>45064.53611111111</v>
      </c>
      <c r="R7" s="1" t="s">
        <v>55</v>
      </c>
      <c r="S7" s="1" t="s">
        <v>2196</v>
      </c>
    </row>
    <row r="8">
      <c r="A8" s="1">
        <v>1.5794522403597E13</v>
      </c>
      <c r="B8" s="2" t="s">
        <v>2198</v>
      </c>
      <c r="C8" s="1" t="s">
        <v>2162</v>
      </c>
      <c r="D8" s="1" t="s">
        <v>34</v>
      </c>
      <c r="E8" s="1" t="b">
        <v>0</v>
      </c>
      <c r="F8" s="1" t="s">
        <v>2163</v>
      </c>
      <c r="G8" s="1" t="str">
        <f t="array" ref="G8">XLOOKUP(A:A,'CategoriasSeções'!A:A,'CategoriasSeções'!B:B)</f>
        <v>Operational</v>
      </c>
      <c r="H8" s="1" t="s">
        <v>2199</v>
      </c>
      <c r="I8" s="3">
        <v>45061.722916666666</v>
      </c>
      <c r="J8" s="3">
        <v>45064.53611111111</v>
      </c>
      <c r="K8" s="1" t="s">
        <v>2200</v>
      </c>
      <c r="L8" s="1" t="s">
        <v>2200</v>
      </c>
      <c r="M8" s="1" t="s">
        <v>2166</v>
      </c>
      <c r="N8" s="1" t="s">
        <v>75</v>
      </c>
      <c r="O8" s="1" t="s">
        <v>69</v>
      </c>
      <c r="P8" s="1" t="s">
        <v>69</v>
      </c>
      <c r="Q8" s="3">
        <v>45064.53611111111</v>
      </c>
      <c r="R8" s="1" t="s">
        <v>55</v>
      </c>
      <c r="S8" s="1" t="s">
        <v>2201</v>
      </c>
    </row>
    <row r="9">
      <c r="A9" s="1">
        <v>1.5794519365773E13</v>
      </c>
      <c r="B9" s="2" t="s">
        <v>2203</v>
      </c>
      <c r="C9" s="1" t="s">
        <v>2162</v>
      </c>
      <c r="D9" s="1" t="s">
        <v>34</v>
      </c>
      <c r="E9" s="1" t="b">
        <v>0</v>
      </c>
      <c r="F9" s="1" t="s">
        <v>2163</v>
      </c>
      <c r="G9" s="1" t="str">
        <f t="array" ref="G9">XLOOKUP(A:A,'CategoriasSeções'!A:A,'CategoriasSeções'!B:B)</f>
        <v>Operational</v>
      </c>
      <c r="H9" s="1" t="s">
        <v>2204</v>
      </c>
      <c r="I9" s="3">
        <v>45061.72222222222</v>
      </c>
      <c r="J9" s="3">
        <v>45064.53611111111</v>
      </c>
      <c r="K9" s="1" t="s">
        <v>2205</v>
      </c>
      <c r="L9" s="1" t="s">
        <v>2205</v>
      </c>
      <c r="M9" s="1" t="s">
        <v>2166</v>
      </c>
      <c r="N9" s="1" t="s">
        <v>75</v>
      </c>
      <c r="O9" s="1" t="s">
        <v>69</v>
      </c>
      <c r="P9" s="1" t="s">
        <v>69</v>
      </c>
      <c r="Q9" s="3">
        <v>45064.53611111111</v>
      </c>
      <c r="R9" s="1" t="s">
        <v>55</v>
      </c>
      <c r="S9" s="1" t="s">
        <v>2206</v>
      </c>
    </row>
    <row r="10">
      <c r="A10" s="1">
        <v>1.5794541644685E13</v>
      </c>
      <c r="B10" s="2" t="s">
        <v>2208</v>
      </c>
      <c r="C10" s="1" t="s">
        <v>2162</v>
      </c>
      <c r="D10" s="1" t="s">
        <v>34</v>
      </c>
      <c r="E10" s="1" t="b">
        <v>0</v>
      </c>
      <c r="F10" s="1" t="s">
        <v>2163</v>
      </c>
      <c r="G10" s="1" t="str">
        <f t="array" ref="G10">XLOOKUP(A:A,'CategoriasSeções'!A:A,'CategoriasSeções'!B:B)</f>
        <v>Operational</v>
      </c>
      <c r="H10" s="1" t="s">
        <v>2209</v>
      </c>
      <c r="I10" s="3">
        <v>45061.72222222222</v>
      </c>
      <c r="J10" s="3">
        <v>45064.53611111111</v>
      </c>
      <c r="K10" s="1" t="s">
        <v>2210</v>
      </c>
      <c r="L10" s="1" t="s">
        <v>2210</v>
      </c>
      <c r="M10" s="1" t="s">
        <v>2166</v>
      </c>
      <c r="N10" s="1" t="s">
        <v>75</v>
      </c>
      <c r="O10" s="1" t="s">
        <v>69</v>
      </c>
      <c r="P10" s="1" t="s">
        <v>69</v>
      </c>
      <c r="Q10" s="3">
        <v>45064.53611111111</v>
      </c>
      <c r="R10" s="1" t="s">
        <v>55</v>
      </c>
      <c r="S10" s="1" t="s">
        <v>2211</v>
      </c>
    </row>
    <row r="11">
      <c r="A11" s="1">
        <v>1.5794232790157E13</v>
      </c>
      <c r="B11" s="2" t="s">
        <v>2213</v>
      </c>
      <c r="C11" s="1" t="s">
        <v>2162</v>
      </c>
      <c r="D11" s="1" t="s">
        <v>34</v>
      </c>
      <c r="E11" s="1" t="b">
        <v>0</v>
      </c>
      <c r="F11" s="1" t="s">
        <v>2163</v>
      </c>
      <c r="G11" s="1" t="str">
        <f t="array" ref="G11">XLOOKUP(A:A,'CategoriasSeções'!A:A,'CategoriasSeções'!B:B)</f>
        <v>Operational</v>
      </c>
      <c r="H11" s="1" t="s">
        <v>2214</v>
      </c>
      <c r="I11" s="3">
        <v>45061.71666666667</v>
      </c>
      <c r="J11" s="3">
        <v>45064.53611111111</v>
      </c>
      <c r="K11" s="1" t="s">
        <v>2215</v>
      </c>
      <c r="L11" s="1" t="s">
        <v>2215</v>
      </c>
      <c r="M11" s="1" t="s">
        <v>2166</v>
      </c>
      <c r="N11" s="1" t="s">
        <v>75</v>
      </c>
      <c r="O11" s="1" t="s">
        <v>69</v>
      </c>
      <c r="P11" s="1" t="s">
        <v>69</v>
      </c>
      <c r="Q11" s="3">
        <v>45064.53611111111</v>
      </c>
      <c r="R11" s="1" t="s">
        <v>55</v>
      </c>
      <c r="S11" s="1" t="s">
        <v>2216</v>
      </c>
    </row>
    <row r="12">
      <c r="A12" s="1">
        <v>1.5794193866381E13</v>
      </c>
      <c r="B12" s="2" t="s">
        <v>2218</v>
      </c>
      <c r="C12" s="1" t="s">
        <v>2162</v>
      </c>
      <c r="D12" s="1" t="s">
        <v>34</v>
      </c>
      <c r="E12" s="1" t="b">
        <v>0</v>
      </c>
      <c r="F12" s="1" t="s">
        <v>2163</v>
      </c>
      <c r="G12" s="1" t="str">
        <f t="array" ref="G12">XLOOKUP(A:A,'CategoriasSeções'!A:A,'CategoriasSeções'!B:B)</f>
        <v>Commercial</v>
      </c>
      <c r="H12" s="1" t="s">
        <v>2219</v>
      </c>
      <c r="I12" s="3">
        <v>45061.71597222222</v>
      </c>
      <c r="J12" s="3">
        <v>45064.53611111111</v>
      </c>
      <c r="K12" s="1" t="s">
        <v>2220</v>
      </c>
      <c r="L12" s="1" t="s">
        <v>2220</v>
      </c>
      <c r="M12" s="1" t="s">
        <v>2166</v>
      </c>
      <c r="N12" s="1" t="s">
        <v>75</v>
      </c>
      <c r="O12" s="1" t="s">
        <v>69</v>
      </c>
      <c r="P12" s="1" t="s">
        <v>69</v>
      </c>
      <c r="Q12" s="3">
        <v>45064.53611111111</v>
      </c>
      <c r="R12" s="1" t="s">
        <v>55</v>
      </c>
      <c r="S12" s="1" t="s">
        <v>2221</v>
      </c>
    </row>
    <row r="13">
      <c r="A13" s="1">
        <v>1.5794190489741E13</v>
      </c>
      <c r="B13" s="2" t="s">
        <v>2223</v>
      </c>
      <c r="C13" s="1" t="s">
        <v>2162</v>
      </c>
      <c r="D13" s="1" t="s">
        <v>34</v>
      </c>
      <c r="E13" s="1" t="b">
        <v>1</v>
      </c>
      <c r="F13" s="1" t="s">
        <v>2163</v>
      </c>
      <c r="G13" s="1" t="str">
        <f t="array" ref="G13">XLOOKUP(A:A,'CategoriasSeções'!A:A,'CategoriasSeções'!B:B)</f>
        <v>Commercial</v>
      </c>
      <c r="H13" s="1" t="s">
        <v>2224</v>
      </c>
      <c r="I13" s="3">
        <v>45061.71527777778</v>
      </c>
      <c r="J13" s="3">
        <v>45077.58888888889</v>
      </c>
      <c r="K13" s="1" t="s">
        <v>2225</v>
      </c>
      <c r="L13" s="1" t="s">
        <v>2225</v>
      </c>
      <c r="M13" s="1" t="s">
        <v>2166</v>
      </c>
      <c r="N13" s="1" t="s">
        <v>75</v>
      </c>
      <c r="O13" s="1" t="s">
        <v>69</v>
      </c>
      <c r="P13" s="1" t="s">
        <v>69</v>
      </c>
      <c r="Q13" s="3">
        <v>45064.53611111111</v>
      </c>
      <c r="R13" s="1" t="s">
        <v>55</v>
      </c>
      <c r="S13" s="1" t="s">
        <v>2226</v>
      </c>
    </row>
  </sheetData>
  <conditionalFormatting sqref="D2:D13">
    <cfRule type="containsText" dxfId="0" priority="1" operator="containsText" text="Publicado">
      <formula>NOT(ISERROR(SEARCH(("Publicado"),(D2))))</formula>
    </cfRule>
  </conditionalFormatting>
  <conditionalFormatting sqref="D2:D13">
    <cfRule type="containsText" dxfId="1" priority="2" operator="containsText" text="Rascunho">
      <formula>NOT(ISERROR(SEARCH(("Rascunho"),(D2))))</formula>
    </cfRule>
  </conditionalFormatting>
  <hyperlinks>
    <hyperlink r:id="rId4" ref="B2"/>
    <hyperlink r:id="rId5" ref="B3"/>
    <hyperlink r:id="rId6" ref="B4"/>
    <hyperlink r:id="rId7" ref="B5"/>
    <hyperlink r:id="rId8" ref="B6"/>
    <hyperlink r:id="rId9" ref="B7"/>
    <hyperlink r:id="rId10" ref="B8"/>
    <hyperlink r:id="rId11" ref="B9"/>
    <hyperlink r:id="rId12" ref="B10"/>
    <hyperlink r:id="rId13" ref="B11"/>
    <hyperlink r:id="rId14" ref="B12"/>
    <hyperlink r:id="rId15" ref="B13"/>
  </hyperlinks>
  <drawing r:id="rId16"/>
  <legacy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5" max="5" width="12.63"/>
    <col customWidth="1" min="19" max="19" width="361.13"/>
  </cols>
  <sheetData>
    <row r="1">
      <c r="A1" s="1" t="s">
        <v>0</v>
      </c>
      <c r="B1" s="1" t="s">
        <v>2</v>
      </c>
      <c r="C1" s="1" t="s">
        <v>4</v>
      </c>
      <c r="D1" s="1" t="s">
        <v>6</v>
      </c>
      <c r="E1" s="1" t="s">
        <v>7</v>
      </c>
      <c r="F1" s="1" t="s">
        <v>12</v>
      </c>
      <c r="G1" s="1" t="s">
        <v>13</v>
      </c>
      <c r="H1" s="1" t="s">
        <v>14</v>
      </c>
      <c r="I1" s="1" t="s">
        <v>15</v>
      </c>
      <c r="J1" s="1" t="s">
        <v>16</v>
      </c>
      <c r="K1" s="1" t="s">
        <v>17</v>
      </c>
      <c r="L1" s="1" t="s">
        <v>18</v>
      </c>
      <c r="M1" s="1" t="s">
        <v>20</v>
      </c>
      <c r="N1" s="1" t="s">
        <v>21</v>
      </c>
      <c r="O1" s="1" t="s">
        <v>22</v>
      </c>
      <c r="P1" s="1" t="s">
        <v>23</v>
      </c>
      <c r="Q1" s="1" t="s">
        <v>24</v>
      </c>
      <c r="R1" s="1" t="s">
        <v>28</v>
      </c>
      <c r="S1" s="1" t="s">
        <v>29</v>
      </c>
    </row>
    <row r="2" ht="69.75" customHeight="1">
      <c r="A2" s="1">
        <v>3.1974530052237E13</v>
      </c>
      <c r="B2" s="2" t="s">
        <v>2228</v>
      </c>
      <c r="C2" s="1" t="s">
        <v>2229</v>
      </c>
      <c r="D2" s="1" t="s">
        <v>34</v>
      </c>
      <c r="E2" s="1" t="b">
        <v>0</v>
      </c>
      <c r="F2" s="1" t="s">
        <v>2230</v>
      </c>
      <c r="G2" s="1" t="str">
        <f t="array" ref="G2">XLOOKUP(A:A,'CategoriasSeções'!A:A,'CategoriasSeções'!B:B)</f>
        <v>Aduaneiro</v>
      </c>
      <c r="H2" s="1" t="s">
        <v>2231</v>
      </c>
      <c r="I2" s="12">
        <v>45614.717361111114</v>
      </c>
      <c r="J2" s="3">
        <v>45740.55416666667</v>
      </c>
      <c r="K2" s="1" t="s">
        <v>2232</v>
      </c>
      <c r="L2" s="1" t="s">
        <v>2232</v>
      </c>
      <c r="M2" s="1" t="s">
        <v>38</v>
      </c>
      <c r="N2" s="1" t="s">
        <v>75</v>
      </c>
      <c r="O2" s="1" t="s">
        <v>69</v>
      </c>
      <c r="P2" s="1" t="s">
        <v>69</v>
      </c>
      <c r="Q2" s="12">
        <v>45614.77013888889</v>
      </c>
      <c r="R2" s="1" t="s">
        <v>55</v>
      </c>
      <c r="S2" s="1" t="s">
        <v>2233</v>
      </c>
    </row>
    <row r="3" ht="69.75" customHeight="1">
      <c r="A3" s="1">
        <v>2.1546550050701E13</v>
      </c>
      <c r="B3" s="2" t="s">
        <v>2235</v>
      </c>
      <c r="C3" s="1" t="s">
        <v>2229</v>
      </c>
      <c r="D3" s="1" t="s">
        <v>34</v>
      </c>
      <c r="E3" s="1" t="b">
        <v>0</v>
      </c>
      <c r="F3" s="1" t="s">
        <v>2230</v>
      </c>
      <c r="G3" s="1" t="str">
        <f t="array" ref="G3">XLOOKUP(A:A,'CategoriasSeções'!A:A,'CategoriasSeções'!B:B)</f>
        <v>Armazém Alfandegado</v>
      </c>
      <c r="H3" s="1" t="s">
        <v>2236</v>
      </c>
      <c r="I3" s="12">
        <v>45251.73402777778</v>
      </c>
      <c r="J3" s="12">
        <v>45614.78958333333</v>
      </c>
      <c r="K3" s="1" t="s">
        <v>2237</v>
      </c>
      <c r="L3" s="1" t="s">
        <v>2237</v>
      </c>
      <c r="M3" s="1" t="s">
        <v>38</v>
      </c>
      <c r="N3" s="1" t="s">
        <v>75</v>
      </c>
      <c r="O3" s="1" t="s">
        <v>69</v>
      </c>
      <c r="P3" s="1" t="s">
        <v>69</v>
      </c>
      <c r="Q3" s="12">
        <v>45614.78958333333</v>
      </c>
      <c r="R3" s="1" t="s">
        <v>55</v>
      </c>
      <c r="S3" s="1" t="s">
        <v>2238</v>
      </c>
    </row>
    <row r="4" ht="69.75" customHeight="1">
      <c r="A4" s="1">
        <v>2.1546200101389E13</v>
      </c>
      <c r="B4" s="2" t="s">
        <v>2240</v>
      </c>
      <c r="C4" s="1" t="s">
        <v>2229</v>
      </c>
      <c r="D4" s="1" t="s">
        <v>34</v>
      </c>
      <c r="E4" s="1" t="b">
        <v>0</v>
      </c>
      <c r="F4" s="1" t="s">
        <v>2230</v>
      </c>
      <c r="G4" s="1" t="str">
        <f t="array" ref="G4">XLOOKUP(A:A,'CategoriasSeções'!A:A,'CategoriasSeções'!B:B)</f>
        <v>Armazém Alfandegado</v>
      </c>
      <c r="H4" s="1" t="s">
        <v>2236</v>
      </c>
      <c r="I4" s="12">
        <v>45251.728472222225</v>
      </c>
      <c r="J4" s="3">
        <v>45315.538194444445</v>
      </c>
      <c r="K4" s="1" t="s">
        <v>2241</v>
      </c>
      <c r="L4" s="1" t="s">
        <v>2241</v>
      </c>
      <c r="M4" s="1" t="s">
        <v>38</v>
      </c>
      <c r="N4" s="1" t="s">
        <v>75</v>
      </c>
      <c r="O4" s="1" t="s">
        <v>69</v>
      </c>
      <c r="P4" s="1" t="s">
        <v>69</v>
      </c>
      <c r="Q4" s="3">
        <v>45315.538194444445</v>
      </c>
      <c r="R4" s="1" t="s">
        <v>55</v>
      </c>
      <c r="S4" s="1" t="s">
        <v>2242</v>
      </c>
    </row>
    <row r="5" ht="69.75" customHeight="1">
      <c r="A5" s="1">
        <v>2.1535317991181E13</v>
      </c>
      <c r="B5" s="2" t="s">
        <v>2244</v>
      </c>
      <c r="C5" s="1" t="s">
        <v>2229</v>
      </c>
      <c r="D5" s="1" t="s">
        <v>34</v>
      </c>
      <c r="E5" s="1" t="b">
        <v>0</v>
      </c>
      <c r="F5" s="1" t="s">
        <v>2230</v>
      </c>
      <c r="G5" s="1" t="str">
        <f t="array" ref="G5">XLOOKUP(A:A,'CategoriasSeções'!A:A,'CategoriasSeções'!B:B)</f>
        <v>Atendimento</v>
      </c>
      <c r="H5" s="1" t="s">
        <v>2245</v>
      </c>
      <c r="I5" s="12">
        <v>45251.54236111111</v>
      </c>
      <c r="J5" s="12">
        <v>45251.54236111111</v>
      </c>
      <c r="K5" s="1" t="s">
        <v>2246</v>
      </c>
      <c r="L5" s="1" t="s">
        <v>2246</v>
      </c>
      <c r="M5" s="1" t="s">
        <v>38</v>
      </c>
      <c r="N5" s="1" t="s">
        <v>75</v>
      </c>
      <c r="O5" s="1" t="s">
        <v>69</v>
      </c>
      <c r="P5" s="1" t="s">
        <v>69</v>
      </c>
      <c r="Q5" s="12">
        <v>45251.54236111111</v>
      </c>
      <c r="R5" s="1" t="s">
        <v>55</v>
      </c>
      <c r="S5" s="1" t="s">
        <v>2247</v>
      </c>
    </row>
    <row r="6" ht="69.75" customHeight="1">
      <c r="A6" s="1">
        <v>2.1437444874509E13</v>
      </c>
      <c r="B6" s="2" t="s">
        <v>2249</v>
      </c>
      <c r="C6" s="1" t="s">
        <v>2229</v>
      </c>
      <c r="D6" s="1" t="s">
        <v>34</v>
      </c>
      <c r="E6" s="1" t="b">
        <v>0</v>
      </c>
      <c r="F6" s="1" t="s">
        <v>2230</v>
      </c>
      <c r="G6" s="1" t="str">
        <f t="array" ref="G6">XLOOKUP(A:A,'CategoriasSeções'!A:A,'CategoriasSeções'!B:B)</f>
        <v>Aduaneiro</v>
      </c>
      <c r="H6" s="1" t="s">
        <v>2250</v>
      </c>
      <c r="I6" s="12">
        <v>45247.78958333333</v>
      </c>
      <c r="J6" s="3">
        <v>45315.538194444445</v>
      </c>
      <c r="K6" s="1" t="s">
        <v>2251</v>
      </c>
      <c r="L6" s="1" t="s">
        <v>2251</v>
      </c>
      <c r="M6" s="1" t="s">
        <v>38</v>
      </c>
      <c r="N6" s="1" t="s">
        <v>75</v>
      </c>
      <c r="O6" s="1" t="s">
        <v>69</v>
      </c>
      <c r="P6" s="1" t="s">
        <v>69</v>
      </c>
      <c r="Q6" s="12">
        <v>45251.76666666667</v>
      </c>
      <c r="R6" s="1" t="s">
        <v>55</v>
      </c>
      <c r="S6" s="1" t="s">
        <v>2252</v>
      </c>
    </row>
    <row r="7" ht="69.75" customHeight="1">
      <c r="A7" s="1">
        <v>2.1388893615245E13</v>
      </c>
      <c r="B7" s="2" t="s">
        <v>2254</v>
      </c>
      <c r="C7" s="1" t="s">
        <v>2229</v>
      </c>
      <c r="D7" s="1" t="s">
        <v>34</v>
      </c>
      <c r="E7" s="1" t="b">
        <v>0</v>
      </c>
      <c r="F7" s="1" t="s">
        <v>2230</v>
      </c>
      <c r="G7" s="1" t="str">
        <f t="array" ref="G7">XLOOKUP(A:A,'CategoriasSeções'!A:A,'CategoriasSeções'!B:B)</f>
        <v>Aduaneiro</v>
      </c>
      <c r="H7" s="1" t="s">
        <v>2231</v>
      </c>
      <c r="I7" s="12">
        <v>45246.53888888889</v>
      </c>
      <c r="J7" s="3">
        <v>45740.552083333336</v>
      </c>
      <c r="K7" s="1" t="s">
        <v>2255</v>
      </c>
      <c r="L7" s="1" t="s">
        <v>2255</v>
      </c>
      <c r="M7" s="1" t="s">
        <v>38</v>
      </c>
      <c r="N7" s="1" t="s">
        <v>75</v>
      </c>
      <c r="O7" s="1" t="s">
        <v>69</v>
      </c>
      <c r="P7" s="1" t="s">
        <v>69</v>
      </c>
      <c r="Q7" s="3">
        <v>45740.552083333336</v>
      </c>
      <c r="R7" s="1" t="s">
        <v>55</v>
      </c>
      <c r="S7" s="1" t="s">
        <v>2256</v>
      </c>
    </row>
    <row r="8" ht="69.75" customHeight="1">
      <c r="A8" s="1">
        <v>2.1335802337165E13</v>
      </c>
      <c r="B8" s="2" t="s">
        <v>2258</v>
      </c>
      <c r="C8" s="1" t="s">
        <v>2229</v>
      </c>
      <c r="D8" s="1" t="s">
        <v>34</v>
      </c>
      <c r="E8" s="1" t="b">
        <v>0</v>
      </c>
      <c r="F8" s="1" t="s">
        <v>2230</v>
      </c>
      <c r="G8" s="1" t="str">
        <f t="array" ref="G8">XLOOKUP(A:A,'CategoriasSeções'!A:A,'CategoriasSeções'!B:B)</f>
        <v>Boas Vindas</v>
      </c>
      <c r="H8" s="1" t="s">
        <v>2259</v>
      </c>
      <c r="I8" s="12">
        <v>45244.853472222225</v>
      </c>
      <c r="J8" s="12">
        <v>45614.76111111111</v>
      </c>
      <c r="K8" s="1" t="s">
        <v>2260</v>
      </c>
      <c r="L8" s="1" t="s">
        <v>2260</v>
      </c>
      <c r="M8" s="1" t="s">
        <v>38</v>
      </c>
      <c r="N8" s="1" t="s">
        <v>75</v>
      </c>
      <c r="O8" s="1" t="s">
        <v>69</v>
      </c>
      <c r="P8" s="1" t="s">
        <v>69</v>
      </c>
      <c r="Q8" s="12">
        <v>45614.75902777778</v>
      </c>
      <c r="R8" s="1" t="s">
        <v>55</v>
      </c>
      <c r="S8" s="1" t="s">
        <v>2261</v>
      </c>
    </row>
    <row r="9" ht="69.75" customHeight="1">
      <c r="A9" s="1">
        <v>2.1321243806605E13</v>
      </c>
      <c r="B9" s="2" t="s">
        <v>2263</v>
      </c>
      <c r="C9" s="1" t="s">
        <v>2229</v>
      </c>
      <c r="D9" s="1" t="s">
        <v>34</v>
      </c>
      <c r="E9" s="1" t="b">
        <v>0</v>
      </c>
      <c r="F9" s="1" t="s">
        <v>2230</v>
      </c>
      <c r="G9" s="1" t="str">
        <f t="array" ref="G9">XLOOKUP(A:A,'CategoriasSeções'!A:A,'CategoriasSeções'!B:B)</f>
        <v>Financeiro</v>
      </c>
      <c r="H9" s="1" t="s">
        <v>2264</v>
      </c>
      <c r="I9" s="12">
        <v>45244.60625</v>
      </c>
      <c r="J9" s="12">
        <v>45244.60902777778</v>
      </c>
      <c r="K9" s="1" t="s">
        <v>2265</v>
      </c>
      <c r="L9" s="1" t="s">
        <v>2265</v>
      </c>
      <c r="M9" s="1" t="s">
        <v>38</v>
      </c>
      <c r="N9" s="1" t="s">
        <v>75</v>
      </c>
      <c r="O9" s="1" t="s">
        <v>69</v>
      </c>
      <c r="P9" s="1" t="s">
        <v>69</v>
      </c>
      <c r="Q9" s="12">
        <v>45244.60902777778</v>
      </c>
      <c r="R9" s="1" t="s">
        <v>55</v>
      </c>
      <c r="S9" s="1" t="s">
        <v>2266</v>
      </c>
    </row>
    <row r="10" ht="69.75" customHeight="1">
      <c r="A10" s="1">
        <v>2.1321143473549E13</v>
      </c>
      <c r="B10" s="2" t="s">
        <v>2268</v>
      </c>
      <c r="C10" s="1" t="s">
        <v>2229</v>
      </c>
      <c r="D10" s="1" t="s">
        <v>34</v>
      </c>
      <c r="E10" s="1" t="b">
        <v>0</v>
      </c>
      <c r="F10" s="1" t="s">
        <v>2230</v>
      </c>
      <c r="G10" s="1" t="str">
        <f t="array" ref="G10">XLOOKUP(A:A,'CategoriasSeções'!A:A,'CategoriasSeções'!B:B)</f>
        <v>Financeiro</v>
      </c>
      <c r="H10" s="1" t="s">
        <v>2264</v>
      </c>
      <c r="I10" s="12">
        <v>45244.604166666664</v>
      </c>
      <c r="J10" s="12">
        <v>45244.604166666664</v>
      </c>
      <c r="K10" s="1" t="s">
        <v>2269</v>
      </c>
      <c r="L10" s="1" t="s">
        <v>2269</v>
      </c>
      <c r="M10" s="1" t="s">
        <v>38</v>
      </c>
      <c r="N10" s="1" t="s">
        <v>75</v>
      </c>
      <c r="O10" s="1" t="s">
        <v>69</v>
      </c>
      <c r="P10" s="1" t="s">
        <v>69</v>
      </c>
      <c r="Q10" s="12">
        <v>45244.604166666664</v>
      </c>
      <c r="R10" s="1" t="s">
        <v>55</v>
      </c>
      <c r="S10" s="1" t="s">
        <v>2270</v>
      </c>
    </row>
    <row r="11" ht="69.75" customHeight="1">
      <c r="A11" s="1">
        <v>2.1320366235149E13</v>
      </c>
      <c r="B11" s="2" t="s">
        <v>2272</v>
      </c>
      <c r="C11" s="1" t="s">
        <v>2229</v>
      </c>
      <c r="D11" s="1" t="s">
        <v>34</v>
      </c>
      <c r="E11" s="1" t="b">
        <v>0</v>
      </c>
      <c r="F11" s="1" t="s">
        <v>2230</v>
      </c>
      <c r="G11" s="1" t="str">
        <f t="array" ref="G11">XLOOKUP(A:A,'CategoriasSeções'!A:A,'CategoriasSeções'!B:B)</f>
        <v>Financeiro</v>
      </c>
      <c r="H11" s="1" t="s">
        <v>96</v>
      </c>
      <c r="I11" s="12">
        <v>45244.59097222222</v>
      </c>
      <c r="J11" s="12">
        <v>45244.59375</v>
      </c>
      <c r="K11" s="1" t="s">
        <v>2273</v>
      </c>
      <c r="L11" s="1" t="s">
        <v>2273</v>
      </c>
      <c r="M11" s="1" t="s">
        <v>38</v>
      </c>
      <c r="N11" s="1" t="s">
        <v>75</v>
      </c>
      <c r="O11" s="1" t="s">
        <v>69</v>
      </c>
      <c r="P11" s="1" t="s">
        <v>69</v>
      </c>
      <c r="Q11" s="12">
        <v>45244.59375</v>
      </c>
      <c r="R11" s="1" t="s">
        <v>55</v>
      </c>
      <c r="S11" s="1" t="s">
        <v>2274</v>
      </c>
    </row>
    <row r="12" ht="69.75" customHeight="1">
      <c r="A12" s="1">
        <v>2.1194573757837E13</v>
      </c>
      <c r="B12" s="2" t="s">
        <v>2276</v>
      </c>
      <c r="C12" s="1" t="s">
        <v>2229</v>
      </c>
      <c r="D12" s="1" t="s">
        <v>34</v>
      </c>
      <c r="E12" s="1" t="b">
        <v>0</v>
      </c>
      <c r="F12" s="1" t="s">
        <v>2230</v>
      </c>
      <c r="G12" s="1" t="str">
        <f t="array" ref="G12">XLOOKUP(A:A,'CategoriasSeções'!A:A,'CategoriasSeções'!B:B)</f>
        <v>Boas Vindas</v>
      </c>
      <c r="H12" s="1" t="s">
        <v>2277</v>
      </c>
      <c r="I12" s="3">
        <v>45239.854166666664</v>
      </c>
      <c r="J12" s="12">
        <v>45614.782638888886</v>
      </c>
      <c r="K12" s="1" t="s">
        <v>2278</v>
      </c>
      <c r="L12" s="1" t="s">
        <v>2278</v>
      </c>
      <c r="M12" s="1" t="s">
        <v>38</v>
      </c>
      <c r="N12" s="1" t="s">
        <v>75</v>
      </c>
      <c r="O12" s="1" t="s">
        <v>69</v>
      </c>
      <c r="P12" s="1" t="s">
        <v>69</v>
      </c>
      <c r="Q12" s="3">
        <v>45239.85902777778</v>
      </c>
      <c r="R12" s="1" t="s">
        <v>55</v>
      </c>
      <c r="S12" s="1" t="s">
        <v>2279</v>
      </c>
    </row>
    <row r="13" ht="69.75" customHeight="1">
      <c r="A13" s="1">
        <v>2.1193197828493E13</v>
      </c>
      <c r="B13" s="2" t="s">
        <v>2281</v>
      </c>
      <c r="C13" s="1" t="s">
        <v>2229</v>
      </c>
      <c r="D13" s="1" t="s">
        <v>34</v>
      </c>
      <c r="E13" s="1" t="b">
        <v>0</v>
      </c>
      <c r="F13" s="1" t="s">
        <v>2230</v>
      </c>
      <c r="G13" s="1" t="str">
        <f t="array" ref="G13">XLOOKUP(A:A,'CategoriasSeções'!A:A,'CategoriasSeções'!B:B)</f>
        <v>Qualidade</v>
      </c>
      <c r="H13" s="1" t="s">
        <v>2282</v>
      </c>
      <c r="I13" s="3">
        <v>45239.83125</v>
      </c>
      <c r="J13" s="3">
        <v>45239.839583333334</v>
      </c>
      <c r="K13" s="1" t="s">
        <v>2283</v>
      </c>
      <c r="L13" s="1" t="s">
        <v>2283</v>
      </c>
      <c r="M13" s="1" t="s">
        <v>38</v>
      </c>
      <c r="N13" s="1" t="s">
        <v>75</v>
      </c>
      <c r="O13" s="1" t="s">
        <v>69</v>
      </c>
      <c r="P13" s="1" t="s">
        <v>69</v>
      </c>
      <c r="Q13" s="3">
        <v>45239.839583333334</v>
      </c>
      <c r="R13" s="1" t="s">
        <v>55</v>
      </c>
      <c r="S13" s="1" t="s">
        <v>2284</v>
      </c>
    </row>
    <row r="14" ht="69.75" customHeight="1">
      <c r="A14" s="1">
        <v>2.1191337151245E13</v>
      </c>
      <c r="B14" s="2" t="s">
        <v>2286</v>
      </c>
      <c r="C14" s="1" t="s">
        <v>2229</v>
      </c>
      <c r="D14" s="1" t="s">
        <v>34</v>
      </c>
      <c r="E14" s="1" t="b">
        <v>0</v>
      </c>
      <c r="F14" s="1" t="s">
        <v>2230</v>
      </c>
      <c r="G14" s="1" t="str">
        <f t="array" ref="G14">XLOOKUP(A:A,'CategoriasSeções'!A:A,'CategoriasSeções'!B:B)</f>
        <v>Qualidade</v>
      </c>
      <c r="H14" s="1" t="s">
        <v>2282</v>
      </c>
      <c r="I14" s="3">
        <v>45239.79861111111</v>
      </c>
      <c r="J14" s="3">
        <v>45239.80486111111</v>
      </c>
      <c r="K14" s="1" t="s">
        <v>2287</v>
      </c>
      <c r="L14" s="1" t="s">
        <v>2287</v>
      </c>
      <c r="M14" s="1" t="s">
        <v>38</v>
      </c>
      <c r="N14" s="1" t="s">
        <v>75</v>
      </c>
      <c r="O14" s="1" t="s">
        <v>69</v>
      </c>
      <c r="P14" s="1" t="s">
        <v>69</v>
      </c>
      <c r="Q14" s="3">
        <v>45239.79861111111</v>
      </c>
      <c r="R14" s="1" t="s">
        <v>55</v>
      </c>
      <c r="S14" s="1" t="s">
        <v>2288</v>
      </c>
    </row>
    <row r="15" ht="69.75" customHeight="1">
      <c r="A15" s="1">
        <v>2.1191019931405E13</v>
      </c>
      <c r="B15" s="2" t="s">
        <v>2290</v>
      </c>
      <c r="C15" s="1" t="s">
        <v>2229</v>
      </c>
      <c r="D15" s="1" t="s">
        <v>34</v>
      </c>
      <c r="E15" s="1" t="b">
        <v>0</v>
      </c>
      <c r="F15" s="1" t="s">
        <v>2230</v>
      </c>
      <c r="G15" s="1" t="str">
        <f t="array" ref="G15">XLOOKUP(A:A,'CategoriasSeções'!A:A,'CategoriasSeções'!B:B)</f>
        <v>Qualidade</v>
      </c>
      <c r="H15" s="1" t="s">
        <v>2282</v>
      </c>
      <c r="I15" s="3">
        <v>45239.794444444444</v>
      </c>
      <c r="J15" s="3">
        <v>45239.836805555555</v>
      </c>
      <c r="K15" s="1" t="s">
        <v>2291</v>
      </c>
      <c r="L15" s="1" t="s">
        <v>2291</v>
      </c>
      <c r="M15" s="1" t="s">
        <v>38</v>
      </c>
      <c r="N15" s="1" t="s">
        <v>75</v>
      </c>
      <c r="O15" s="1" t="s">
        <v>69</v>
      </c>
      <c r="P15" s="1" t="s">
        <v>69</v>
      </c>
      <c r="Q15" s="3">
        <v>45239.836805555555</v>
      </c>
      <c r="R15" s="1" t="s">
        <v>55</v>
      </c>
      <c r="S15" s="1" t="s">
        <v>2292</v>
      </c>
    </row>
    <row r="16" ht="69.75" customHeight="1">
      <c r="A16" s="1">
        <v>1.7576958544269E13</v>
      </c>
      <c r="B16" s="2" t="s">
        <v>2294</v>
      </c>
      <c r="C16" s="1" t="s">
        <v>2162</v>
      </c>
      <c r="D16" s="1" t="s">
        <v>34</v>
      </c>
      <c r="E16" s="1" t="b">
        <v>0</v>
      </c>
      <c r="F16" s="1" t="s">
        <v>2230</v>
      </c>
      <c r="G16" s="1" t="str">
        <f t="array" ref="G16">XLOOKUP(A:A,'CategoriasSeções'!A:A,'CategoriasSeções'!B:B)</f>
        <v>Armazém Alfandegado</v>
      </c>
      <c r="H16" s="1" t="s">
        <v>2236</v>
      </c>
      <c r="I16" s="3">
        <v>45120.61388888889</v>
      </c>
      <c r="J16" s="12">
        <v>45251.725694444445</v>
      </c>
      <c r="K16" s="1" t="s">
        <v>2295</v>
      </c>
      <c r="L16" s="1" t="s">
        <v>2295</v>
      </c>
      <c r="M16" s="1" t="s">
        <v>38</v>
      </c>
      <c r="N16" s="1" t="s">
        <v>75</v>
      </c>
      <c r="O16" s="1" t="s">
        <v>69</v>
      </c>
      <c r="P16" s="1" t="s">
        <v>69</v>
      </c>
      <c r="Q16" s="12">
        <v>45246.55</v>
      </c>
      <c r="R16" s="1" t="s">
        <v>55</v>
      </c>
      <c r="S16" s="1" t="s">
        <v>2296</v>
      </c>
    </row>
    <row r="17" ht="69.75" customHeight="1">
      <c r="A17" s="1">
        <v>1.7576949803149E13</v>
      </c>
      <c r="B17" s="2" t="s">
        <v>2298</v>
      </c>
      <c r="C17" s="1" t="s">
        <v>2162</v>
      </c>
      <c r="D17" s="1" t="s">
        <v>34</v>
      </c>
      <c r="E17" s="1" t="b">
        <v>0</v>
      </c>
      <c r="F17" s="1" t="s">
        <v>2230</v>
      </c>
      <c r="G17" s="1" t="str">
        <f t="array" ref="G17">XLOOKUP(A:A,'CategoriasSeções'!A:A,'CategoriasSeções'!B:B)</f>
        <v>Aduaneiro</v>
      </c>
      <c r="H17" s="1" t="s">
        <v>2231</v>
      </c>
      <c r="I17" s="3">
        <v>45120.61388888889</v>
      </c>
      <c r="J17" s="3">
        <v>45740.552083333336</v>
      </c>
      <c r="K17" s="1" t="s">
        <v>2299</v>
      </c>
      <c r="L17" s="1" t="s">
        <v>2299</v>
      </c>
      <c r="M17" s="1" t="s">
        <v>38</v>
      </c>
      <c r="N17" s="1" t="s">
        <v>75</v>
      </c>
      <c r="O17" s="1" t="s">
        <v>69</v>
      </c>
      <c r="P17" s="1" t="s">
        <v>69</v>
      </c>
      <c r="Q17" s="3">
        <v>45740.552083333336</v>
      </c>
      <c r="R17" s="1" t="s">
        <v>55</v>
      </c>
      <c r="S17" s="1" t="s">
        <v>2300</v>
      </c>
    </row>
    <row r="18" ht="69.75" customHeight="1">
      <c r="A18" s="1">
        <v>1.7576960767501E13</v>
      </c>
      <c r="B18" s="2" t="s">
        <v>2302</v>
      </c>
      <c r="C18" s="1" t="s">
        <v>2162</v>
      </c>
      <c r="D18" s="1" t="s">
        <v>34</v>
      </c>
      <c r="E18" s="1" t="b">
        <v>0</v>
      </c>
      <c r="F18" s="1" t="s">
        <v>2230</v>
      </c>
      <c r="G18" s="1" t="str">
        <f t="array" ref="G18">XLOOKUP(A:A,'CategoriasSeções'!A:A,'CategoriasSeções'!B:B)</f>
        <v>Aduaneiro</v>
      </c>
      <c r="H18" s="1" t="s">
        <v>2231</v>
      </c>
      <c r="I18" s="3">
        <v>45120.61319444444</v>
      </c>
      <c r="J18" s="3">
        <v>45196.802777777775</v>
      </c>
      <c r="K18" s="1" t="s">
        <v>2303</v>
      </c>
      <c r="L18" s="1" t="s">
        <v>2303</v>
      </c>
      <c r="M18" s="1" t="s">
        <v>38</v>
      </c>
      <c r="N18" s="1" t="s">
        <v>75</v>
      </c>
      <c r="O18" s="1" t="s">
        <v>69</v>
      </c>
      <c r="P18" s="1" t="s">
        <v>69</v>
      </c>
      <c r="Q18" s="3">
        <v>45196.802777777775</v>
      </c>
      <c r="R18" s="1" t="s">
        <v>55</v>
      </c>
      <c r="S18" s="1" t="s">
        <v>2304</v>
      </c>
    </row>
    <row r="19" ht="69.75" customHeight="1">
      <c r="A19" s="1">
        <v>2.1548989029773E13</v>
      </c>
      <c r="B19" s="2" t="s">
        <v>2306</v>
      </c>
      <c r="C19" s="1" t="s">
        <v>2229</v>
      </c>
      <c r="D19" s="1" t="s">
        <v>34</v>
      </c>
      <c r="E19" s="1" t="b">
        <v>0</v>
      </c>
      <c r="F19" s="1" t="s">
        <v>2230</v>
      </c>
      <c r="G19" s="1" t="str">
        <f t="array" ref="G19">XLOOKUP(A:A,'CategoriasSeções'!A:A,'CategoriasSeções'!B:B)</f>
        <v>Aduaneiro</v>
      </c>
      <c r="H19" s="1" t="s">
        <v>2250</v>
      </c>
      <c r="I19" s="12">
        <v>45251.77013888889</v>
      </c>
      <c r="J19" s="3">
        <v>45315.538194444445</v>
      </c>
      <c r="K19" s="1" t="s">
        <v>2307</v>
      </c>
      <c r="L19" s="1" t="s">
        <v>2307</v>
      </c>
      <c r="M19" s="1" t="s">
        <v>38</v>
      </c>
      <c r="N19" s="1" t="s">
        <v>75</v>
      </c>
      <c r="O19" s="1" t="s">
        <v>69</v>
      </c>
      <c r="P19" s="1" t="s">
        <v>69</v>
      </c>
      <c r="Q19" s="3">
        <v>45315.538194444445</v>
      </c>
      <c r="R19" s="1" t="s">
        <v>55</v>
      </c>
      <c r="S19" s="1" t="s">
        <v>2308</v>
      </c>
    </row>
    <row r="20" ht="69.75" customHeight="1">
      <c r="A20" s="1">
        <v>2.1539182906509E13</v>
      </c>
      <c r="B20" s="2" t="s">
        <v>2310</v>
      </c>
      <c r="C20" s="1" t="s">
        <v>2229</v>
      </c>
      <c r="D20" s="1" t="s">
        <v>34</v>
      </c>
      <c r="E20" s="1" t="b">
        <v>0</v>
      </c>
      <c r="F20" s="1" t="s">
        <v>2230</v>
      </c>
      <c r="G20" s="1" t="str">
        <f t="array" ref="G20">XLOOKUP(A:A,'CategoriasSeções'!A:A,'CategoriasSeções'!B:B)</f>
        <v>Armazém Alfandegado</v>
      </c>
      <c r="H20" s="1" t="s">
        <v>2236</v>
      </c>
      <c r="I20" s="12">
        <v>45251.61597222222</v>
      </c>
      <c r="J20" s="3">
        <v>45315.5375</v>
      </c>
      <c r="K20" s="1" t="s">
        <v>2311</v>
      </c>
      <c r="L20" s="1" t="s">
        <v>2311</v>
      </c>
      <c r="M20" s="1" t="s">
        <v>38</v>
      </c>
      <c r="N20" s="1" t="s">
        <v>75</v>
      </c>
      <c r="O20" s="1" t="s">
        <v>69</v>
      </c>
      <c r="P20" s="1" t="s">
        <v>69</v>
      </c>
      <c r="Q20" s="3">
        <v>45315.5375</v>
      </c>
      <c r="R20" s="1" t="s">
        <v>55</v>
      </c>
      <c r="S20" s="1" t="s">
        <v>2312</v>
      </c>
    </row>
    <row r="21" ht="69.75" customHeight="1">
      <c r="A21" s="1">
        <v>2.1334091379085E13</v>
      </c>
      <c r="B21" s="2" t="s">
        <v>2314</v>
      </c>
      <c r="C21" s="1" t="s">
        <v>2229</v>
      </c>
      <c r="D21" s="1" t="s">
        <v>34</v>
      </c>
      <c r="E21" s="1" t="b">
        <v>0</v>
      </c>
      <c r="F21" s="1" t="s">
        <v>2230</v>
      </c>
      <c r="G21" s="1" t="str">
        <f t="array" ref="G21">XLOOKUP(A:A,'CategoriasSeções'!A:A,'CategoriasSeções'!B:B)</f>
        <v>Atendimento</v>
      </c>
      <c r="H21" s="1" t="s">
        <v>2315</v>
      </c>
      <c r="I21" s="12">
        <v>45244.822916666664</v>
      </c>
      <c r="J21" s="12">
        <v>45614.78125</v>
      </c>
      <c r="K21" s="1" t="s">
        <v>2316</v>
      </c>
      <c r="L21" s="1" t="s">
        <v>2316</v>
      </c>
      <c r="M21" s="1" t="s">
        <v>38</v>
      </c>
      <c r="N21" s="1" t="s">
        <v>75</v>
      </c>
      <c r="O21" s="1" t="s">
        <v>69</v>
      </c>
      <c r="P21" s="1" t="s">
        <v>69</v>
      </c>
      <c r="Q21" s="12">
        <v>45614.78125</v>
      </c>
      <c r="R21" s="1" t="s">
        <v>55</v>
      </c>
      <c r="S21" s="1" t="s">
        <v>2317</v>
      </c>
    </row>
    <row r="22" ht="69.75" customHeight="1">
      <c r="A22" s="1">
        <v>2.1330992215437E13</v>
      </c>
      <c r="B22" s="2" t="s">
        <v>2319</v>
      </c>
      <c r="C22" s="1" t="s">
        <v>2229</v>
      </c>
      <c r="D22" s="1" t="s">
        <v>34</v>
      </c>
      <c r="E22" s="1" t="b">
        <v>0</v>
      </c>
      <c r="F22" s="1" t="s">
        <v>2230</v>
      </c>
      <c r="G22" s="1" t="str">
        <f t="array" ref="G22">XLOOKUP(A:A,'CategoriasSeções'!A:A,'CategoriasSeções'!B:B)</f>
        <v>Boas Vindas</v>
      </c>
      <c r="H22" s="1" t="s">
        <v>2320</v>
      </c>
      <c r="I22" s="12">
        <v>45244.76597222222</v>
      </c>
      <c r="J22" s="12">
        <v>45614.77361111111</v>
      </c>
      <c r="K22" s="1" t="s">
        <v>2321</v>
      </c>
      <c r="L22" s="1" t="s">
        <v>2321</v>
      </c>
      <c r="M22" s="1" t="s">
        <v>38</v>
      </c>
      <c r="N22" s="1" t="s">
        <v>75</v>
      </c>
      <c r="O22" s="1" t="s">
        <v>69</v>
      </c>
      <c r="P22" s="1" t="s">
        <v>69</v>
      </c>
      <c r="Q22" s="12">
        <v>45614.731944444444</v>
      </c>
      <c r="R22" s="1" t="s">
        <v>55</v>
      </c>
      <c r="S22" s="1" t="s">
        <v>2322</v>
      </c>
    </row>
    <row r="23" ht="69.75" customHeight="1">
      <c r="A23" s="1">
        <v>3.1977286869773E13</v>
      </c>
      <c r="B23" s="2" t="s">
        <v>2324</v>
      </c>
      <c r="C23" s="1" t="s">
        <v>2229</v>
      </c>
      <c r="D23" s="1" t="s">
        <v>34</v>
      </c>
      <c r="E23" s="1" t="b">
        <v>0</v>
      </c>
      <c r="F23" s="1" t="s">
        <v>2230</v>
      </c>
      <c r="G23" s="1" t="str">
        <f t="array" ref="G23">XLOOKUP(A:A,'CategoriasSeções'!A:A,'CategoriasSeções'!B:B)</f>
        <v>Boas Vindas</v>
      </c>
      <c r="H23" s="1" t="s">
        <v>2320</v>
      </c>
      <c r="I23" s="12">
        <v>45614.76736111111</v>
      </c>
      <c r="J23" s="12">
        <v>45614.77361111111</v>
      </c>
      <c r="K23" s="1" t="s">
        <v>2325</v>
      </c>
      <c r="L23" s="1" t="s">
        <v>2325</v>
      </c>
      <c r="M23" s="1" t="s">
        <v>38</v>
      </c>
      <c r="N23" s="1" t="s">
        <v>75</v>
      </c>
      <c r="O23" s="1" t="s">
        <v>69</v>
      </c>
      <c r="P23" s="1" t="s">
        <v>69</v>
      </c>
      <c r="Q23" s="12">
        <v>45614.76736111111</v>
      </c>
      <c r="R23" s="1" t="s">
        <v>55</v>
      </c>
      <c r="S23" s="1" t="s">
        <v>2326</v>
      </c>
    </row>
    <row r="24" ht="69.75" customHeight="1">
      <c r="A24" s="1">
        <v>2.1548644503437E13</v>
      </c>
      <c r="B24" s="2" t="s">
        <v>2328</v>
      </c>
      <c r="C24" s="1" t="s">
        <v>2229</v>
      </c>
      <c r="D24" s="1" t="s">
        <v>34</v>
      </c>
      <c r="E24" s="1" t="b">
        <v>0</v>
      </c>
      <c r="F24" s="1" t="s">
        <v>2230</v>
      </c>
      <c r="G24" s="1" t="str">
        <f t="array" ref="G24">XLOOKUP(A:A,'CategoriasSeções'!A:A,'CategoriasSeções'!B:B)</f>
        <v>Aduaneiro</v>
      </c>
      <c r="H24" s="1" t="s">
        <v>2250</v>
      </c>
      <c r="I24" s="12">
        <v>45251.76458333333</v>
      </c>
      <c r="J24" s="3">
        <v>45315.538194444445</v>
      </c>
      <c r="K24" s="1" t="s">
        <v>2329</v>
      </c>
      <c r="L24" s="1" t="s">
        <v>2329</v>
      </c>
      <c r="M24" s="1" t="s">
        <v>38</v>
      </c>
      <c r="N24" s="1" t="s">
        <v>75</v>
      </c>
      <c r="O24" s="1" t="s">
        <v>69</v>
      </c>
      <c r="P24" s="1" t="s">
        <v>69</v>
      </c>
      <c r="Q24" s="3">
        <v>45315.538194444445</v>
      </c>
      <c r="R24" s="1" t="s">
        <v>55</v>
      </c>
      <c r="S24" s="1" t="s">
        <v>2330</v>
      </c>
    </row>
    <row r="25" ht="69.75" customHeight="1">
      <c r="A25" s="1">
        <v>2.1538404709901E13</v>
      </c>
      <c r="B25" s="2" t="s">
        <v>2332</v>
      </c>
      <c r="C25" s="1" t="s">
        <v>2229</v>
      </c>
      <c r="D25" s="1" t="s">
        <v>34</v>
      </c>
      <c r="E25" s="1" t="b">
        <v>0</v>
      </c>
      <c r="F25" s="1" t="s">
        <v>2230</v>
      </c>
      <c r="G25" s="1" t="str">
        <f t="array" ref="G25">XLOOKUP(A:A,'CategoriasSeções'!A:A,'CategoriasSeções'!B:B)</f>
        <v>Armazém Alfandegado</v>
      </c>
      <c r="H25" s="1" t="s">
        <v>2236</v>
      </c>
      <c r="I25" s="12">
        <v>45251.60138888889</v>
      </c>
      <c r="J25" s="12">
        <v>45251.725694444445</v>
      </c>
      <c r="K25" s="1" t="s">
        <v>2333</v>
      </c>
      <c r="L25" s="1" t="s">
        <v>2333</v>
      </c>
      <c r="M25" s="1" t="s">
        <v>38</v>
      </c>
      <c r="N25" s="1" t="s">
        <v>75</v>
      </c>
      <c r="O25" s="1" t="s">
        <v>69</v>
      </c>
      <c r="P25" s="1" t="s">
        <v>69</v>
      </c>
      <c r="Q25" s="12">
        <v>45251.60138888889</v>
      </c>
      <c r="R25" s="1" t="s">
        <v>55</v>
      </c>
      <c r="S25" s="1" t="s">
        <v>2335</v>
      </c>
    </row>
    <row r="26" ht="69.75" customHeight="1">
      <c r="A26" s="1">
        <v>2.1335033812621E13</v>
      </c>
      <c r="B26" s="2" t="s">
        <v>2337</v>
      </c>
      <c r="C26" s="1" t="s">
        <v>2229</v>
      </c>
      <c r="D26" s="1" t="s">
        <v>34</v>
      </c>
      <c r="E26" s="1" t="b">
        <v>0</v>
      </c>
      <c r="F26" s="1" t="s">
        <v>2230</v>
      </c>
      <c r="G26" s="1" t="str">
        <f t="array" ref="G26">XLOOKUP(A:A,'CategoriasSeções'!A:A,'CategoriasSeções'!B:B)</f>
        <v>Boas Vindas</v>
      </c>
      <c r="H26" s="1" t="s">
        <v>2259</v>
      </c>
      <c r="I26" s="12">
        <v>45244.83888888889</v>
      </c>
      <c r="J26" s="12">
        <v>45251.53125</v>
      </c>
      <c r="K26" s="1" t="s">
        <v>2338</v>
      </c>
      <c r="L26" s="1" t="s">
        <v>2338</v>
      </c>
      <c r="M26" s="1" t="s">
        <v>38</v>
      </c>
      <c r="N26" s="1" t="s">
        <v>75</v>
      </c>
      <c r="O26" s="1" t="s">
        <v>69</v>
      </c>
      <c r="P26" s="1" t="s">
        <v>69</v>
      </c>
      <c r="Q26" s="12">
        <v>45244.83888888889</v>
      </c>
      <c r="R26" s="1" t="s">
        <v>55</v>
      </c>
      <c r="S26" s="1" t="s">
        <v>2339</v>
      </c>
    </row>
    <row r="27" ht="69.75" customHeight="1">
      <c r="A27" s="1">
        <v>3.1975424122253E13</v>
      </c>
      <c r="B27" s="2" t="s">
        <v>2341</v>
      </c>
      <c r="C27" s="1" t="s">
        <v>2229</v>
      </c>
      <c r="D27" s="1" t="s">
        <v>34</v>
      </c>
      <c r="E27" s="1" t="b">
        <v>0</v>
      </c>
      <c r="F27" s="1" t="s">
        <v>2230</v>
      </c>
      <c r="G27" s="1" t="str">
        <f t="array" ref="G27">XLOOKUP(A:A,'CategoriasSeções'!A:A,'CategoriasSeções'!B:B)</f>
        <v>Boas Vindas</v>
      </c>
      <c r="H27" s="1" t="s">
        <v>2320</v>
      </c>
      <c r="I27" s="12">
        <v>45614.73402777778</v>
      </c>
      <c r="J27" s="12">
        <v>45614.77361111111</v>
      </c>
      <c r="K27" s="1" t="s">
        <v>2342</v>
      </c>
      <c r="L27" s="1" t="s">
        <v>2342</v>
      </c>
      <c r="M27" s="1" t="s">
        <v>38</v>
      </c>
      <c r="N27" s="1" t="s">
        <v>75</v>
      </c>
      <c r="O27" s="1" t="s">
        <v>69</v>
      </c>
      <c r="P27" s="1" t="s">
        <v>69</v>
      </c>
      <c r="Q27" s="12">
        <v>45614.73402777778</v>
      </c>
      <c r="R27" s="1" t="s">
        <v>55</v>
      </c>
      <c r="S27" s="1" t="s">
        <v>2343</v>
      </c>
    </row>
    <row r="28" ht="69.75" customHeight="1">
      <c r="A28" s="1">
        <v>2.1441225233037E13</v>
      </c>
      <c r="B28" s="2" t="s">
        <v>2345</v>
      </c>
      <c r="C28" s="1" t="s">
        <v>2229</v>
      </c>
      <c r="D28" s="1" t="s">
        <v>34</v>
      </c>
      <c r="E28" s="1" t="b">
        <v>0</v>
      </c>
      <c r="F28" s="1" t="s">
        <v>2230</v>
      </c>
      <c r="G28" s="1" t="str">
        <f t="array" ref="G28">XLOOKUP(A:A,'CategoriasSeções'!A:A,'CategoriasSeções'!B:B)</f>
        <v>Aduaneiro</v>
      </c>
      <c r="H28" s="1" t="s">
        <v>2250</v>
      </c>
      <c r="I28" s="12">
        <v>45247.85</v>
      </c>
      <c r="J28" s="3">
        <v>45526.42152777778</v>
      </c>
      <c r="K28" s="1" t="s">
        <v>2346</v>
      </c>
      <c r="L28" s="1" t="s">
        <v>2346</v>
      </c>
      <c r="M28" s="1" t="s">
        <v>38</v>
      </c>
      <c r="N28" s="1" t="s">
        <v>75</v>
      </c>
      <c r="O28" s="1" t="s">
        <v>69</v>
      </c>
      <c r="P28" s="1" t="s">
        <v>69</v>
      </c>
      <c r="Q28" s="12">
        <v>45251.75833333333</v>
      </c>
      <c r="R28" s="1" t="s">
        <v>55</v>
      </c>
      <c r="S28" s="1" t="s">
        <v>2347</v>
      </c>
    </row>
    <row r="29" ht="69.75" customHeight="1">
      <c r="A29" s="1">
        <v>2.1550086559245E13</v>
      </c>
      <c r="B29" s="2" t="s">
        <v>2349</v>
      </c>
      <c r="C29" s="1" t="s">
        <v>2229</v>
      </c>
      <c r="D29" s="1" t="s">
        <v>34</v>
      </c>
      <c r="E29" s="1" t="b">
        <v>0</v>
      </c>
      <c r="F29" s="1" t="s">
        <v>2230</v>
      </c>
      <c r="G29" s="1" t="str">
        <f t="array" ref="G29">XLOOKUP(A:A,'CategoriasSeções'!A:A,'CategoriasSeções'!B:B)</f>
        <v>Aduaneiro</v>
      </c>
      <c r="H29" s="1" t="s">
        <v>2250</v>
      </c>
      <c r="I29" s="12">
        <v>45251.785416666666</v>
      </c>
      <c r="J29" s="3">
        <v>45315.538194444445</v>
      </c>
      <c r="K29" s="1" t="s">
        <v>2350</v>
      </c>
      <c r="L29" s="1" t="s">
        <v>2350</v>
      </c>
      <c r="M29" s="1" t="s">
        <v>38</v>
      </c>
      <c r="N29" s="1" t="s">
        <v>75</v>
      </c>
      <c r="O29" s="1" t="s">
        <v>69</v>
      </c>
      <c r="P29" s="1" t="s">
        <v>69</v>
      </c>
      <c r="Q29" s="3">
        <v>45315.538194444445</v>
      </c>
      <c r="R29" s="1" t="s">
        <v>55</v>
      </c>
      <c r="S29" s="1" t="s">
        <v>2351</v>
      </c>
    </row>
    <row r="30" ht="69.75" customHeight="1">
      <c r="A30" s="1">
        <v>2.1538774959373E13</v>
      </c>
      <c r="B30" s="2" t="s">
        <v>2353</v>
      </c>
      <c r="C30" s="1" t="s">
        <v>2229</v>
      </c>
      <c r="D30" s="1" t="s">
        <v>34</v>
      </c>
      <c r="E30" s="1" t="b">
        <v>0</v>
      </c>
      <c r="F30" s="1" t="s">
        <v>2230</v>
      </c>
      <c r="G30" s="1" t="str">
        <f t="array" ref="G30">XLOOKUP(A:A,'CategoriasSeções'!A:A,'CategoriasSeções'!B:B)</f>
        <v>Armazém Alfandegado</v>
      </c>
      <c r="H30" s="1" t="s">
        <v>2236</v>
      </c>
      <c r="I30" s="12">
        <v>45251.60763888889</v>
      </c>
      <c r="J30" s="3">
        <v>45315.5375</v>
      </c>
      <c r="K30" s="1" t="s">
        <v>2354</v>
      </c>
      <c r="L30" s="1" t="s">
        <v>2354</v>
      </c>
      <c r="M30" s="1" t="s">
        <v>38</v>
      </c>
      <c r="N30" s="1" t="s">
        <v>75</v>
      </c>
      <c r="O30" s="1" t="s">
        <v>69</v>
      </c>
      <c r="P30" s="1" t="s">
        <v>69</v>
      </c>
      <c r="Q30" s="3">
        <v>45315.5375</v>
      </c>
      <c r="R30" s="1" t="s">
        <v>55</v>
      </c>
      <c r="S30" s="1" t="s">
        <v>2355</v>
      </c>
    </row>
    <row r="31" ht="69.75" customHeight="1">
      <c r="A31" s="1">
        <v>2.1192934251021E13</v>
      </c>
      <c r="B31" s="2" t="s">
        <v>2357</v>
      </c>
      <c r="C31" s="1" t="s">
        <v>2229</v>
      </c>
      <c r="D31" s="1" t="s">
        <v>34</v>
      </c>
      <c r="E31" s="1" t="b">
        <v>0</v>
      </c>
      <c r="F31" s="1" t="s">
        <v>2230</v>
      </c>
      <c r="G31" s="1" t="str">
        <f t="array" ref="G31">XLOOKUP(A:A,'CategoriasSeções'!A:A,'CategoriasSeções'!B:B)</f>
        <v>Boas Vindas</v>
      </c>
      <c r="H31" s="1" t="s">
        <v>2320</v>
      </c>
      <c r="I31" s="3">
        <v>45239.82708333333</v>
      </c>
      <c r="J31" s="12">
        <v>45614.77361111111</v>
      </c>
      <c r="K31" s="1" t="s">
        <v>2358</v>
      </c>
      <c r="L31" s="1" t="s">
        <v>2358</v>
      </c>
      <c r="M31" s="1" t="s">
        <v>38</v>
      </c>
      <c r="N31" s="1" t="s">
        <v>75</v>
      </c>
      <c r="O31" s="1" t="s">
        <v>69</v>
      </c>
      <c r="P31" s="1" t="s">
        <v>69</v>
      </c>
      <c r="Q31" s="12">
        <v>45244.75763888889</v>
      </c>
      <c r="R31" s="1" t="s">
        <v>55</v>
      </c>
      <c r="S31" s="1" t="s">
        <v>2359</v>
      </c>
    </row>
    <row r="32" ht="69.75" customHeight="1">
      <c r="A32" s="1">
        <v>2.1545561544973E13</v>
      </c>
      <c r="B32" s="2" t="s">
        <v>2361</v>
      </c>
      <c r="C32" s="1" t="s">
        <v>2229</v>
      </c>
      <c r="D32" s="1" t="s">
        <v>34</v>
      </c>
      <c r="E32" s="1" t="b">
        <v>0</v>
      </c>
      <c r="F32" s="1" t="s">
        <v>2230</v>
      </c>
      <c r="G32" s="1" t="str">
        <f t="array" ref="G32">XLOOKUP(A:A,'CategoriasSeções'!A:A,'CategoriasSeções'!B:B)</f>
        <v>Armazém Alfandegado</v>
      </c>
      <c r="H32" s="1" t="s">
        <v>2236</v>
      </c>
      <c r="I32" s="12">
        <v>45251.71875</v>
      </c>
      <c r="J32" s="12">
        <v>45614.78888888889</v>
      </c>
      <c r="K32" s="1" t="s">
        <v>2362</v>
      </c>
      <c r="L32" s="1" t="s">
        <v>2362</v>
      </c>
      <c r="M32" s="1" t="s">
        <v>38</v>
      </c>
      <c r="N32" s="1" t="s">
        <v>75</v>
      </c>
      <c r="O32" s="1" t="s">
        <v>69</v>
      </c>
      <c r="P32" s="1" t="s">
        <v>69</v>
      </c>
      <c r="Q32" s="12">
        <v>45614.78888888889</v>
      </c>
      <c r="R32" s="1" t="s">
        <v>55</v>
      </c>
      <c r="S32" s="1" t="s">
        <v>2363</v>
      </c>
    </row>
    <row r="33" ht="69.75" customHeight="1">
      <c r="A33" s="1">
        <v>2.1539429059725E13</v>
      </c>
      <c r="B33" s="2" t="s">
        <v>2365</v>
      </c>
      <c r="C33" s="1" t="s">
        <v>2229</v>
      </c>
      <c r="D33" s="1" t="s">
        <v>34</v>
      </c>
      <c r="E33" s="1" t="b">
        <v>0</v>
      </c>
      <c r="F33" s="1" t="s">
        <v>2230</v>
      </c>
      <c r="G33" s="1" t="str">
        <f t="array" ref="G33">XLOOKUP(A:A,'CategoriasSeções'!A:A,'CategoriasSeções'!B:B)</f>
        <v>Armazém Alfandegado</v>
      </c>
      <c r="H33" s="1" t="s">
        <v>2236</v>
      </c>
      <c r="I33" s="12">
        <v>45251.620833333334</v>
      </c>
      <c r="J33" s="12">
        <v>45251.725694444445</v>
      </c>
      <c r="K33" s="1" t="s">
        <v>2366</v>
      </c>
      <c r="L33" s="1" t="s">
        <v>2366</v>
      </c>
      <c r="M33" s="1" t="s">
        <v>38</v>
      </c>
      <c r="N33" s="1" t="s">
        <v>75</v>
      </c>
      <c r="O33" s="1" t="s">
        <v>69</v>
      </c>
      <c r="P33" s="1" t="s">
        <v>69</v>
      </c>
      <c r="Q33" s="12">
        <v>45251.62986111111</v>
      </c>
      <c r="R33" s="1" t="s">
        <v>55</v>
      </c>
      <c r="S33" s="1" t="s">
        <v>2367</v>
      </c>
    </row>
    <row r="34" ht="69.75" customHeight="1">
      <c r="A34" s="1">
        <v>2.1539267227661E13</v>
      </c>
      <c r="B34" s="2" t="s">
        <v>2369</v>
      </c>
      <c r="C34" s="1" t="s">
        <v>2229</v>
      </c>
      <c r="D34" s="1" t="s">
        <v>34</v>
      </c>
      <c r="E34" s="1" t="b">
        <v>0</v>
      </c>
      <c r="F34" s="1" t="s">
        <v>2230</v>
      </c>
      <c r="G34" s="1" t="str">
        <f t="array" ref="G34">XLOOKUP(A:A,'CategoriasSeções'!A:A,'CategoriasSeções'!B:B)</f>
        <v>Armazém Alfandegado</v>
      </c>
      <c r="H34" s="1" t="s">
        <v>2236</v>
      </c>
      <c r="I34" s="12">
        <v>45251.618055555555</v>
      </c>
      <c r="J34" s="3">
        <v>45315.538194444445</v>
      </c>
      <c r="K34" s="1" t="s">
        <v>2370</v>
      </c>
      <c r="L34" s="1" t="s">
        <v>2370</v>
      </c>
      <c r="M34" s="1" t="s">
        <v>38</v>
      </c>
      <c r="N34" s="1" t="s">
        <v>75</v>
      </c>
      <c r="O34" s="1" t="s">
        <v>69</v>
      </c>
      <c r="P34" s="1" t="s">
        <v>69</v>
      </c>
      <c r="Q34" s="3">
        <v>45315.538194444445</v>
      </c>
      <c r="R34" s="1" t="s">
        <v>55</v>
      </c>
      <c r="S34" s="1" t="s">
        <v>2371</v>
      </c>
    </row>
    <row r="35" ht="69.75" customHeight="1">
      <c r="A35" s="1">
        <v>2.1538565680269E13</v>
      </c>
      <c r="B35" s="2" t="s">
        <v>2373</v>
      </c>
      <c r="C35" s="1" t="s">
        <v>2229</v>
      </c>
      <c r="D35" s="1" t="s">
        <v>34</v>
      </c>
      <c r="E35" s="1" t="b">
        <v>0</v>
      </c>
      <c r="F35" s="1" t="s">
        <v>2230</v>
      </c>
      <c r="G35" s="1" t="str">
        <f t="array" ref="G35">XLOOKUP(A:A,'CategoriasSeções'!A:A,'CategoriasSeções'!B:B)</f>
        <v>Armazém Alfandegado</v>
      </c>
      <c r="H35" s="1" t="s">
        <v>2236</v>
      </c>
      <c r="I35" s="12">
        <v>45251.604166666664</v>
      </c>
      <c r="J35" s="12">
        <v>45614.791666666664</v>
      </c>
      <c r="K35" s="1" t="s">
        <v>2374</v>
      </c>
      <c r="L35" s="1" t="s">
        <v>2374</v>
      </c>
      <c r="M35" s="1" t="s">
        <v>38</v>
      </c>
      <c r="N35" s="1" t="s">
        <v>75</v>
      </c>
      <c r="O35" s="1" t="s">
        <v>69</v>
      </c>
      <c r="P35" s="1" t="s">
        <v>69</v>
      </c>
      <c r="Q35" s="12">
        <v>45614.791666666664</v>
      </c>
      <c r="R35" s="1" t="s">
        <v>55</v>
      </c>
      <c r="S35" s="1" t="s">
        <v>2375</v>
      </c>
    </row>
    <row r="36" ht="69.75" customHeight="1"/>
    <row r="37" ht="69.75" customHeight="1"/>
    <row r="38" ht="69.75" customHeight="1"/>
    <row r="39" ht="69.75" customHeight="1"/>
    <row r="40" ht="69.75" customHeight="1"/>
    <row r="41" ht="69.75" customHeight="1"/>
    <row r="42" ht="69.75" customHeight="1"/>
    <row r="43" ht="69.75" customHeight="1"/>
    <row r="44" ht="69.75" customHeight="1"/>
    <row r="45" ht="69.75" customHeight="1"/>
    <row r="46" ht="69.75" customHeight="1"/>
    <row r="47" ht="69.75" customHeight="1"/>
    <row r="48" ht="69.75" customHeight="1"/>
    <row r="49" ht="69.75" customHeight="1"/>
    <row r="50" ht="69.75" customHeight="1"/>
    <row r="51" ht="69.75" customHeight="1"/>
    <row r="52" ht="69.75" customHeight="1"/>
    <row r="53" ht="69.75" customHeight="1"/>
    <row r="54" ht="69.75" customHeight="1"/>
    <row r="55" ht="69.75" customHeight="1"/>
    <row r="56" ht="69.75" customHeight="1"/>
    <row r="57" ht="69.75" customHeight="1"/>
    <row r="58" ht="69.75" customHeight="1"/>
    <row r="59" ht="69.75" customHeight="1"/>
    <row r="60" ht="69.75" customHeight="1"/>
    <row r="61" ht="69.75" customHeight="1"/>
    <row r="62" ht="69.75" customHeight="1"/>
    <row r="63" ht="69.75" customHeight="1"/>
    <row r="64" ht="69.75" customHeight="1"/>
    <row r="65" ht="69.75" customHeight="1"/>
    <row r="66" ht="69.75" customHeight="1"/>
    <row r="67" ht="69.75" customHeight="1"/>
    <row r="68" ht="69.75" customHeight="1"/>
    <row r="69" ht="69.75" customHeight="1"/>
    <row r="70" ht="69.75" customHeight="1"/>
    <row r="71" ht="69.75" customHeight="1"/>
    <row r="72" ht="69.75" customHeight="1"/>
    <row r="73" ht="69.75" customHeight="1"/>
    <row r="74" ht="69.75" customHeight="1"/>
    <row r="75" ht="69.75" customHeight="1"/>
    <row r="76" ht="69.75" customHeight="1"/>
    <row r="77" ht="69.75" customHeight="1"/>
    <row r="78" ht="69.75" customHeight="1"/>
    <row r="79" ht="69.75" customHeight="1"/>
    <row r="80" ht="69.75" customHeight="1"/>
    <row r="81" ht="69.75" customHeight="1"/>
    <row r="82" ht="69.75" customHeight="1"/>
    <row r="83" ht="69.75" customHeight="1"/>
    <row r="84" ht="69.75" customHeight="1"/>
    <row r="85" ht="69.75" customHeight="1"/>
    <row r="86" ht="69.75" customHeight="1"/>
    <row r="87" ht="69.75" customHeight="1"/>
    <row r="88" ht="69.75" customHeight="1"/>
    <row r="89" ht="69.75" customHeight="1"/>
    <row r="90" ht="69.75" customHeight="1"/>
    <row r="91" ht="69.75" customHeight="1"/>
    <row r="92" ht="69.75" customHeight="1"/>
    <row r="93" ht="69.75" customHeight="1"/>
    <row r="94" ht="69.75" customHeight="1"/>
    <row r="95" ht="69.75" customHeight="1"/>
    <row r="96" ht="69.75" customHeight="1"/>
    <row r="97" ht="69.75" customHeight="1"/>
    <row r="98" ht="69.75" customHeight="1"/>
    <row r="99" ht="69.75" customHeight="1"/>
    <row r="100" ht="69.75" customHeight="1"/>
    <row r="101" ht="69.75" customHeight="1"/>
    <row r="102" ht="69.75" customHeight="1"/>
    <row r="103" ht="69.75" customHeight="1"/>
    <row r="104" ht="69.75" customHeight="1"/>
    <row r="105" ht="69.75" customHeight="1"/>
    <row r="106" ht="69.75" customHeight="1"/>
    <row r="107" ht="69.75" customHeight="1"/>
    <row r="108" ht="69.75" customHeight="1"/>
    <row r="109" ht="69.75" customHeight="1"/>
    <row r="110" ht="69.75" customHeight="1"/>
    <row r="111" ht="69.75" customHeight="1"/>
    <row r="112" ht="69.75" customHeight="1"/>
    <row r="113" ht="69.75" customHeight="1"/>
    <row r="114" ht="69.75" customHeight="1"/>
    <row r="115" ht="69.75" customHeight="1"/>
    <row r="116" ht="69.75" customHeight="1"/>
    <row r="117" ht="69.75" customHeight="1"/>
    <row r="118" ht="69.75" customHeight="1"/>
    <row r="119" ht="69.75" customHeight="1"/>
    <row r="120" ht="69.75" customHeight="1"/>
    <row r="121" ht="69.75" customHeight="1"/>
    <row r="122" ht="69.75" customHeight="1"/>
    <row r="123" ht="69.75" customHeight="1"/>
    <row r="124" ht="69.75" customHeight="1"/>
    <row r="125" ht="69.75" customHeight="1"/>
    <row r="126" ht="69.75" customHeight="1"/>
    <row r="127" ht="69.75" customHeight="1"/>
    <row r="128" ht="69.75" customHeight="1"/>
    <row r="129" ht="69.75" customHeight="1"/>
    <row r="130" ht="69.75" customHeight="1"/>
    <row r="131" ht="69.75" customHeight="1"/>
    <row r="132" ht="69.75" customHeight="1"/>
    <row r="133" ht="69.75" customHeight="1"/>
    <row r="134" ht="69.75" customHeight="1"/>
    <row r="135" ht="69.75" customHeight="1"/>
    <row r="136" ht="69.75" customHeight="1"/>
    <row r="137" ht="69.75" customHeight="1"/>
    <row r="138" ht="69.75" customHeight="1"/>
    <row r="139" ht="69.75" customHeight="1"/>
    <row r="140" ht="69.75" customHeight="1"/>
    <row r="141" ht="69.75" customHeight="1"/>
    <row r="142" ht="69.75" customHeight="1"/>
    <row r="143" ht="69.75" customHeight="1"/>
    <row r="144" ht="69.75" customHeight="1"/>
    <row r="145" ht="69.75" customHeight="1"/>
    <row r="146" ht="69.75" customHeight="1"/>
    <row r="147" ht="69.75" customHeight="1"/>
    <row r="148" ht="69.75" customHeight="1"/>
    <row r="149" ht="69.75" customHeight="1"/>
    <row r="150" ht="69.75" customHeight="1"/>
    <row r="151" ht="69.75" customHeight="1"/>
    <row r="152" ht="69.75" customHeight="1"/>
    <row r="153" ht="69.75" customHeight="1"/>
    <row r="154" ht="69.75" customHeight="1"/>
    <row r="155" ht="69.75" customHeight="1"/>
    <row r="156" ht="69.75" customHeight="1"/>
    <row r="157" ht="69.75" customHeight="1"/>
    <row r="158" ht="69.75" customHeight="1"/>
    <row r="159" ht="69.75" customHeight="1"/>
    <row r="160" ht="69.75" customHeight="1"/>
    <row r="161" ht="69.75" customHeight="1"/>
    <row r="162" ht="69.75" customHeight="1"/>
    <row r="163" ht="69.75" customHeight="1"/>
    <row r="164" ht="69.75" customHeight="1"/>
    <row r="165" ht="69.75" customHeight="1"/>
    <row r="166" ht="69.75" customHeight="1"/>
    <row r="167" ht="69.75" customHeight="1"/>
    <row r="168" ht="69.75" customHeight="1"/>
    <row r="169" ht="69.75" customHeight="1"/>
    <row r="170" ht="69.75" customHeight="1"/>
    <row r="171" ht="69.75" customHeight="1"/>
    <row r="172" ht="69.75" customHeight="1"/>
    <row r="173" ht="69.75" customHeight="1"/>
    <row r="174" ht="69.75" customHeight="1"/>
    <row r="175" ht="69.75" customHeight="1"/>
    <row r="176" ht="69.75" customHeight="1"/>
    <row r="177" ht="69.75" customHeight="1"/>
    <row r="178" ht="69.75" customHeight="1"/>
    <row r="179" ht="69.75" customHeight="1"/>
    <row r="180" ht="69.75" customHeight="1"/>
    <row r="181" ht="69.75" customHeight="1"/>
    <row r="182" ht="69.75" customHeight="1"/>
    <row r="183" ht="69.75" customHeight="1"/>
    <row r="184" ht="69.75" customHeight="1"/>
    <row r="185" ht="69.75" customHeight="1"/>
    <row r="186" ht="69.75" customHeight="1"/>
    <row r="187" ht="69.75" customHeight="1"/>
    <row r="188" ht="69.75" customHeight="1"/>
    <row r="189" ht="69.75" customHeight="1"/>
    <row r="190" ht="69.75" customHeight="1"/>
    <row r="191" ht="69.75" customHeight="1"/>
    <row r="192" ht="69.75" customHeight="1"/>
    <row r="193" ht="69.75" customHeight="1"/>
    <row r="194" ht="69.75" customHeight="1"/>
    <row r="195" ht="69.75" customHeight="1"/>
    <row r="196" ht="69.75" customHeight="1"/>
    <row r="197" ht="69.75" customHeight="1"/>
    <row r="198" ht="69.75" customHeight="1"/>
    <row r="199" ht="69.75" customHeight="1"/>
    <row r="200" ht="69.75" customHeight="1"/>
    <row r="201" ht="69.75" customHeight="1"/>
    <row r="202" ht="69.75" customHeight="1"/>
    <row r="203" ht="69.75" customHeight="1"/>
    <row r="204" ht="69.75" customHeight="1"/>
    <row r="205" ht="69.75" customHeight="1"/>
    <row r="206" ht="69.75" customHeight="1"/>
    <row r="207" ht="69.75" customHeight="1"/>
    <row r="208" ht="69.75" customHeight="1"/>
    <row r="209" ht="69.75" customHeight="1"/>
    <row r="210" ht="69.75" customHeight="1"/>
    <row r="211" ht="69.75" customHeight="1"/>
    <row r="212" ht="69.75" customHeight="1"/>
    <row r="213" ht="69.75" customHeight="1"/>
    <row r="214" ht="69.75" customHeight="1"/>
    <row r="215" ht="69.75" customHeight="1"/>
    <row r="216" ht="69.75" customHeight="1"/>
    <row r="217" ht="69.75" customHeight="1"/>
    <row r="218" ht="69.75" customHeight="1"/>
    <row r="219" ht="69.75" customHeight="1"/>
    <row r="220" ht="69.75" customHeight="1"/>
    <row r="221" ht="69.75" customHeight="1"/>
    <row r="222" ht="69.75" customHeight="1"/>
    <row r="223" ht="69.75" customHeight="1"/>
    <row r="224" ht="69.75" customHeight="1"/>
    <row r="225" ht="69.75" customHeight="1"/>
    <row r="226" ht="69.75" customHeight="1"/>
    <row r="227" ht="69.75" customHeight="1"/>
    <row r="228" ht="69.75" customHeight="1"/>
    <row r="229" ht="69.75" customHeight="1"/>
    <row r="230" ht="69.75" customHeight="1"/>
    <row r="231" ht="69.75" customHeight="1"/>
    <row r="232" ht="69.75" customHeight="1"/>
    <row r="233" ht="69.75" customHeight="1"/>
    <row r="234" ht="69.75" customHeight="1"/>
    <row r="235" ht="69.75" customHeight="1"/>
    <row r="236" ht="69.75" customHeight="1"/>
    <row r="237" ht="69.75" customHeight="1"/>
    <row r="238" ht="69.75" customHeight="1"/>
    <row r="239" ht="69.75" customHeight="1"/>
    <row r="240" ht="69.75" customHeight="1"/>
    <row r="241" ht="69.75" customHeight="1"/>
    <row r="242" ht="69.75" customHeight="1"/>
    <row r="243" ht="69.75" customHeight="1"/>
    <row r="244" ht="69.75" customHeight="1"/>
    <row r="245" ht="69.75" customHeight="1"/>
    <row r="246" ht="69.75" customHeight="1"/>
    <row r="247" ht="69.75" customHeight="1"/>
    <row r="248" ht="69.75" customHeight="1"/>
    <row r="249" ht="69.75" customHeight="1"/>
    <row r="250" ht="69.75" customHeight="1"/>
    <row r="251" ht="69.75" customHeight="1"/>
    <row r="252" ht="69.75" customHeight="1"/>
    <row r="253" ht="69.75" customHeight="1"/>
    <row r="254" ht="69.75" customHeight="1"/>
    <row r="255" ht="69.75" customHeight="1"/>
    <row r="256" ht="69.75" customHeight="1"/>
    <row r="257" ht="69.75" customHeight="1"/>
    <row r="258" ht="69.75" customHeight="1"/>
    <row r="259" ht="69.75" customHeight="1"/>
    <row r="260" ht="69.75" customHeight="1"/>
    <row r="261" ht="69.75" customHeight="1"/>
    <row r="262" ht="69.75" customHeight="1"/>
    <row r="263" ht="69.75" customHeight="1"/>
    <row r="264" ht="69.75" customHeight="1"/>
    <row r="265" ht="69.75" customHeight="1"/>
    <row r="266" ht="69.75" customHeight="1"/>
    <row r="267" ht="69.75" customHeight="1"/>
    <row r="268" ht="69.75" customHeight="1"/>
    <row r="269" ht="69.75" customHeight="1"/>
    <row r="270" ht="69.75" customHeight="1"/>
    <row r="271" ht="69.75" customHeight="1"/>
    <row r="272" ht="69.75" customHeight="1"/>
    <row r="273" ht="69.75" customHeight="1"/>
    <row r="274" ht="69.75" customHeight="1"/>
    <row r="275" ht="69.75" customHeight="1"/>
    <row r="276" ht="69.75" customHeight="1"/>
    <row r="277" ht="69.75" customHeight="1"/>
    <row r="278" ht="69.75" customHeight="1"/>
    <row r="279" ht="69.75" customHeight="1"/>
    <row r="280" ht="69.75" customHeight="1"/>
    <row r="281" ht="69.75" customHeight="1"/>
    <row r="282" ht="69.75" customHeight="1"/>
    <row r="283" ht="69.75" customHeight="1"/>
    <row r="284" ht="69.75" customHeight="1"/>
    <row r="285" ht="69.75" customHeight="1"/>
    <row r="286" ht="69.75" customHeight="1"/>
    <row r="287" ht="69.75" customHeight="1"/>
    <row r="288" ht="69.75" customHeight="1"/>
    <row r="289" ht="69.75" customHeight="1"/>
    <row r="290" ht="69.75" customHeight="1"/>
    <row r="291" ht="69.75" customHeight="1"/>
    <row r="292" ht="69.75" customHeight="1"/>
    <row r="293" ht="69.75" customHeight="1"/>
    <row r="294" ht="69.75" customHeight="1"/>
    <row r="295" ht="69.75" customHeight="1"/>
    <row r="296" ht="69.75" customHeight="1"/>
    <row r="297" ht="69.75" customHeight="1"/>
    <row r="298" ht="69.75" customHeight="1"/>
    <row r="299" ht="69.75" customHeight="1"/>
    <row r="300" ht="69.75" customHeight="1"/>
    <row r="301" ht="69.75" customHeight="1"/>
    <row r="302" ht="69.75" customHeight="1"/>
    <row r="303" ht="69.75" customHeight="1"/>
    <row r="304" ht="69.75" customHeight="1"/>
    <row r="305" ht="69.75" customHeight="1"/>
    <row r="306" ht="69.75" customHeight="1"/>
    <row r="307" ht="69.75" customHeight="1"/>
    <row r="308" ht="69.75" customHeight="1"/>
    <row r="309" ht="69.75" customHeight="1"/>
    <row r="310" ht="69.75" customHeight="1"/>
    <row r="311" ht="69.75" customHeight="1"/>
    <row r="312" ht="69.75" customHeight="1"/>
    <row r="313" ht="69.75" customHeight="1"/>
    <row r="314" ht="69.75" customHeight="1"/>
    <row r="315" ht="69.75" customHeight="1"/>
    <row r="316" ht="69.75" customHeight="1"/>
    <row r="317" ht="69.75" customHeight="1"/>
    <row r="318" ht="69.75" customHeight="1"/>
    <row r="319" ht="69.75" customHeight="1"/>
    <row r="320" ht="69.75" customHeight="1"/>
    <row r="321" ht="69.75" customHeight="1"/>
    <row r="322" ht="69.75" customHeight="1"/>
    <row r="323" ht="69.75" customHeight="1"/>
    <row r="324" ht="69.75" customHeight="1"/>
    <row r="325" ht="69.75" customHeight="1"/>
    <row r="326" ht="69.75" customHeight="1"/>
    <row r="327" ht="69.75" customHeight="1"/>
    <row r="328" ht="69.75" customHeight="1"/>
    <row r="329" ht="69.75" customHeight="1"/>
    <row r="330" ht="69.75" customHeight="1"/>
    <row r="331" ht="69.75" customHeight="1"/>
    <row r="332" ht="69.75" customHeight="1"/>
    <row r="333" ht="69.75" customHeight="1"/>
    <row r="334" ht="69.75" customHeight="1"/>
    <row r="335" ht="69.75" customHeight="1"/>
    <row r="336" ht="69.75" customHeight="1"/>
    <row r="337" ht="69.75" customHeight="1"/>
    <row r="338" ht="69.75" customHeight="1"/>
    <row r="339" ht="69.75" customHeight="1"/>
    <row r="340" ht="69.75" customHeight="1"/>
    <row r="341" ht="69.75" customHeight="1"/>
    <row r="342" ht="69.75" customHeight="1"/>
    <row r="343" ht="69.75" customHeight="1"/>
    <row r="344" ht="69.75" customHeight="1"/>
    <row r="345" ht="69.75" customHeight="1"/>
    <row r="346" ht="69.75" customHeight="1"/>
    <row r="347" ht="69.75" customHeight="1"/>
    <row r="348" ht="69.75" customHeight="1"/>
    <row r="349" ht="69.75" customHeight="1"/>
    <row r="350" ht="69.75" customHeight="1"/>
    <row r="351" ht="69.75" customHeight="1"/>
    <row r="352" ht="69.75" customHeight="1"/>
    <row r="353" ht="69.75" customHeight="1"/>
    <row r="354" ht="69.75" customHeight="1"/>
    <row r="355" ht="69.75" customHeight="1"/>
    <row r="356" ht="69.75" customHeight="1"/>
    <row r="357" ht="69.75" customHeight="1"/>
    <row r="358" ht="69.75" customHeight="1"/>
    <row r="359" ht="69.75" customHeight="1"/>
    <row r="360" ht="69.75" customHeight="1"/>
    <row r="361" ht="69.75" customHeight="1"/>
    <row r="362" ht="69.75" customHeight="1"/>
    <row r="363" ht="69.75" customHeight="1"/>
    <row r="364" ht="69.75" customHeight="1"/>
    <row r="365" ht="69.75" customHeight="1"/>
    <row r="366" ht="69.75" customHeight="1"/>
    <row r="367" ht="69.75" customHeight="1"/>
    <row r="368" ht="69.75" customHeight="1"/>
    <row r="369" ht="69.75" customHeight="1"/>
    <row r="370" ht="69.75" customHeight="1"/>
    <row r="371" ht="69.75" customHeight="1"/>
    <row r="372" ht="69.75" customHeight="1"/>
    <row r="373" ht="69.75" customHeight="1"/>
    <row r="374" ht="69.75" customHeight="1"/>
    <row r="375" ht="69.75" customHeight="1"/>
    <row r="376" ht="69.75" customHeight="1"/>
    <row r="377" ht="69.75" customHeight="1"/>
    <row r="378" ht="69.75" customHeight="1"/>
    <row r="379" ht="69.75" customHeight="1"/>
    <row r="380" ht="69.75" customHeight="1"/>
    <row r="381" ht="69.75" customHeight="1"/>
    <row r="382" ht="69.75" customHeight="1"/>
    <row r="383" ht="69.75" customHeight="1"/>
    <row r="384" ht="69.75" customHeight="1"/>
    <row r="385" ht="69.75" customHeight="1"/>
    <row r="386" ht="69.75" customHeight="1"/>
    <row r="387" ht="69.75" customHeight="1"/>
    <row r="388" ht="69.75" customHeight="1"/>
    <row r="389" ht="69.75" customHeight="1"/>
    <row r="390" ht="69.75" customHeight="1"/>
    <row r="391" ht="69.75" customHeight="1"/>
    <row r="392" ht="69.75" customHeight="1"/>
    <row r="393" ht="69.75" customHeight="1"/>
    <row r="394" ht="69.75" customHeight="1"/>
    <row r="395" ht="69.75" customHeight="1"/>
    <row r="396" ht="69.75" customHeight="1"/>
    <row r="397" ht="69.75" customHeight="1"/>
    <row r="398" ht="69.75" customHeight="1"/>
    <row r="399" ht="69.75" customHeight="1"/>
    <row r="400" ht="69.75" customHeight="1"/>
    <row r="401" ht="69.75" customHeight="1"/>
    <row r="402" ht="69.75" customHeight="1"/>
    <row r="403" ht="69.75" customHeight="1"/>
    <row r="404" ht="69.75" customHeight="1"/>
    <row r="405" ht="69.75" customHeight="1"/>
    <row r="406" ht="69.75" customHeight="1"/>
    <row r="407" ht="69.75" customHeight="1"/>
    <row r="408" ht="69.75" customHeight="1"/>
    <row r="409" ht="69.75" customHeight="1"/>
    <row r="410" ht="69.75" customHeight="1"/>
    <row r="411" ht="69.75" customHeight="1"/>
    <row r="412" ht="69.75" customHeight="1"/>
    <row r="413" ht="69.75" customHeight="1"/>
    <row r="414" ht="69.75" customHeight="1"/>
    <row r="415" ht="69.75" customHeight="1"/>
    <row r="416" ht="69.75" customHeight="1"/>
    <row r="417" ht="69.75" customHeight="1"/>
    <row r="418" ht="69.75" customHeight="1"/>
    <row r="419" ht="69.75" customHeight="1"/>
    <row r="420" ht="69.75" customHeight="1"/>
    <row r="421" ht="69.75" customHeight="1"/>
    <row r="422" ht="69.75" customHeight="1"/>
    <row r="423" ht="69.75" customHeight="1"/>
    <row r="424" ht="69.75" customHeight="1"/>
    <row r="425" ht="69.75" customHeight="1"/>
    <row r="426" ht="69.75" customHeight="1"/>
    <row r="427" ht="69.75" customHeight="1"/>
    <row r="428" ht="69.75" customHeight="1"/>
    <row r="429" ht="69.75" customHeight="1"/>
    <row r="430" ht="69.75" customHeight="1"/>
    <row r="431" ht="69.75" customHeight="1"/>
    <row r="432" ht="69.75" customHeight="1"/>
    <row r="433" ht="69.75" customHeight="1"/>
    <row r="434" ht="69.75" customHeight="1"/>
    <row r="435" ht="69.75" customHeight="1"/>
    <row r="436" ht="69.75" customHeight="1"/>
    <row r="437" ht="69.75" customHeight="1"/>
    <row r="438" ht="69.75" customHeight="1"/>
    <row r="439" ht="69.75" customHeight="1"/>
    <row r="440" ht="69.75" customHeight="1"/>
    <row r="441" ht="69.75" customHeight="1"/>
    <row r="442" ht="69.75" customHeight="1"/>
    <row r="443" ht="69.75" customHeight="1"/>
    <row r="444" ht="69.75" customHeight="1"/>
    <row r="445" ht="69.75" customHeight="1"/>
    <row r="446" ht="69.75" customHeight="1"/>
    <row r="447" ht="69.75" customHeight="1"/>
    <row r="448" ht="69.75" customHeight="1"/>
    <row r="449" ht="69.75" customHeight="1"/>
    <row r="450" ht="69.75" customHeight="1"/>
    <row r="451" ht="69.75" customHeight="1"/>
    <row r="452" ht="69.75" customHeight="1"/>
    <row r="453" ht="69.75" customHeight="1"/>
    <row r="454" ht="69.75" customHeight="1"/>
    <row r="455" ht="69.75" customHeight="1"/>
    <row r="456" ht="69.75" customHeight="1"/>
    <row r="457" ht="69.75" customHeight="1"/>
    <row r="458" ht="69.75" customHeight="1"/>
    <row r="459" ht="69.75" customHeight="1"/>
    <row r="460" ht="69.75" customHeight="1"/>
    <row r="461" ht="69.75" customHeight="1"/>
    <row r="462" ht="69.75" customHeight="1"/>
    <row r="463" ht="69.75" customHeight="1"/>
    <row r="464" ht="69.75" customHeight="1"/>
    <row r="465" ht="69.75" customHeight="1"/>
    <row r="466" ht="69.75" customHeight="1"/>
    <row r="467" ht="69.75" customHeight="1"/>
    <row r="468" ht="69.75" customHeight="1"/>
    <row r="469" ht="69.75" customHeight="1"/>
    <row r="470" ht="69.75" customHeight="1"/>
    <row r="471" ht="69.75" customHeight="1"/>
    <row r="472" ht="69.75" customHeight="1"/>
    <row r="473" ht="69.75" customHeight="1"/>
    <row r="474" ht="69.75" customHeight="1"/>
    <row r="475" ht="69.75" customHeight="1"/>
    <row r="476" ht="69.75" customHeight="1"/>
    <row r="477" ht="69.75" customHeight="1"/>
    <row r="478" ht="69.75" customHeight="1"/>
    <row r="479" ht="69.75" customHeight="1"/>
    <row r="480" ht="69.75" customHeight="1"/>
    <row r="481" ht="69.75" customHeight="1"/>
    <row r="482" ht="69.75" customHeight="1"/>
    <row r="483" ht="69.75" customHeight="1"/>
    <row r="484" ht="69.75" customHeight="1"/>
    <row r="485" ht="69.75" customHeight="1"/>
    <row r="486" ht="69.75" customHeight="1"/>
    <row r="487" ht="69.75" customHeight="1"/>
    <row r="488" ht="69.75" customHeight="1"/>
    <row r="489" ht="69.75" customHeight="1"/>
    <row r="490" ht="69.75" customHeight="1"/>
    <row r="491" ht="69.75" customHeight="1"/>
    <row r="492" ht="69.75" customHeight="1"/>
    <row r="493" ht="69.75" customHeight="1"/>
    <row r="494" ht="69.75" customHeight="1"/>
    <row r="495" ht="69.75" customHeight="1"/>
    <row r="496" ht="69.75" customHeight="1"/>
    <row r="497" ht="69.75" customHeight="1"/>
    <row r="498" ht="69.75" customHeight="1"/>
    <row r="499" ht="69.75" customHeight="1"/>
    <row r="500" ht="69.75" customHeight="1"/>
    <row r="501" ht="69.75" customHeight="1"/>
    <row r="502" ht="69.75" customHeight="1"/>
    <row r="503" ht="69.75" customHeight="1"/>
    <row r="504" ht="69.75" customHeight="1"/>
    <row r="505" ht="69.75" customHeight="1"/>
    <row r="506" ht="69.75" customHeight="1"/>
    <row r="507" ht="69.75" customHeight="1"/>
    <row r="508" ht="69.75" customHeight="1"/>
    <row r="509" ht="69.75" customHeight="1"/>
    <row r="510" ht="69.75" customHeight="1"/>
    <row r="511" ht="69.75" customHeight="1"/>
    <row r="512" ht="69.75" customHeight="1"/>
    <row r="513" ht="69.75" customHeight="1"/>
    <row r="514" ht="69.75" customHeight="1"/>
    <row r="515" ht="69.75" customHeight="1"/>
    <row r="516" ht="69.75" customHeight="1"/>
    <row r="517" ht="69.75" customHeight="1"/>
    <row r="518" ht="69.75" customHeight="1"/>
    <row r="519" ht="69.75" customHeight="1"/>
    <row r="520" ht="69.75" customHeight="1"/>
    <row r="521" ht="69.75" customHeight="1"/>
    <row r="522" ht="69.75" customHeight="1"/>
    <row r="523" ht="69.75" customHeight="1"/>
    <row r="524" ht="69.75" customHeight="1"/>
    <row r="525" ht="69.75" customHeight="1"/>
    <row r="526" ht="69.75" customHeight="1"/>
    <row r="527" ht="69.75" customHeight="1"/>
    <row r="528" ht="69.75" customHeight="1"/>
    <row r="529" ht="69.75" customHeight="1"/>
    <row r="530" ht="69.75" customHeight="1"/>
    <row r="531" ht="69.75" customHeight="1"/>
    <row r="532" ht="69.75" customHeight="1"/>
    <row r="533" ht="69.75" customHeight="1"/>
    <row r="534" ht="69.75" customHeight="1"/>
    <row r="535" ht="69.75" customHeight="1"/>
    <row r="536" ht="69.75" customHeight="1"/>
    <row r="537" ht="69.75" customHeight="1"/>
    <row r="538" ht="69.75" customHeight="1"/>
    <row r="539" ht="69.75" customHeight="1"/>
    <row r="540" ht="69.75" customHeight="1"/>
    <row r="541" ht="69.75" customHeight="1"/>
    <row r="542" ht="69.75" customHeight="1"/>
    <row r="543" ht="69.75" customHeight="1"/>
    <row r="544" ht="69.75" customHeight="1"/>
    <row r="545" ht="69.75" customHeight="1"/>
    <row r="546" ht="69.75" customHeight="1"/>
    <row r="547" ht="69.75" customHeight="1"/>
    <row r="548" ht="69.75" customHeight="1"/>
    <row r="549" ht="69.75" customHeight="1"/>
    <row r="550" ht="69.75" customHeight="1"/>
    <row r="551" ht="69.75" customHeight="1"/>
    <row r="552" ht="69.75" customHeight="1"/>
    <row r="553" ht="69.75" customHeight="1"/>
    <row r="554" ht="69.75" customHeight="1"/>
    <row r="555" ht="69.75" customHeight="1"/>
    <row r="556" ht="69.75" customHeight="1"/>
    <row r="557" ht="69.75" customHeight="1"/>
    <row r="558" ht="69.75" customHeight="1"/>
    <row r="559" ht="69.75" customHeight="1"/>
    <row r="560" ht="69.75" customHeight="1"/>
    <row r="561" ht="69.75" customHeight="1"/>
    <row r="562" ht="69.75" customHeight="1"/>
    <row r="563" ht="69.75" customHeight="1"/>
    <row r="564" ht="69.75" customHeight="1"/>
    <row r="565" ht="69.75" customHeight="1"/>
    <row r="566" ht="69.75" customHeight="1"/>
    <row r="567" ht="69.75" customHeight="1"/>
    <row r="568" ht="69.75" customHeight="1"/>
    <row r="569" ht="69.75" customHeight="1"/>
    <row r="570" ht="69.75" customHeight="1"/>
    <row r="571" ht="69.75" customHeight="1"/>
    <row r="572" ht="69.75" customHeight="1"/>
    <row r="573" ht="69.75" customHeight="1"/>
    <row r="574" ht="69.75" customHeight="1"/>
    <row r="575" ht="69.75" customHeight="1"/>
    <row r="576" ht="69.75" customHeight="1"/>
    <row r="577" ht="69.75" customHeight="1"/>
    <row r="578" ht="69.75" customHeight="1"/>
    <row r="579" ht="69.75" customHeight="1"/>
    <row r="580" ht="69.75" customHeight="1"/>
    <row r="581" ht="69.75" customHeight="1"/>
    <row r="582" ht="69.75" customHeight="1"/>
    <row r="583" ht="69.75" customHeight="1"/>
    <row r="584" ht="69.75" customHeight="1"/>
    <row r="585" ht="69.75" customHeight="1"/>
    <row r="586" ht="69.75" customHeight="1"/>
    <row r="587" ht="69.75" customHeight="1"/>
    <row r="588" ht="69.75" customHeight="1"/>
    <row r="589" ht="69.75" customHeight="1"/>
    <row r="590" ht="69.75" customHeight="1"/>
    <row r="591" ht="69.75" customHeight="1"/>
    <row r="592" ht="69.75" customHeight="1"/>
    <row r="593" ht="69.75" customHeight="1"/>
    <row r="594" ht="69.75" customHeight="1"/>
    <row r="595" ht="69.75" customHeight="1"/>
    <row r="596" ht="69.75" customHeight="1"/>
    <row r="597" ht="69.75" customHeight="1"/>
    <row r="598" ht="69.75" customHeight="1"/>
    <row r="599" ht="69.75" customHeight="1"/>
    <row r="600" ht="69.75" customHeight="1"/>
    <row r="601" ht="69.75" customHeight="1"/>
    <row r="602" ht="69.75" customHeight="1"/>
    <row r="603" ht="69.75" customHeight="1"/>
    <row r="604" ht="69.75" customHeight="1"/>
    <row r="605" ht="69.75" customHeight="1"/>
    <row r="606" ht="69.75" customHeight="1"/>
    <row r="607" ht="69.75" customHeight="1"/>
    <row r="608" ht="69.75" customHeight="1"/>
    <row r="609" ht="69.75" customHeight="1"/>
    <row r="610" ht="69.75" customHeight="1"/>
    <row r="611" ht="69.75" customHeight="1"/>
    <row r="612" ht="69.75" customHeight="1"/>
    <row r="613" ht="69.75" customHeight="1"/>
    <row r="614" ht="69.75" customHeight="1"/>
    <row r="615" ht="69.75" customHeight="1"/>
    <row r="616" ht="69.75" customHeight="1"/>
    <row r="617" ht="69.75" customHeight="1"/>
    <row r="618" ht="69.75" customHeight="1"/>
    <row r="619" ht="69.75" customHeight="1"/>
    <row r="620" ht="69.75" customHeight="1"/>
    <row r="621" ht="69.75" customHeight="1"/>
    <row r="622" ht="69.75" customHeight="1"/>
    <row r="623" ht="69.75" customHeight="1"/>
    <row r="624" ht="69.75" customHeight="1"/>
    <row r="625" ht="69.75" customHeight="1"/>
    <row r="626" ht="69.75" customHeight="1"/>
    <row r="627" ht="69.75" customHeight="1"/>
    <row r="628" ht="69.75" customHeight="1"/>
    <row r="629" ht="69.75" customHeight="1"/>
    <row r="630" ht="69.75" customHeight="1"/>
    <row r="631" ht="69.75" customHeight="1"/>
    <row r="632" ht="69.75" customHeight="1"/>
    <row r="633" ht="69.75" customHeight="1"/>
    <row r="634" ht="69.75" customHeight="1"/>
    <row r="635" ht="69.75" customHeight="1"/>
    <row r="636" ht="69.75" customHeight="1"/>
    <row r="637" ht="69.75" customHeight="1"/>
    <row r="638" ht="69.75" customHeight="1"/>
    <row r="639" ht="69.75" customHeight="1"/>
    <row r="640" ht="69.75" customHeight="1"/>
    <row r="641" ht="69.75" customHeight="1"/>
    <row r="642" ht="69.75" customHeight="1"/>
    <row r="643" ht="69.75" customHeight="1"/>
    <row r="644" ht="69.75" customHeight="1"/>
    <row r="645" ht="69.75" customHeight="1"/>
    <row r="646" ht="69.75" customHeight="1"/>
    <row r="647" ht="69.75" customHeight="1"/>
    <row r="648" ht="69.75" customHeight="1"/>
    <row r="649" ht="69.75" customHeight="1"/>
    <row r="650" ht="69.75" customHeight="1"/>
    <row r="651" ht="69.75" customHeight="1"/>
    <row r="652" ht="69.75" customHeight="1"/>
    <row r="653" ht="69.75" customHeight="1"/>
    <row r="654" ht="69.75" customHeight="1"/>
    <row r="655" ht="69.75" customHeight="1"/>
    <row r="656" ht="69.75" customHeight="1"/>
    <row r="657" ht="69.75" customHeight="1"/>
    <row r="658" ht="69.75" customHeight="1"/>
    <row r="659" ht="69.75" customHeight="1"/>
    <row r="660" ht="69.75" customHeight="1"/>
    <row r="661" ht="69.75" customHeight="1"/>
    <row r="662" ht="69.75" customHeight="1"/>
    <row r="663" ht="69.75" customHeight="1"/>
    <row r="664" ht="69.75" customHeight="1"/>
    <row r="665" ht="69.75" customHeight="1"/>
    <row r="666" ht="69.75" customHeight="1"/>
    <row r="667" ht="69.75" customHeight="1"/>
    <row r="668" ht="69.75" customHeight="1"/>
    <row r="669" ht="69.75" customHeight="1"/>
    <row r="670" ht="69.75" customHeight="1"/>
    <row r="671" ht="69.75" customHeight="1"/>
    <row r="672" ht="69.75" customHeight="1"/>
    <row r="673" ht="69.75" customHeight="1"/>
    <row r="674" ht="69.75" customHeight="1"/>
    <row r="675" ht="69.75" customHeight="1"/>
    <row r="676" ht="69.75" customHeight="1"/>
    <row r="677" ht="69.75" customHeight="1"/>
    <row r="678" ht="69.75" customHeight="1"/>
    <row r="679" ht="69.75" customHeight="1"/>
    <row r="680" ht="69.75" customHeight="1"/>
    <row r="681" ht="69.75" customHeight="1"/>
    <row r="682" ht="69.75" customHeight="1"/>
    <row r="683" ht="69.75" customHeight="1"/>
    <row r="684" ht="69.75" customHeight="1"/>
    <row r="685" ht="69.75" customHeight="1"/>
    <row r="686" ht="69.75" customHeight="1"/>
    <row r="687" ht="69.75" customHeight="1"/>
    <row r="688" ht="69.75" customHeight="1"/>
    <row r="689" ht="69.75" customHeight="1"/>
    <row r="690" ht="69.75" customHeight="1"/>
    <row r="691" ht="69.75" customHeight="1"/>
    <row r="692" ht="69.75" customHeight="1"/>
    <row r="693" ht="69.75" customHeight="1"/>
    <row r="694" ht="69.75" customHeight="1"/>
    <row r="695" ht="69.75" customHeight="1"/>
    <row r="696" ht="69.75" customHeight="1"/>
    <row r="697" ht="69.75" customHeight="1"/>
    <row r="698" ht="69.75" customHeight="1"/>
    <row r="699" ht="69.75" customHeight="1"/>
    <row r="700" ht="69.75" customHeight="1"/>
    <row r="701" ht="69.75" customHeight="1"/>
    <row r="702" ht="69.75" customHeight="1"/>
    <row r="703" ht="69.75" customHeight="1"/>
    <row r="704" ht="69.75" customHeight="1"/>
    <row r="705" ht="69.75" customHeight="1"/>
    <row r="706" ht="69.75" customHeight="1"/>
    <row r="707" ht="69.75" customHeight="1"/>
    <row r="708" ht="69.75" customHeight="1"/>
    <row r="709" ht="69.75" customHeight="1"/>
    <row r="710" ht="69.75" customHeight="1"/>
    <row r="711" ht="69.75" customHeight="1"/>
    <row r="712" ht="69.75" customHeight="1"/>
    <row r="713" ht="69.75" customHeight="1"/>
    <row r="714" ht="69.75" customHeight="1"/>
    <row r="715" ht="69.75" customHeight="1"/>
    <row r="716" ht="69.75" customHeight="1"/>
    <row r="717" ht="69.75" customHeight="1"/>
    <row r="718" ht="69.75" customHeight="1"/>
    <row r="719" ht="69.75" customHeight="1"/>
    <row r="720" ht="69.75" customHeight="1"/>
    <row r="721" ht="69.75" customHeight="1"/>
    <row r="722" ht="69.75" customHeight="1"/>
    <row r="723" ht="69.75" customHeight="1"/>
    <row r="724" ht="69.75" customHeight="1"/>
    <row r="725" ht="69.75" customHeight="1"/>
    <row r="726" ht="69.75" customHeight="1"/>
    <row r="727" ht="69.75" customHeight="1"/>
    <row r="728" ht="69.75" customHeight="1"/>
    <row r="729" ht="69.75" customHeight="1"/>
    <row r="730" ht="69.75" customHeight="1"/>
    <row r="731" ht="69.75" customHeight="1"/>
    <row r="732" ht="69.75" customHeight="1"/>
    <row r="733" ht="69.75" customHeight="1"/>
    <row r="734" ht="69.75" customHeight="1"/>
    <row r="735" ht="69.75" customHeight="1"/>
    <row r="736" ht="69.75" customHeight="1"/>
    <row r="737" ht="69.75" customHeight="1"/>
    <row r="738" ht="69.75" customHeight="1"/>
    <row r="739" ht="69.75" customHeight="1"/>
    <row r="740" ht="69.75" customHeight="1"/>
    <row r="741" ht="69.75" customHeight="1"/>
    <row r="742" ht="69.75" customHeight="1"/>
    <row r="743" ht="69.75" customHeight="1"/>
    <row r="744" ht="69.75" customHeight="1"/>
    <row r="745" ht="69.75" customHeight="1"/>
    <row r="746" ht="69.75" customHeight="1"/>
    <row r="747" ht="69.75" customHeight="1"/>
    <row r="748" ht="69.75" customHeight="1"/>
    <row r="749" ht="69.75" customHeight="1"/>
    <row r="750" ht="69.75" customHeight="1"/>
    <row r="751" ht="69.75" customHeight="1"/>
    <row r="752" ht="69.75" customHeight="1"/>
    <row r="753" ht="69.75" customHeight="1"/>
    <row r="754" ht="69.75" customHeight="1"/>
    <row r="755" ht="69.75" customHeight="1"/>
    <row r="756" ht="69.75" customHeight="1"/>
    <row r="757" ht="69.75" customHeight="1"/>
    <row r="758" ht="69.75" customHeight="1"/>
    <row r="759" ht="69.75" customHeight="1"/>
    <row r="760" ht="69.75" customHeight="1"/>
    <row r="761" ht="69.75" customHeight="1"/>
    <row r="762" ht="69.75" customHeight="1"/>
    <row r="763" ht="69.75" customHeight="1"/>
    <row r="764" ht="69.75" customHeight="1"/>
    <row r="765" ht="69.75" customHeight="1"/>
    <row r="766" ht="69.75" customHeight="1"/>
    <row r="767" ht="69.75" customHeight="1"/>
    <row r="768" ht="69.75" customHeight="1"/>
    <row r="769" ht="69.75" customHeight="1"/>
    <row r="770" ht="69.75" customHeight="1"/>
    <row r="771" ht="69.75" customHeight="1"/>
    <row r="772" ht="69.75" customHeight="1"/>
    <row r="773" ht="69.75" customHeight="1"/>
    <row r="774" ht="69.75" customHeight="1"/>
    <row r="775" ht="69.75" customHeight="1"/>
    <row r="776" ht="69.75" customHeight="1"/>
    <row r="777" ht="69.75" customHeight="1"/>
    <row r="778" ht="69.75" customHeight="1"/>
    <row r="779" ht="69.75" customHeight="1"/>
    <row r="780" ht="69.75" customHeight="1"/>
    <row r="781" ht="69.75" customHeight="1"/>
    <row r="782" ht="69.75" customHeight="1"/>
    <row r="783" ht="69.75" customHeight="1"/>
    <row r="784" ht="69.75" customHeight="1"/>
    <row r="785" ht="69.75" customHeight="1"/>
    <row r="786" ht="69.75" customHeight="1"/>
    <row r="787" ht="69.75" customHeight="1"/>
    <row r="788" ht="69.75" customHeight="1"/>
    <row r="789" ht="69.75" customHeight="1"/>
    <row r="790" ht="69.75" customHeight="1"/>
    <row r="791" ht="69.75" customHeight="1"/>
    <row r="792" ht="69.75" customHeight="1"/>
    <row r="793" ht="69.75" customHeight="1"/>
    <row r="794" ht="69.75" customHeight="1"/>
    <row r="795" ht="69.75" customHeight="1"/>
    <row r="796" ht="69.75" customHeight="1"/>
    <row r="797" ht="69.75" customHeight="1"/>
    <row r="798" ht="69.75" customHeight="1"/>
    <row r="799" ht="69.75" customHeight="1"/>
    <row r="800" ht="69.75" customHeight="1"/>
    <row r="801" ht="69.75" customHeight="1"/>
    <row r="802" ht="69.75" customHeight="1"/>
    <row r="803" ht="69.75" customHeight="1"/>
    <row r="804" ht="69.75" customHeight="1"/>
    <row r="805" ht="69.75" customHeight="1"/>
    <row r="806" ht="69.75" customHeight="1"/>
    <row r="807" ht="69.75" customHeight="1"/>
    <row r="808" ht="69.75" customHeight="1"/>
    <row r="809" ht="69.75" customHeight="1"/>
    <row r="810" ht="69.75" customHeight="1"/>
    <row r="811" ht="69.75" customHeight="1"/>
    <row r="812" ht="69.75" customHeight="1"/>
    <row r="813" ht="69.75" customHeight="1"/>
    <row r="814" ht="69.75" customHeight="1"/>
    <row r="815" ht="69.75" customHeight="1"/>
    <row r="816" ht="69.75" customHeight="1"/>
    <row r="817" ht="69.75" customHeight="1"/>
    <row r="818" ht="69.75" customHeight="1"/>
    <row r="819" ht="69.75" customHeight="1"/>
    <row r="820" ht="69.75" customHeight="1"/>
    <row r="821" ht="69.75" customHeight="1"/>
    <row r="822" ht="69.75" customHeight="1"/>
    <row r="823" ht="69.75" customHeight="1"/>
    <row r="824" ht="69.75" customHeight="1"/>
    <row r="825" ht="69.75" customHeight="1"/>
    <row r="826" ht="69.75" customHeight="1"/>
    <row r="827" ht="69.75" customHeight="1"/>
    <row r="828" ht="69.75" customHeight="1"/>
    <row r="829" ht="69.75" customHeight="1"/>
    <row r="830" ht="69.75" customHeight="1"/>
    <row r="831" ht="69.75" customHeight="1"/>
    <row r="832" ht="69.75" customHeight="1"/>
    <row r="833" ht="69.75" customHeight="1"/>
    <row r="834" ht="69.75" customHeight="1"/>
    <row r="835" ht="69.75" customHeight="1"/>
    <row r="836" ht="69.75" customHeight="1"/>
    <row r="837" ht="69.75" customHeight="1"/>
    <row r="838" ht="69.75" customHeight="1"/>
    <row r="839" ht="69.75" customHeight="1"/>
    <row r="840" ht="69.75" customHeight="1"/>
    <row r="841" ht="69.75" customHeight="1"/>
    <row r="842" ht="69.75" customHeight="1"/>
    <row r="843" ht="69.75" customHeight="1"/>
    <row r="844" ht="69.75" customHeight="1"/>
    <row r="845" ht="69.75" customHeight="1"/>
    <row r="846" ht="69.75" customHeight="1"/>
    <row r="847" ht="69.75" customHeight="1"/>
    <row r="848" ht="69.75" customHeight="1"/>
    <row r="849" ht="69.75" customHeight="1"/>
    <row r="850" ht="69.75" customHeight="1"/>
    <row r="851" ht="69.75" customHeight="1"/>
    <row r="852" ht="69.75" customHeight="1"/>
    <row r="853" ht="69.75" customHeight="1"/>
    <row r="854" ht="69.75" customHeight="1"/>
    <row r="855" ht="69.75" customHeight="1"/>
    <row r="856" ht="69.75" customHeight="1"/>
    <row r="857" ht="69.75" customHeight="1"/>
    <row r="858" ht="69.75" customHeight="1"/>
    <row r="859" ht="69.75" customHeight="1"/>
    <row r="860" ht="69.75" customHeight="1"/>
    <row r="861" ht="69.75" customHeight="1"/>
    <row r="862" ht="69.75" customHeight="1"/>
    <row r="863" ht="69.75" customHeight="1"/>
    <row r="864" ht="69.75" customHeight="1"/>
    <row r="865" ht="69.75" customHeight="1"/>
    <row r="866" ht="69.75" customHeight="1"/>
    <row r="867" ht="69.75" customHeight="1"/>
    <row r="868" ht="69.75" customHeight="1"/>
    <row r="869" ht="69.75" customHeight="1"/>
    <row r="870" ht="69.75" customHeight="1"/>
    <row r="871" ht="69.75" customHeight="1"/>
    <row r="872" ht="69.75" customHeight="1"/>
    <row r="873" ht="69.75" customHeight="1"/>
    <row r="874" ht="69.75" customHeight="1"/>
    <row r="875" ht="69.75" customHeight="1"/>
    <row r="876" ht="69.75" customHeight="1"/>
    <row r="877" ht="69.75" customHeight="1"/>
    <row r="878" ht="69.75" customHeight="1"/>
    <row r="879" ht="69.75" customHeight="1"/>
    <row r="880" ht="69.75" customHeight="1"/>
    <row r="881" ht="69.75" customHeight="1"/>
    <row r="882" ht="69.75" customHeight="1"/>
    <row r="883" ht="69.75" customHeight="1"/>
    <row r="884" ht="69.75" customHeight="1"/>
    <row r="885" ht="69.75" customHeight="1"/>
    <row r="886" ht="69.75" customHeight="1"/>
    <row r="887" ht="69.75" customHeight="1"/>
    <row r="888" ht="69.75" customHeight="1"/>
    <row r="889" ht="69.75" customHeight="1"/>
    <row r="890" ht="69.75" customHeight="1"/>
    <row r="891" ht="69.75" customHeight="1"/>
    <row r="892" ht="69.75" customHeight="1"/>
    <row r="893" ht="69.75" customHeight="1"/>
    <row r="894" ht="69.75" customHeight="1"/>
    <row r="895" ht="69.75" customHeight="1"/>
    <row r="896" ht="69.75" customHeight="1"/>
    <row r="897" ht="69.75" customHeight="1"/>
    <row r="898" ht="69.75" customHeight="1"/>
    <row r="899" ht="69.75" customHeight="1"/>
    <row r="900" ht="69.75" customHeight="1"/>
    <row r="901" ht="69.75" customHeight="1"/>
    <row r="902" ht="69.75" customHeight="1"/>
    <row r="903" ht="69.75" customHeight="1"/>
    <row r="904" ht="69.75" customHeight="1"/>
    <row r="905" ht="69.75" customHeight="1"/>
    <row r="906" ht="69.75" customHeight="1"/>
    <row r="907" ht="69.75" customHeight="1"/>
    <row r="908" ht="69.75" customHeight="1"/>
    <row r="909" ht="69.75" customHeight="1"/>
    <row r="910" ht="69.75" customHeight="1"/>
    <row r="911" ht="69.75" customHeight="1"/>
    <row r="912" ht="69.75" customHeight="1"/>
    <row r="913" ht="69.75" customHeight="1"/>
    <row r="914" ht="69.75" customHeight="1"/>
    <row r="915" ht="69.75" customHeight="1"/>
    <row r="916" ht="69.75" customHeight="1"/>
    <row r="917" ht="69.75" customHeight="1"/>
    <row r="918" ht="69.75" customHeight="1"/>
    <row r="919" ht="69.75" customHeight="1"/>
    <row r="920" ht="69.75" customHeight="1"/>
    <row r="921" ht="69.75" customHeight="1"/>
    <row r="922" ht="69.75" customHeight="1"/>
    <row r="923" ht="69.75" customHeight="1"/>
    <row r="924" ht="69.75" customHeight="1"/>
    <row r="925" ht="69.75" customHeight="1"/>
    <row r="926" ht="69.75" customHeight="1"/>
    <row r="927" ht="69.75" customHeight="1"/>
    <row r="928" ht="69.75" customHeight="1"/>
    <row r="929" ht="69.75" customHeight="1"/>
    <row r="930" ht="69.75" customHeight="1"/>
    <row r="931" ht="69.75" customHeight="1"/>
    <row r="932" ht="69.75" customHeight="1"/>
    <row r="933" ht="69.75" customHeight="1"/>
    <row r="934" ht="69.75" customHeight="1"/>
    <row r="935" ht="69.75" customHeight="1"/>
    <row r="936" ht="69.75" customHeight="1"/>
    <row r="937" ht="69.75" customHeight="1"/>
    <row r="938" ht="69.75" customHeight="1"/>
    <row r="939" ht="69.75" customHeight="1"/>
    <row r="940" ht="69.75" customHeight="1"/>
    <row r="941" ht="69.75" customHeight="1"/>
    <row r="942" ht="69.75" customHeight="1"/>
    <row r="943" ht="69.75" customHeight="1"/>
    <row r="944" ht="69.75" customHeight="1"/>
    <row r="945" ht="69.75" customHeight="1"/>
    <row r="946" ht="69.75" customHeight="1"/>
    <row r="947" ht="69.75" customHeight="1"/>
    <row r="948" ht="69.75" customHeight="1"/>
    <row r="949" ht="69.75" customHeight="1"/>
    <row r="950" ht="69.75" customHeight="1"/>
    <row r="951" ht="69.75" customHeight="1"/>
    <row r="952" ht="69.75" customHeight="1"/>
    <row r="953" ht="69.75" customHeight="1"/>
    <row r="954" ht="69.75" customHeight="1"/>
    <row r="955" ht="69.75" customHeight="1"/>
    <row r="956" ht="69.75" customHeight="1"/>
    <row r="957" ht="69.75" customHeight="1"/>
    <row r="958" ht="69.75" customHeight="1"/>
    <row r="959" ht="69.75" customHeight="1"/>
    <row r="960" ht="69.75" customHeight="1"/>
    <row r="961" ht="69.75" customHeight="1"/>
    <row r="962" ht="69.75" customHeight="1"/>
    <row r="963" ht="69.75" customHeight="1"/>
    <row r="964" ht="69.75" customHeight="1"/>
    <row r="965" ht="69.75" customHeight="1"/>
    <row r="966" ht="69.75" customHeight="1"/>
    <row r="967" ht="69.75" customHeight="1"/>
    <row r="968" ht="69.75" customHeight="1"/>
    <row r="969" ht="69.75" customHeight="1"/>
    <row r="970" ht="69.75" customHeight="1"/>
    <row r="971" ht="69.75" customHeight="1"/>
    <row r="972" ht="69.75" customHeight="1"/>
    <row r="973" ht="69.75" customHeight="1"/>
    <row r="974" ht="69.75" customHeight="1"/>
    <row r="975" ht="69.75" customHeight="1"/>
    <row r="976" ht="69.75" customHeight="1"/>
    <row r="977" ht="69.75" customHeight="1"/>
    <row r="978" ht="69.75" customHeight="1"/>
    <row r="979" ht="69.75" customHeight="1"/>
    <row r="980" ht="69.75" customHeight="1"/>
    <row r="981" ht="69.75" customHeight="1"/>
    <row r="982" ht="69.75" customHeight="1"/>
    <row r="983" ht="69.75" customHeight="1"/>
    <row r="984" ht="69.75" customHeight="1"/>
    <row r="985" ht="69.75" customHeight="1"/>
    <row r="986" ht="69.75" customHeight="1"/>
    <row r="987" ht="69.75" customHeight="1"/>
    <row r="988" ht="69.75" customHeight="1"/>
    <row r="989" ht="69.75" customHeight="1"/>
    <row r="990" ht="69.75" customHeight="1"/>
    <row r="991" ht="69.75" customHeight="1"/>
    <row r="992" ht="69.75" customHeight="1"/>
    <row r="993" ht="69.75" customHeight="1"/>
    <row r="994" ht="69.75" customHeight="1"/>
    <row r="995" ht="69.75" customHeight="1"/>
    <row r="996" ht="69.75" customHeight="1"/>
    <row r="997" ht="69.75" customHeight="1"/>
    <row r="998" ht="69.75" customHeight="1"/>
    <row r="999" ht="69.75" customHeight="1"/>
    <row r="1000" ht="69.75" customHeight="1"/>
  </sheetData>
  <conditionalFormatting sqref="D2:D35">
    <cfRule type="containsText" dxfId="0" priority="1" operator="containsText" text="Publicado">
      <formula>NOT(ISERROR(SEARCH(("Publicado"),(D2))))</formula>
    </cfRule>
  </conditionalFormatting>
  <conditionalFormatting sqref="D2:D35">
    <cfRule type="containsText" dxfId="1" priority="2" operator="containsText" text="Rascunho">
      <formula>NOT(ISERROR(SEARCH(("Rascunho"),(D2))))</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s>
  <drawing r:id="rId3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91E4A996ACBB94DA31E2141C40DAD32" ma:contentTypeVersion="19" ma:contentTypeDescription="Crie um novo documento." ma:contentTypeScope="" ma:versionID="8d06d2da346cd76b021ecbac028f7221">
  <xsd:schema xmlns:xsd="http://www.w3.org/2001/XMLSchema" xmlns:xs="http://www.w3.org/2001/XMLSchema" xmlns:p="http://schemas.microsoft.com/office/2006/metadata/properties" xmlns:ns2="1f4393b2-5ae5-4b65-a4f0-21b2fc664c32" xmlns:ns3="250840e5-5dc0-4cf9-8f98-c8e9f6018841" targetNamespace="http://schemas.microsoft.com/office/2006/metadata/properties" ma:root="true" ma:fieldsID="14bc4729daf13f95526376d156968119" ns2:_="" ns3:_="">
    <xsd:import namespace="1f4393b2-5ae5-4b65-a4f0-21b2fc664c32"/>
    <xsd:import namespace="250840e5-5dc0-4cf9-8f98-c8e9f601884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4393b2-5ae5-4b65-a4f0-21b2fc664c32" elementFormDefault="qualified">
    <xsd:import namespace="http://schemas.microsoft.com/office/2006/documentManagement/types"/>
    <xsd:import namespace="http://schemas.microsoft.com/office/infopath/2007/PartnerControls"/>
    <xsd:element name="SharedWithUsers" ma:index="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c0f2d2b5-177a-455c-bb00-52ee43ae7d3d}" ma:internalName="TaxCatchAll" ma:showField="CatchAllData" ma:web="1f4393b2-5ae5-4b65-a4f0-21b2fc664c3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50840e5-5dc0-4cf9-8f98-c8e9f601884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a1bc6e82-3969-48e8-8143-41547f1f28a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f4393b2-5ae5-4b65-a4f0-21b2fc664c32" xsi:nil="true"/>
    <lcf76f155ced4ddcb4097134ff3c332f xmlns="250840e5-5dc0-4cf9-8f98-c8e9f601884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B44D5B-FFFE-4DF7-BF34-7ED63B2BDC3D}"/>
</file>

<file path=customXml/itemProps2.xml><?xml version="1.0" encoding="utf-8"?>
<ds:datastoreItem xmlns:ds="http://schemas.openxmlformats.org/officeDocument/2006/customXml" ds:itemID="{CB1CEB37-B3AD-42EA-9327-20B82D6A7A22}"/>
</file>

<file path=customXml/itemProps3.xml><?xml version="1.0" encoding="utf-8"?>
<ds:datastoreItem xmlns:ds="http://schemas.openxmlformats.org/officeDocument/2006/customXml" ds:itemID="{5302D6B8-7646-4D98-B7B9-866801668B48}"/>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0x010100091E4A996ACBB94DA31E2141C40DAD32</vt:lpwstr>
  </property>
</Properties>
</file>